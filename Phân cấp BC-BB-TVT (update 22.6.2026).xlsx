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1. Bình Dương\PHÂN CẤP\"/>
    </mc:Choice>
  </mc:AlternateContent>
  <xr:revisionPtr revIDLastSave="0" documentId="13_ncr:1_{D865516A-9549-470B-B449-E083E239C9F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ến Cát" sheetId="4" r:id="rId1"/>
    <sheet name="Bầu Bàng" sheetId="3" r:id="rId2"/>
    <sheet name="Trừ văn Thố" sheetId="2" r:id="rId3"/>
    <sheet name="Tổng" sheetId="6" r:id="rId4"/>
    <sheet name="rà soát ĐK" sheetId="8" r:id="rId5"/>
  </sheets>
  <externalReferences>
    <externalReference r:id="rId6"/>
  </externalReferences>
  <definedNames>
    <definedName name="_xlnm._FilterDatabase" localSheetId="1" hidden="1">'Bầu Bàng'!$A$8:$AX$116</definedName>
    <definedName name="_xlnm._FilterDatabase" localSheetId="0" hidden="1">'Bến Cát'!$A$8:$AY$184</definedName>
    <definedName name="_xlnm._FilterDatabase" localSheetId="4" hidden="1">'rà soát ĐK'!$A$1:$L$521</definedName>
    <definedName name="_xlnm._FilterDatabase" localSheetId="3" hidden="1">Tổng!$A$8:$AZ$380</definedName>
    <definedName name="_xlnm._FilterDatabase" localSheetId="2" hidden="1">'Trừ văn Thố'!$A$7:$AU$96</definedName>
    <definedName name="_xlnm.Print_Area" localSheetId="1">'Bầu Bàng'!$A$1:$AM$116</definedName>
    <definedName name="_xlnm.Print_Titles" localSheetId="1">'Bầu Bàng'!$A:$AM,'Bầu Bàng'!$3:$7</definedName>
    <definedName name="_xlnm.Print_Titles" localSheetId="0">'Bến Cát'!$AO:$AO,'Bến Cát'!$3:$6</definedName>
    <definedName name="_xlnm.Print_Titles" localSheetId="2">'Trừ văn Thố'!$A:$AK,'Trừ văn Thố'!$1:$5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6" l="1"/>
  <c r="H19" i="6"/>
  <c r="F168" i="6"/>
  <c r="F169" i="6"/>
  <c r="F170" i="6"/>
  <c r="F171" i="6"/>
  <c r="F172" i="6"/>
  <c r="F174" i="6"/>
  <c r="F175" i="6"/>
  <c r="F177" i="6"/>
  <c r="F178" i="6"/>
  <c r="F179" i="6"/>
  <c r="F180" i="6"/>
  <c r="F181" i="6"/>
  <c r="F183" i="6"/>
  <c r="F184" i="6"/>
  <c r="F186" i="6"/>
  <c r="F187" i="6"/>
  <c r="F188" i="6"/>
  <c r="F190" i="6"/>
  <c r="F191" i="6"/>
  <c r="F192" i="6"/>
  <c r="F193" i="6"/>
  <c r="F195" i="6"/>
  <c r="F196" i="6"/>
  <c r="F198" i="6"/>
  <c r="F199" i="6"/>
  <c r="F200" i="6"/>
  <c r="F201" i="6"/>
  <c r="F202" i="6"/>
  <c r="F203" i="6"/>
  <c r="F204" i="6"/>
  <c r="F205" i="6"/>
  <c r="F206" i="6"/>
  <c r="F208" i="6"/>
  <c r="F209" i="6"/>
  <c r="F211" i="6"/>
  <c r="F212" i="6"/>
  <c r="F213" i="6"/>
  <c r="F216" i="6"/>
  <c r="F217" i="6"/>
  <c r="F221" i="6"/>
  <c r="F222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6" i="6"/>
  <c r="F379" i="6" l="1"/>
  <c r="F377" i="6"/>
  <c r="F375" i="6"/>
  <c r="F374" i="6"/>
  <c r="F373" i="6"/>
  <c r="F370" i="6"/>
  <c r="F369" i="6"/>
  <c r="F368" i="6"/>
  <c r="F367" i="6"/>
  <c r="F366" i="6"/>
  <c r="F365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1" i="6"/>
  <c r="F340" i="6"/>
  <c r="F339" i="6"/>
  <c r="F338" i="6"/>
  <c r="F337" i="6"/>
  <c r="F336" i="6"/>
  <c r="F334" i="6"/>
  <c r="F333" i="6"/>
  <c r="F331" i="6"/>
  <c r="F330" i="6"/>
  <c r="F328" i="6"/>
  <c r="F326" i="6"/>
  <c r="F324" i="6"/>
  <c r="F319" i="6"/>
  <c r="F318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7" i="6"/>
  <c r="F286" i="6"/>
  <c r="F285" i="6"/>
  <c r="F284" i="6"/>
  <c r="F280" i="6"/>
  <c r="F278" i="6"/>
  <c r="F277" i="6"/>
  <c r="F273" i="6"/>
  <c r="F272" i="6"/>
  <c r="F270" i="6"/>
  <c r="F269" i="6"/>
  <c r="F267" i="6"/>
  <c r="F266" i="6"/>
  <c r="F265" i="6"/>
  <c r="F263" i="6"/>
  <c r="F260" i="6"/>
  <c r="F259" i="6"/>
  <c r="F257" i="6"/>
  <c r="F167" i="6"/>
  <c r="F166" i="6"/>
  <c r="F165" i="6"/>
  <c r="F164" i="6"/>
  <c r="F163" i="6"/>
  <c r="F162" i="6"/>
  <c r="F161" i="6"/>
  <c r="F160" i="6"/>
  <c r="F159" i="6"/>
  <c r="F157" i="6"/>
  <c r="F156" i="6"/>
  <c r="F154" i="6"/>
  <c r="F153" i="6"/>
  <c r="F152" i="6"/>
  <c r="F151" i="6"/>
  <c r="F150" i="6"/>
  <c r="F149" i="6"/>
  <c r="F148" i="6"/>
  <c r="F143" i="6"/>
  <c r="F141" i="6"/>
  <c r="F139" i="6"/>
  <c r="F136" i="6"/>
  <c r="F135" i="6"/>
  <c r="F134" i="6"/>
  <c r="F130" i="6"/>
  <c r="F128" i="6"/>
  <c r="F126" i="6"/>
  <c r="F125" i="6"/>
  <c r="F124" i="6"/>
  <c r="F123" i="6"/>
  <c r="F122" i="6"/>
  <c r="F119" i="6"/>
  <c r="F116" i="6"/>
  <c r="F112" i="6"/>
  <c r="F111" i="6"/>
  <c r="F110" i="6"/>
  <c r="F109" i="6"/>
  <c r="F108" i="6"/>
  <c r="F107" i="6"/>
  <c r="F106" i="6"/>
  <c r="F105" i="6"/>
  <c r="F103" i="6"/>
  <c r="F102" i="6"/>
  <c r="F101" i="6"/>
  <c r="F100" i="6"/>
  <c r="F98" i="6"/>
  <c r="F97" i="6"/>
  <c r="F96" i="6"/>
  <c r="F94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2" i="6"/>
  <c r="F31" i="6"/>
  <c r="F30" i="6"/>
  <c r="F29" i="6"/>
  <c r="F28" i="6"/>
  <c r="F27" i="6"/>
  <c r="F26" i="6"/>
  <c r="F25" i="6"/>
  <c r="F24" i="6"/>
  <c r="F23" i="6"/>
  <c r="F22" i="6"/>
  <c r="F19" i="6"/>
  <c r="F18" i="6"/>
  <c r="F16" i="6"/>
  <c r="F15" i="6"/>
  <c r="F14" i="6"/>
  <c r="F13" i="6"/>
  <c r="F12" i="6"/>
  <c r="F11" i="6"/>
  <c r="F10" i="6"/>
  <c r="F9" i="6"/>
  <c r="G7" i="6"/>
  <c r="K452" i="8"/>
  <c r="K451" i="8"/>
  <c r="K450" i="8"/>
  <c r="K449" i="8"/>
  <c r="K448" i="8"/>
  <c r="K447" i="8"/>
  <c r="K446" i="8"/>
  <c r="K445" i="8"/>
  <c r="K444" i="8"/>
  <c r="K443" i="8"/>
  <c r="K442" i="8"/>
  <c r="K441" i="8"/>
  <c r="K440" i="8"/>
  <c r="K439" i="8"/>
  <c r="K438" i="8"/>
  <c r="K437" i="8"/>
  <c r="K436" i="8"/>
  <c r="K435" i="8"/>
  <c r="K434" i="8"/>
  <c r="K433" i="8"/>
  <c r="K432" i="8"/>
  <c r="K431" i="8"/>
  <c r="K430" i="8"/>
  <c r="K429" i="8"/>
  <c r="K428" i="8"/>
  <c r="K427" i="8"/>
  <c r="K426" i="8"/>
  <c r="K425" i="8"/>
  <c r="K424" i="8"/>
  <c r="K423" i="8"/>
  <c r="K422" i="8"/>
  <c r="K421" i="8"/>
  <c r="K420" i="8"/>
  <c r="K419" i="8"/>
  <c r="K418" i="8"/>
  <c r="K417" i="8"/>
  <c r="K416" i="8"/>
  <c r="K415" i="8"/>
  <c r="K414" i="8"/>
  <c r="K413" i="8"/>
  <c r="K412" i="8"/>
  <c r="K411" i="8"/>
  <c r="K410" i="8"/>
  <c r="K409" i="8"/>
  <c r="K408" i="8"/>
  <c r="K407" i="8"/>
  <c r="K406" i="8"/>
  <c r="K405" i="8"/>
  <c r="K404" i="8"/>
  <c r="K403" i="8"/>
  <c r="K402" i="8"/>
  <c r="K401" i="8"/>
  <c r="K400" i="8"/>
  <c r="K399" i="8"/>
  <c r="K398" i="8"/>
  <c r="K397" i="8"/>
  <c r="K396" i="8"/>
  <c r="K395" i="8"/>
  <c r="K394" i="8"/>
  <c r="K393" i="8"/>
  <c r="K392" i="8"/>
  <c r="K391" i="8"/>
  <c r="K390" i="8"/>
  <c r="K389" i="8"/>
  <c r="K388" i="8"/>
  <c r="K387" i="8"/>
  <c r="K386" i="8"/>
  <c r="K385" i="8"/>
  <c r="K384" i="8"/>
  <c r="K383" i="8"/>
  <c r="K382" i="8"/>
  <c r="K381" i="8"/>
  <c r="K380" i="8"/>
  <c r="K379" i="8"/>
  <c r="K378" i="8"/>
  <c r="K377" i="8"/>
  <c r="K376" i="8"/>
  <c r="K375" i="8"/>
  <c r="K374" i="8"/>
  <c r="K373" i="8"/>
  <c r="K372" i="8"/>
  <c r="K371" i="8"/>
  <c r="K370" i="8"/>
  <c r="K369" i="8"/>
  <c r="K368" i="8"/>
  <c r="K367" i="8"/>
  <c r="K366" i="8"/>
  <c r="K365" i="8"/>
  <c r="K364" i="8"/>
  <c r="K363" i="8"/>
  <c r="K362" i="8"/>
  <c r="K361" i="8"/>
  <c r="K360" i="8"/>
  <c r="K359" i="8"/>
  <c r="K358" i="8"/>
  <c r="K357" i="8"/>
  <c r="K356" i="8"/>
  <c r="K355" i="8"/>
  <c r="K354" i="8"/>
  <c r="K353" i="8"/>
  <c r="K352" i="8"/>
  <c r="K351" i="8"/>
  <c r="K350" i="8"/>
  <c r="K349" i="8"/>
  <c r="K348" i="8"/>
  <c r="K347" i="8"/>
  <c r="K346" i="8"/>
  <c r="K345" i="8"/>
  <c r="K344" i="8"/>
  <c r="K343" i="8"/>
  <c r="K342" i="8"/>
  <c r="K341" i="8"/>
  <c r="K340" i="8"/>
  <c r="K339" i="8"/>
  <c r="K338" i="8"/>
  <c r="K337" i="8"/>
  <c r="K336" i="8"/>
  <c r="K335" i="8"/>
  <c r="K334" i="8"/>
  <c r="K333" i="8"/>
  <c r="K332" i="8"/>
  <c r="K331" i="8"/>
  <c r="K330" i="8"/>
  <c r="K329" i="8"/>
  <c r="K328" i="8"/>
  <c r="K327" i="8"/>
  <c r="K326" i="8"/>
  <c r="K325" i="8"/>
  <c r="K324" i="8"/>
  <c r="K323" i="8"/>
  <c r="K322" i="8"/>
  <c r="K321" i="8"/>
  <c r="K320" i="8"/>
  <c r="K319" i="8"/>
  <c r="K318" i="8"/>
  <c r="K317" i="8"/>
  <c r="K316" i="8"/>
  <c r="K315" i="8"/>
  <c r="K314" i="8"/>
  <c r="K313" i="8"/>
  <c r="K312" i="8"/>
  <c r="K311" i="8"/>
  <c r="K310" i="8"/>
  <c r="K309" i="8"/>
  <c r="K308" i="8"/>
  <c r="K307" i="8"/>
  <c r="K306" i="8"/>
  <c r="K305" i="8"/>
  <c r="K304" i="8"/>
  <c r="K303" i="8"/>
  <c r="K302" i="8"/>
  <c r="K301" i="8"/>
  <c r="K300" i="8"/>
  <c r="K299" i="8"/>
  <c r="K298" i="8"/>
  <c r="K297" i="8"/>
  <c r="K296" i="8"/>
  <c r="K295" i="8"/>
  <c r="K294" i="8"/>
  <c r="K293" i="8"/>
  <c r="K292" i="8"/>
  <c r="K291" i="8"/>
  <c r="K290" i="8"/>
  <c r="K289" i="8"/>
  <c r="K288" i="8"/>
  <c r="K287" i="8"/>
  <c r="K286" i="8"/>
  <c r="K285" i="8"/>
  <c r="K284" i="8"/>
  <c r="K283" i="8"/>
  <c r="K282" i="8"/>
  <c r="K281" i="8"/>
  <c r="K280" i="8"/>
  <c r="K279" i="8"/>
  <c r="K278" i="8"/>
  <c r="K277" i="8"/>
  <c r="K276" i="8"/>
  <c r="K275" i="8"/>
  <c r="K274" i="8"/>
  <c r="K273" i="8"/>
  <c r="K272" i="8"/>
  <c r="K271" i="8"/>
  <c r="K270" i="8"/>
  <c r="K269" i="8"/>
  <c r="K268" i="8"/>
  <c r="K267" i="8"/>
  <c r="K266" i="8"/>
  <c r="K265" i="8"/>
  <c r="K264" i="8"/>
  <c r="K263" i="8"/>
  <c r="K262" i="8"/>
  <c r="K261" i="8"/>
  <c r="K260" i="8"/>
  <c r="K259" i="8"/>
  <c r="K258" i="8"/>
  <c r="K257" i="8"/>
  <c r="K256" i="8"/>
  <c r="K255" i="8"/>
  <c r="K254" i="8"/>
  <c r="K253" i="8"/>
  <c r="K252" i="8"/>
  <c r="K251" i="8"/>
  <c r="K250" i="8"/>
  <c r="K249" i="8"/>
  <c r="K248" i="8"/>
  <c r="K24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F7" i="6" l="1"/>
  <c r="AG251" i="6" l="1"/>
  <c r="AC251" i="6"/>
  <c r="AH251" i="6" s="1"/>
  <c r="AM251" i="6" s="1"/>
  <c r="Q251" i="6"/>
  <c r="AC256" i="6"/>
  <c r="AH256" i="6" s="1"/>
  <c r="AM256" i="6" s="1"/>
  <c r="Q256" i="6"/>
  <c r="AM255" i="6"/>
  <c r="AC255" i="6"/>
  <c r="AD255" i="6" s="1"/>
  <c r="AG255" i="6" s="1"/>
  <c r="Q255" i="6"/>
  <c r="AC254" i="6"/>
  <c r="AH254" i="6" s="1"/>
  <c r="AM254" i="6" s="1"/>
  <c r="Q254" i="6"/>
  <c r="AM253" i="6"/>
  <c r="AC253" i="6"/>
  <c r="AD253" i="6" s="1"/>
  <c r="AG253" i="6" s="1"/>
  <c r="Q253" i="6"/>
  <c r="AC252" i="6"/>
  <c r="AH252" i="6" s="1"/>
  <c r="AM252" i="6" s="1"/>
  <c r="Q252" i="6"/>
  <c r="AC250" i="6"/>
  <c r="AD250" i="6" s="1"/>
  <c r="AG250" i="6" s="1"/>
  <c r="Q250" i="6"/>
  <c r="AC249" i="6"/>
  <c r="AD249" i="6" s="1"/>
  <c r="AG249" i="6" s="1"/>
  <c r="Q249" i="6"/>
  <c r="AC248" i="6"/>
  <c r="AD248" i="6" s="1"/>
  <c r="AG248" i="6" s="1"/>
  <c r="Q248" i="6"/>
  <c r="AC247" i="6"/>
  <c r="AH247" i="6" s="1"/>
  <c r="AM247" i="6" s="1"/>
  <c r="Q247" i="6"/>
  <c r="AC246" i="6"/>
  <c r="AH246" i="6" s="1"/>
  <c r="AM246" i="6" s="1"/>
  <c r="Q246" i="6"/>
  <c r="AC245" i="6"/>
  <c r="AH245" i="6" s="1"/>
  <c r="AM245" i="6" s="1"/>
  <c r="Q245" i="6"/>
  <c r="AC244" i="6"/>
  <c r="AD244" i="6" s="1"/>
  <c r="AG244" i="6" s="1"/>
  <c r="Q244" i="6"/>
  <c r="AC243" i="6"/>
  <c r="AH243" i="6" s="1"/>
  <c r="AM243" i="6" s="1"/>
  <c r="Q243" i="6"/>
  <c r="AC242" i="6"/>
  <c r="AH242" i="6" s="1"/>
  <c r="AM242" i="6" s="1"/>
  <c r="Q242" i="6"/>
  <c r="AC241" i="6"/>
  <c r="AD241" i="6" s="1"/>
  <c r="AG241" i="6" s="1"/>
  <c r="Q241" i="6"/>
  <c r="AC239" i="6"/>
  <c r="AD239" i="6" s="1"/>
  <c r="AG239" i="6" s="1"/>
  <c r="Q239" i="6"/>
  <c r="AC240" i="6"/>
  <c r="AH240" i="6" s="1"/>
  <c r="AM240" i="6" s="1"/>
  <c r="Q240" i="6"/>
  <c r="AC238" i="6"/>
  <c r="AH238" i="6" s="1"/>
  <c r="AM238" i="6" s="1"/>
  <c r="Q238" i="6"/>
  <c r="AC237" i="6"/>
  <c r="AH237" i="6" s="1"/>
  <c r="AM237" i="6" s="1"/>
  <c r="Q237" i="6"/>
  <c r="AC236" i="6"/>
  <c r="AD236" i="6" s="1"/>
  <c r="AG236" i="6" s="1"/>
  <c r="Q236" i="6"/>
  <c r="AC235" i="6"/>
  <c r="AH235" i="6" s="1"/>
  <c r="AM235" i="6" s="1"/>
  <c r="Q235" i="6"/>
  <c r="AC234" i="6"/>
  <c r="AH234" i="6" s="1"/>
  <c r="AM234" i="6" s="1"/>
  <c r="Q234" i="6"/>
  <c r="AC233" i="6"/>
  <c r="AD233" i="6" s="1"/>
  <c r="AG233" i="6" s="1"/>
  <c r="Q233" i="6"/>
  <c r="AC232" i="6"/>
  <c r="AD232" i="6" s="1"/>
  <c r="AG232" i="6" s="1"/>
  <c r="Q232" i="6"/>
  <c r="AC231" i="6"/>
  <c r="AH231" i="6" s="1"/>
  <c r="AM231" i="6" s="1"/>
  <c r="Q231" i="6"/>
  <c r="AC230" i="6"/>
  <c r="AH230" i="6" s="1"/>
  <c r="AM230" i="6" s="1"/>
  <c r="Q230" i="6"/>
  <c r="AC229" i="6"/>
  <c r="AD229" i="6" s="1"/>
  <c r="AG229" i="6" s="1"/>
  <c r="Q229" i="6"/>
  <c r="AC228" i="6"/>
  <c r="AD228" i="6" s="1"/>
  <c r="AG228" i="6" s="1"/>
  <c r="Q228" i="6"/>
  <c r="AC227" i="6"/>
  <c r="AH227" i="6" s="1"/>
  <c r="AM227" i="6" s="1"/>
  <c r="Q227" i="6"/>
  <c r="AC226" i="6"/>
  <c r="AH226" i="6" s="1"/>
  <c r="AM226" i="6" s="1"/>
  <c r="Q226" i="6"/>
  <c r="AC225" i="6"/>
  <c r="AD225" i="6" s="1"/>
  <c r="AG225" i="6" s="1"/>
  <c r="Q225" i="6"/>
  <c r="AC224" i="6"/>
  <c r="AD224" i="6" s="1"/>
  <c r="AG224" i="6" s="1"/>
  <c r="Q224" i="6"/>
  <c r="AC223" i="6"/>
  <c r="AH223" i="6" s="1"/>
  <c r="AM223" i="6" s="1"/>
  <c r="Q223" i="6"/>
  <c r="AC222" i="6"/>
  <c r="AH222" i="6" s="1"/>
  <c r="AM222" i="6" s="1"/>
  <c r="Q222" i="6"/>
  <c r="AC221" i="6"/>
  <c r="AH221" i="6" s="1"/>
  <c r="AM221" i="6" s="1"/>
  <c r="Q221" i="6"/>
  <c r="AC220" i="6"/>
  <c r="AD220" i="6" s="1"/>
  <c r="AG220" i="6" s="1"/>
  <c r="Q220" i="6"/>
  <c r="AC219" i="6"/>
  <c r="AH219" i="6" s="1"/>
  <c r="AM219" i="6" s="1"/>
  <c r="Q219" i="6"/>
  <c r="AC218" i="6"/>
  <c r="AD218" i="6" s="1"/>
  <c r="AG218" i="6" s="1"/>
  <c r="Q218" i="6"/>
  <c r="AC217" i="6"/>
  <c r="AD217" i="6" s="1"/>
  <c r="AG217" i="6" s="1"/>
  <c r="Q217" i="6"/>
  <c r="AC216" i="6"/>
  <c r="AD216" i="6" s="1"/>
  <c r="AG216" i="6" s="1"/>
  <c r="Q216" i="6"/>
  <c r="AG215" i="6"/>
  <c r="AC215" i="6"/>
  <c r="AH215" i="6" s="1"/>
  <c r="AM215" i="6" s="1"/>
  <c r="Q215" i="6"/>
  <c r="AC214" i="6"/>
  <c r="AH214" i="6" s="1"/>
  <c r="AM214" i="6" s="1"/>
  <c r="Q214" i="6"/>
  <c r="AC213" i="6"/>
  <c r="AD213" i="6" s="1"/>
  <c r="AG213" i="6" s="1"/>
  <c r="Q213" i="6"/>
  <c r="AC212" i="6"/>
  <c r="AH212" i="6" s="1"/>
  <c r="AM212" i="6" s="1"/>
  <c r="Q212" i="6"/>
  <c r="AC211" i="6"/>
  <c r="AD211" i="6" s="1"/>
  <c r="AG211" i="6" s="1"/>
  <c r="Q211" i="6"/>
  <c r="AC210" i="6"/>
  <c r="AH210" i="6" s="1"/>
  <c r="AM210" i="6" s="1"/>
  <c r="Q210" i="6"/>
  <c r="AC209" i="6"/>
  <c r="AH209" i="6" s="1"/>
  <c r="AM209" i="6" s="1"/>
  <c r="Q209" i="6"/>
  <c r="AC208" i="6"/>
  <c r="AH208" i="6" s="1"/>
  <c r="AM208" i="6" s="1"/>
  <c r="Q208" i="6"/>
  <c r="AC207" i="6"/>
  <c r="AD207" i="6" s="1"/>
  <c r="AG207" i="6" s="1"/>
  <c r="Q207" i="6"/>
  <c r="AC206" i="6"/>
  <c r="AH206" i="6" s="1"/>
  <c r="AM206" i="6" s="1"/>
  <c r="Q206" i="6"/>
  <c r="AC205" i="6"/>
  <c r="AH205" i="6" s="1"/>
  <c r="AM205" i="6" s="1"/>
  <c r="Q205" i="6"/>
  <c r="AC204" i="6"/>
  <c r="AH204" i="6" s="1"/>
  <c r="AM204" i="6" s="1"/>
  <c r="Q204" i="6"/>
  <c r="AC203" i="6"/>
  <c r="AD203" i="6" s="1"/>
  <c r="AG203" i="6" s="1"/>
  <c r="Q203" i="6"/>
  <c r="AC202" i="6"/>
  <c r="AH202" i="6" s="1"/>
  <c r="AM202" i="6" s="1"/>
  <c r="Q202" i="6"/>
  <c r="AC201" i="6"/>
  <c r="AD201" i="6" s="1"/>
  <c r="AG201" i="6" s="1"/>
  <c r="Q201" i="6"/>
  <c r="AC200" i="6"/>
  <c r="AH200" i="6" s="1"/>
  <c r="AM200" i="6" s="1"/>
  <c r="Q200" i="6"/>
  <c r="AC199" i="6"/>
  <c r="AD199" i="6" s="1"/>
  <c r="AG199" i="6" s="1"/>
  <c r="Q199" i="6"/>
  <c r="AC198" i="6"/>
  <c r="AH198" i="6" s="1"/>
  <c r="AM198" i="6" s="1"/>
  <c r="Q198" i="6"/>
  <c r="AC197" i="6"/>
  <c r="AD197" i="6" s="1"/>
  <c r="AG197" i="6" s="1"/>
  <c r="Q197" i="6"/>
  <c r="AC196" i="6"/>
  <c r="AH196" i="6" s="1"/>
  <c r="AM196" i="6" s="1"/>
  <c r="Q196" i="6"/>
  <c r="AC195" i="6"/>
  <c r="AD195" i="6" s="1"/>
  <c r="AG195" i="6" s="1"/>
  <c r="P195" i="6"/>
  <c r="Q195" i="6" s="1"/>
  <c r="AC194" i="6"/>
  <c r="AH194" i="6" s="1"/>
  <c r="AM194" i="6" s="1"/>
  <c r="Q194" i="6"/>
  <c r="AC193" i="6"/>
  <c r="AD193" i="6" s="1"/>
  <c r="AG193" i="6" s="1"/>
  <c r="Q193" i="6"/>
  <c r="AC192" i="6"/>
  <c r="AD192" i="6" s="1"/>
  <c r="AG192" i="6" s="1"/>
  <c r="Q192" i="6"/>
  <c r="AC191" i="6"/>
  <c r="AH191" i="6" s="1"/>
  <c r="AM191" i="6" s="1"/>
  <c r="Q191" i="6"/>
  <c r="AC190" i="6"/>
  <c r="AH190" i="6" s="1"/>
  <c r="AM190" i="6" s="1"/>
  <c r="Q190" i="6"/>
  <c r="AC189" i="6"/>
  <c r="AH189" i="6" s="1"/>
  <c r="AM189" i="6" s="1"/>
  <c r="Q189" i="6"/>
  <c r="AC188" i="6"/>
  <c r="AD188" i="6" s="1"/>
  <c r="AG188" i="6" s="1"/>
  <c r="Q188" i="6"/>
  <c r="AC187" i="6"/>
  <c r="AH187" i="6" s="1"/>
  <c r="AM187" i="6" s="1"/>
  <c r="Q187" i="6"/>
  <c r="AC186" i="6"/>
  <c r="AD186" i="6" s="1"/>
  <c r="AG186" i="6" s="1"/>
  <c r="Q186" i="6"/>
  <c r="AC185" i="6"/>
  <c r="AD185" i="6" s="1"/>
  <c r="AG185" i="6" s="1"/>
  <c r="Q185" i="6"/>
  <c r="AC184" i="6"/>
  <c r="AD184" i="6" s="1"/>
  <c r="AG184" i="6" s="1"/>
  <c r="Q184" i="6"/>
  <c r="AC183" i="6"/>
  <c r="AH183" i="6" s="1"/>
  <c r="AM183" i="6" s="1"/>
  <c r="Q183" i="6"/>
  <c r="AC182" i="6"/>
  <c r="AH182" i="6" s="1"/>
  <c r="AM182" i="6" s="1"/>
  <c r="Q182" i="6"/>
  <c r="AC181" i="6"/>
  <c r="AD181" i="6" s="1"/>
  <c r="AG181" i="6" s="1"/>
  <c r="Q181" i="6"/>
  <c r="AC180" i="6"/>
  <c r="AD180" i="6" s="1"/>
  <c r="AG180" i="6" s="1"/>
  <c r="Q180" i="6"/>
  <c r="AC179" i="6"/>
  <c r="AH179" i="6" s="1"/>
  <c r="AM179" i="6" s="1"/>
  <c r="Q179" i="6"/>
  <c r="AC178" i="6"/>
  <c r="AH178" i="6" s="1"/>
  <c r="AM178" i="6" s="1"/>
  <c r="Q178" i="6"/>
  <c r="AC177" i="6"/>
  <c r="AH177" i="6" s="1"/>
  <c r="AM177" i="6" s="1"/>
  <c r="Q177" i="6"/>
  <c r="AC176" i="6"/>
  <c r="AD176" i="6" s="1"/>
  <c r="AG176" i="6" s="1"/>
  <c r="Q176" i="6"/>
  <c r="AC175" i="6"/>
  <c r="AH175" i="6" s="1"/>
  <c r="AM175" i="6" s="1"/>
  <c r="Q175" i="6"/>
  <c r="AC174" i="6"/>
  <c r="AH174" i="6" s="1"/>
  <c r="AM174" i="6" s="1"/>
  <c r="Q174" i="6"/>
  <c r="AC173" i="6"/>
  <c r="AD173" i="6" s="1"/>
  <c r="AG173" i="6" s="1"/>
  <c r="Q173" i="6"/>
  <c r="AC172" i="6"/>
  <c r="AD172" i="6" s="1"/>
  <c r="AG172" i="6" s="1"/>
  <c r="Q172" i="6"/>
  <c r="AC171" i="6"/>
  <c r="AH171" i="6" s="1"/>
  <c r="AM171" i="6" s="1"/>
  <c r="Q171" i="6"/>
  <c r="AC169" i="6"/>
  <c r="AH169" i="6" s="1"/>
  <c r="AM169" i="6" s="1"/>
  <c r="Q169" i="6"/>
  <c r="AC170" i="6"/>
  <c r="AD170" i="6" s="1"/>
  <c r="AG170" i="6" s="1"/>
  <c r="Q170" i="6"/>
  <c r="AC168" i="6"/>
  <c r="AD168" i="6" s="1"/>
  <c r="AG168" i="6" s="1"/>
  <c r="Q168" i="6"/>
  <c r="AM167" i="6"/>
  <c r="AC167" i="6"/>
  <c r="AD167" i="6" s="1"/>
  <c r="AG167" i="6" s="1"/>
  <c r="AM363" i="6"/>
  <c r="AG363" i="6"/>
  <c r="AC363" i="6"/>
  <c r="N363" i="6" s="1"/>
  <c r="AM362" i="6"/>
  <c r="AG362" i="6"/>
  <c r="AC362" i="6"/>
  <c r="AM361" i="6"/>
  <c r="AG361" i="6"/>
  <c r="AC361" i="6"/>
  <c r="N361" i="6" s="1"/>
  <c r="AM360" i="6"/>
  <c r="AG360" i="6"/>
  <c r="AC360" i="6"/>
  <c r="N360" i="6" s="1"/>
  <c r="AM359" i="6"/>
  <c r="AG359" i="6"/>
  <c r="AC359" i="6"/>
  <c r="N359" i="6" s="1"/>
  <c r="AM358" i="6"/>
  <c r="AG358" i="6"/>
  <c r="AC358" i="6"/>
  <c r="N358" i="6" s="1"/>
  <c r="AM357" i="6"/>
  <c r="AG357" i="6"/>
  <c r="AC357" i="6"/>
  <c r="N357" i="6" s="1"/>
  <c r="AM356" i="6"/>
  <c r="AG356" i="6"/>
  <c r="AC356" i="6"/>
  <c r="N356" i="6" s="1"/>
  <c r="AM355" i="6"/>
  <c r="AG355" i="6"/>
  <c r="AC355" i="6"/>
  <c r="N355" i="6" s="1"/>
  <c r="AM354" i="6"/>
  <c r="AG354" i="6"/>
  <c r="AC354" i="6"/>
  <c r="AM353" i="6"/>
  <c r="AG353" i="6"/>
  <c r="AC353" i="6"/>
  <c r="AM352" i="6"/>
  <c r="AG352" i="6"/>
  <c r="AC352" i="6"/>
  <c r="AM351" i="6"/>
  <c r="AG351" i="6"/>
  <c r="AC351" i="6"/>
  <c r="AM350" i="6"/>
  <c r="AG350" i="6"/>
  <c r="AC350" i="6"/>
  <c r="AM349" i="6"/>
  <c r="AG349" i="6"/>
  <c r="AC349" i="6"/>
  <c r="AM348" i="6"/>
  <c r="AG348" i="6"/>
  <c r="AC348" i="6"/>
  <c r="AM347" i="6"/>
  <c r="AG347" i="6"/>
  <c r="AC347" i="6"/>
  <c r="AM346" i="6"/>
  <c r="AG346" i="6"/>
  <c r="AC346" i="6"/>
  <c r="AM345" i="6"/>
  <c r="AG345" i="6"/>
  <c r="AC345" i="6"/>
  <c r="AM344" i="6"/>
  <c r="AG344" i="6"/>
  <c r="AC344" i="6"/>
  <c r="AM343" i="6"/>
  <c r="AG343" i="6"/>
  <c r="AC343" i="6"/>
  <c r="AM342" i="6"/>
  <c r="AG342" i="6"/>
  <c r="AC342" i="6"/>
  <c r="AM341" i="6"/>
  <c r="AG341" i="6"/>
  <c r="AC341" i="6"/>
  <c r="AG340" i="6"/>
  <c r="AC340" i="6"/>
  <c r="N340" i="6" s="1"/>
  <c r="AM339" i="6"/>
  <c r="AG339" i="6"/>
  <c r="AC339" i="6"/>
  <c r="AM338" i="6"/>
  <c r="AG338" i="6"/>
  <c r="AC338" i="6"/>
  <c r="AM337" i="6"/>
  <c r="AG337" i="6"/>
  <c r="AC337" i="6"/>
  <c r="AM336" i="6"/>
  <c r="AG336" i="6"/>
  <c r="AC336" i="6"/>
  <c r="AM335" i="6"/>
  <c r="AG335" i="6"/>
  <c r="AC335" i="6"/>
  <c r="AM334" i="6"/>
  <c r="AG334" i="6"/>
  <c r="AC334" i="6"/>
  <c r="AM333" i="6"/>
  <c r="AG333" i="6"/>
  <c r="AC333" i="6"/>
  <c r="AM332" i="6"/>
  <c r="AG332" i="6"/>
  <c r="AC332" i="6"/>
  <c r="AM331" i="6"/>
  <c r="AG331" i="6"/>
  <c r="AC331" i="6"/>
  <c r="AM330" i="6"/>
  <c r="AG330" i="6"/>
  <c r="AC330" i="6"/>
  <c r="AM329" i="6"/>
  <c r="AG329" i="6"/>
  <c r="AC329" i="6"/>
  <c r="AM328" i="6"/>
  <c r="AG328" i="6"/>
  <c r="AC328" i="6"/>
  <c r="AM327" i="6"/>
  <c r="AG327" i="6"/>
  <c r="AC327" i="6"/>
  <c r="AM326" i="6"/>
  <c r="AG326" i="6"/>
  <c r="AC326" i="6"/>
  <c r="AM325" i="6"/>
  <c r="AG325" i="6"/>
  <c r="AC325" i="6"/>
  <c r="AM324" i="6"/>
  <c r="AG324" i="6"/>
  <c r="AC324" i="6"/>
  <c r="AM323" i="6"/>
  <c r="AG323" i="6"/>
  <c r="AC323" i="6"/>
  <c r="N323" i="6" s="1"/>
  <c r="AM322" i="6"/>
  <c r="AG322" i="6"/>
  <c r="AC322" i="6"/>
  <c r="AM321" i="6"/>
  <c r="AG321" i="6"/>
  <c r="AC321" i="6"/>
  <c r="AM320" i="6"/>
  <c r="AG320" i="6"/>
  <c r="AC320" i="6"/>
  <c r="AM319" i="6"/>
  <c r="AG319" i="6"/>
  <c r="AC319" i="6"/>
  <c r="AM318" i="6"/>
  <c r="AG318" i="6"/>
  <c r="AC318" i="6"/>
  <c r="AG317" i="6"/>
  <c r="AM316" i="6"/>
  <c r="AG316" i="6"/>
  <c r="AC316" i="6"/>
  <c r="AM315" i="6"/>
  <c r="AG315" i="6"/>
  <c r="AC315" i="6"/>
  <c r="AM314" i="6"/>
  <c r="AG314" i="6"/>
  <c r="AC314" i="6"/>
  <c r="AM313" i="6"/>
  <c r="AG313" i="6"/>
  <c r="AC313" i="6"/>
  <c r="AM312" i="6"/>
  <c r="AG312" i="6"/>
  <c r="AC312" i="6"/>
  <c r="AM311" i="6"/>
  <c r="AG311" i="6"/>
  <c r="AC311" i="6"/>
  <c r="AG310" i="6"/>
  <c r="AC310" i="6"/>
  <c r="AG309" i="6"/>
  <c r="AC309" i="6"/>
  <c r="AG308" i="6"/>
  <c r="AC308" i="6"/>
  <c r="AM307" i="6"/>
  <c r="AG307" i="6"/>
  <c r="AC307" i="6"/>
  <c r="AM306" i="6"/>
  <c r="AG306" i="6"/>
  <c r="AC306" i="6"/>
  <c r="AM305" i="6"/>
  <c r="AG305" i="6"/>
  <c r="AC305" i="6"/>
  <c r="AM304" i="6"/>
  <c r="AG304" i="6"/>
  <c r="AC304" i="6"/>
  <c r="AM303" i="6"/>
  <c r="AG303" i="6"/>
  <c r="AA303" i="6"/>
  <c r="AC303" i="6" s="1"/>
  <c r="AM302" i="6"/>
  <c r="AG302" i="6"/>
  <c r="AC302" i="6"/>
  <c r="AM301" i="6"/>
  <c r="AG301" i="6"/>
  <c r="AC301" i="6"/>
  <c r="AM300" i="6"/>
  <c r="AG300" i="6"/>
  <c r="AC300" i="6"/>
  <c r="AM299" i="6"/>
  <c r="AG299" i="6"/>
  <c r="AC299" i="6"/>
  <c r="AM298" i="6"/>
  <c r="AG298" i="6"/>
  <c r="AC298" i="6"/>
  <c r="AM297" i="6"/>
  <c r="AG297" i="6"/>
  <c r="AC297" i="6"/>
  <c r="AM296" i="6"/>
  <c r="AG296" i="6"/>
  <c r="AC296" i="6"/>
  <c r="AM295" i="6"/>
  <c r="AG295" i="6"/>
  <c r="AC295" i="6"/>
  <c r="AM294" i="6"/>
  <c r="AG294" i="6"/>
  <c r="AC294" i="6"/>
  <c r="AM293" i="6"/>
  <c r="AG293" i="6"/>
  <c r="AC293" i="6"/>
  <c r="AM292" i="6"/>
  <c r="AG292" i="6"/>
  <c r="AC292" i="6"/>
  <c r="AM291" i="6"/>
  <c r="AG291" i="6"/>
  <c r="AC291" i="6"/>
  <c r="AM290" i="6"/>
  <c r="AG290" i="6"/>
  <c r="AC290" i="6"/>
  <c r="AM289" i="6"/>
  <c r="AG289" i="6"/>
  <c r="AC289" i="6"/>
  <c r="AC288" i="6"/>
  <c r="AM287" i="6"/>
  <c r="AG287" i="6"/>
  <c r="AC287" i="6"/>
  <c r="AM286" i="6"/>
  <c r="AG286" i="6"/>
  <c r="AC286" i="6"/>
  <c r="AM285" i="6"/>
  <c r="AG285" i="6"/>
  <c r="AC285" i="6"/>
  <c r="AM284" i="6"/>
  <c r="AG284" i="6"/>
  <c r="AC284" i="6"/>
  <c r="AM283" i="6"/>
  <c r="AG283" i="6"/>
  <c r="AC283" i="6"/>
  <c r="AC282" i="6"/>
  <c r="N282" i="6" s="1"/>
  <c r="AC281" i="6"/>
  <c r="N281" i="6" s="1"/>
  <c r="AM279" i="6"/>
  <c r="AG279" i="6"/>
  <c r="AC279" i="6"/>
  <c r="AM280" i="6"/>
  <c r="AG280" i="6"/>
  <c r="AA280" i="6"/>
  <c r="AC280" i="6" s="1"/>
  <c r="AM278" i="6"/>
  <c r="AG278" i="6"/>
  <c r="AC278" i="6"/>
  <c r="AM277" i="6"/>
  <c r="AG277" i="6"/>
  <c r="AC277" i="6"/>
  <c r="AC276" i="6"/>
  <c r="AM275" i="6"/>
  <c r="AG275" i="6"/>
  <c r="AC275" i="6"/>
  <c r="AM274" i="6"/>
  <c r="AG274" i="6"/>
  <c r="AC274" i="6"/>
  <c r="AM273" i="6"/>
  <c r="AG273" i="6"/>
  <c r="AC273" i="6"/>
  <c r="AM272" i="6"/>
  <c r="AG272" i="6"/>
  <c r="AC272" i="6"/>
  <c r="AM271" i="6"/>
  <c r="AG271" i="6"/>
  <c r="AC271" i="6"/>
  <c r="AM270" i="6"/>
  <c r="AG270" i="6"/>
  <c r="AC270" i="6"/>
  <c r="AM269" i="6"/>
  <c r="AG269" i="6"/>
  <c r="AC269" i="6"/>
  <c r="AM268" i="6"/>
  <c r="AG268" i="6"/>
  <c r="AC268" i="6"/>
  <c r="AM267" i="6"/>
  <c r="AG267" i="6"/>
  <c r="AC267" i="6"/>
  <c r="AM266" i="6"/>
  <c r="AG266" i="6"/>
  <c r="AC266" i="6"/>
  <c r="AM265" i="6"/>
  <c r="AG265" i="6"/>
  <c r="AC265" i="6"/>
  <c r="AM263" i="6"/>
  <c r="AG263" i="6"/>
  <c r="AC263" i="6"/>
  <c r="AC261" i="6"/>
  <c r="AM260" i="6"/>
  <c r="AG260" i="6"/>
  <c r="AC260" i="6"/>
  <c r="AM258" i="6"/>
  <c r="AG258" i="6"/>
  <c r="AC258" i="6"/>
  <c r="AM259" i="6"/>
  <c r="AG259" i="6"/>
  <c r="AC259" i="6"/>
  <c r="AM257" i="6"/>
  <c r="AG257" i="6"/>
  <c r="AC257" i="6"/>
  <c r="Q167" i="6"/>
  <c r="Q363" i="6"/>
  <c r="Q362" i="6"/>
  <c r="Q361" i="6"/>
  <c r="Q360" i="6"/>
  <c r="Q359" i="6"/>
  <c r="Q358" i="6"/>
  <c r="Q357" i="6"/>
  <c r="Q356" i="6"/>
  <c r="Q355" i="6"/>
  <c r="Q354" i="6"/>
  <c r="Q353" i="6"/>
  <c r="Q352" i="6"/>
  <c r="Q351" i="6"/>
  <c r="Q350" i="6"/>
  <c r="Q349" i="6"/>
  <c r="Q348" i="6"/>
  <c r="Q347" i="6"/>
  <c r="Q346" i="6"/>
  <c r="Q345" i="6"/>
  <c r="Q344" i="6"/>
  <c r="Q343" i="6"/>
  <c r="Q342" i="6"/>
  <c r="P341" i="6"/>
  <c r="Q341" i="6" s="1"/>
  <c r="Q340" i="6"/>
  <c r="Q339" i="6"/>
  <c r="Q338" i="6"/>
  <c r="Q337" i="6"/>
  <c r="Q336" i="6"/>
  <c r="Q335" i="6"/>
  <c r="Q334" i="6"/>
  <c r="Q333" i="6"/>
  <c r="Q332" i="6"/>
  <c r="Q331" i="6"/>
  <c r="Q330" i="6"/>
  <c r="Q329" i="6"/>
  <c r="Q328" i="6"/>
  <c r="Q327" i="6"/>
  <c r="Q326" i="6"/>
  <c r="Q325" i="6"/>
  <c r="Q324" i="6"/>
  <c r="Q323" i="6"/>
  <c r="Q322" i="6"/>
  <c r="Q321" i="6"/>
  <c r="Q320" i="6"/>
  <c r="Q319" i="6"/>
  <c r="Q318" i="6"/>
  <c r="Q316" i="6"/>
  <c r="Q315" i="6"/>
  <c r="Q314" i="6"/>
  <c r="Q313" i="6"/>
  <c r="Q312" i="6"/>
  <c r="Q311" i="6"/>
  <c r="Q310" i="6"/>
  <c r="Q309" i="6"/>
  <c r="Q308" i="6"/>
  <c r="Q307" i="6"/>
  <c r="Q306" i="6"/>
  <c r="Q305" i="6"/>
  <c r="Q304" i="6"/>
  <c r="P303" i="6"/>
  <c r="Q303" i="6" s="1"/>
  <c r="Q302" i="6"/>
  <c r="Q301" i="6"/>
  <c r="Q300" i="6"/>
  <c r="Q299" i="6"/>
  <c r="Q298" i="6"/>
  <c r="Q297" i="6"/>
  <c r="Q296" i="6"/>
  <c r="Q295" i="6"/>
  <c r="Q294" i="6"/>
  <c r="Q293" i="6"/>
  <c r="Q292" i="6"/>
  <c r="Q291" i="6"/>
  <c r="Q290" i="6"/>
  <c r="Q289" i="6"/>
  <c r="Q288" i="6"/>
  <c r="Q287" i="6"/>
  <c r="Q286" i="6"/>
  <c r="Q285" i="6"/>
  <c r="Q284" i="6"/>
  <c r="Q283" i="6"/>
  <c r="P282" i="6"/>
  <c r="Q282" i="6" s="1"/>
  <c r="Q281" i="6"/>
  <c r="Q279" i="6"/>
  <c r="Q278" i="6"/>
  <c r="Q277" i="6"/>
  <c r="Q276" i="6"/>
  <c r="Q275" i="6"/>
  <c r="P274" i="6"/>
  <c r="Q274" i="6" s="1"/>
  <c r="P273" i="6"/>
  <c r="Q273" i="6" s="1"/>
  <c r="Q272" i="6"/>
  <c r="Q271" i="6"/>
  <c r="P270" i="6"/>
  <c r="Q270" i="6" s="1"/>
  <c r="Q269" i="6"/>
  <c r="Q268" i="6"/>
  <c r="Q267" i="6"/>
  <c r="Q266" i="6"/>
  <c r="P265" i="6"/>
  <c r="Q265" i="6" s="1"/>
  <c r="Q263" i="6"/>
  <c r="Q262" i="6"/>
  <c r="Q261" i="6"/>
  <c r="Q260" i="6"/>
  <c r="P258" i="6"/>
  <c r="Q258" i="6" s="1"/>
  <c r="Q259" i="6"/>
  <c r="Q257" i="6"/>
  <c r="AL7" i="6"/>
  <c r="AB7" i="6"/>
  <c r="C7" i="6"/>
  <c r="D7" i="6"/>
  <c r="K7" i="6"/>
  <c r="L7" i="6"/>
  <c r="B7" i="3"/>
  <c r="W7" i="6"/>
  <c r="X7" i="6"/>
  <c r="Y7" i="6"/>
  <c r="AE7" i="6"/>
  <c r="AI7" i="6"/>
  <c r="AJ7" i="6"/>
  <c r="AK7" i="6"/>
  <c r="AM61" i="6"/>
  <c r="AG61" i="6"/>
  <c r="AC61" i="6"/>
  <c r="Q61" i="6"/>
  <c r="H61" i="6"/>
  <c r="AM60" i="6"/>
  <c r="AG60" i="6"/>
  <c r="AC60" i="6"/>
  <c r="Q60" i="6"/>
  <c r="H60" i="6"/>
  <c r="AM64" i="6"/>
  <c r="AG64" i="6"/>
  <c r="AC64" i="6"/>
  <c r="Q64" i="6"/>
  <c r="H64" i="6"/>
  <c r="AM63" i="6"/>
  <c r="AG63" i="6"/>
  <c r="AC63" i="6"/>
  <c r="Q63" i="6"/>
  <c r="H63" i="6"/>
  <c r="AM62" i="6"/>
  <c r="AG62" i="6"/>
  <c r="AC62" i="6"/>
  <c r="Q62" i="6"/>
  <c r="H62" i="6"/>
  <c r="AM59" i="6"/>
  <c r="AG59" i="6"/>
  <c r="AC59" i="6"/>
  <c r="Q59" i="6"/>
  <c r="H59" i="6"/>
  <c r="AM38" i="6"/>
  <c r="AG38" i="6"/>
  <c r="AC38" i="6"/>
  <c r="Q38" i="6"/>
  <c r="H38" i="6"/>
  <c r="AM58" i="6"/>
  <c r="AG58" i="6"/>
  <c r="AC58" i="6"/>
  <c r="Q58" i="6"/>
  <c r="H58" i="6"/>
  <c r="AM166" i="6"/>
  <c r="AG166" i="6"/>
  <c r="AC166" i="6"/>
  <c r="Q166" i="6"/>
  <c r="H166" i="6"/>
  <c r="AM51" i="6"/>
  <c r="AG51" i="6"/>
  <c r="AC51" i="6"/>
  <c r="Q51" i="6"/>
  <c r="H51" i="6"/>
  <c r="AM165" i="6"/>
  <c r="AG165" i="6"/>
  <c r="AC165" i="6"/>
  <c r="Q165" i="6"/>
  <c r="H165" i="6"/>
  <c r="AM44" i="6"/>
  <c r="AG44" i="6"/>
  <c r="AC44" i="6"/>
  <c r="Q44" i="6"/>
  <c r="H44" i="6"/>
  <c r="AM27" i="6"/>
  <c r="AG27" i="6"/>
  <c r="AC27" i="6"/>
  <c r="Q27" i="6"/>
  <c r="H27" i="6"/>
  <c r="AM12" i="6"/>
  <c r="AG12" i="6"/>
  <c r="AC12" i="6"/>
  <c r="Q12" i="6"/>
  <c r="AM42" i="6"/>
  <c r="AG42" i="6"/>
  <c r="AC42" i="6"/>
  <c r="Q42" i="6"/>
  <c r="H42" i="6"/>
  <c r="AM37" i="6"/>
  <c r="AG37" i="6"/>
  <c r="AC37" i="6"/>
  <c r="Q37" i="6"/>
  <c r="H37" i="6"/>
  <c r="AM16" i="6"/>
  <c r="AG16" i="6"/>
  <c r="AC16" i="6"/>
  <c r="Q16" i="6"/>
  <c r="AM366" i="6"/>
  <c r="AG366" i="6"/>
  <c r="AC366" i="6"/>
  <c r="Q366" i="6"/>
  <c r="H366" i="6"/>
  <c r="AM36" i="6"/>
  <c r="AG36" i="6"/>
  <c r="AC36" i="6"/>
  <c r="Q36" i="6"/>
  <c r="H36" i="6"/>
  <c r="AM370" i="6"/>
  <c r="AG370" i="6"/>
  <c r="AC370" i="6"/>
  <c r="Q370" i="6"/>
  <c r="H370" i="6"/>
  <c r="AM26" i="6"/>
  <c r="AG26" i="6"/>
  <c r="AC26" i="6"/>
  <c r="Q26" i="6"/>
  <c r="H26" i="6"/>
  <c r="AM35" i="6"/>
  <c r="AG35" i="6"/>
  <c r="AC35" i="6"/>
  <c r="Q35" i="6"/>
  <c r="H35" i="6"/>
  <c r="AM364" i="6"/>
  <c r="AG364" i="6"/>
  <c r="AC364" i="6"/>
  <c r="Q364" i="6"/>
  <c r="AM34" i="6"/>
  <c r="AG34" i="6"/>
  <c r="AC34" i="6"/>
  <c r="Q34" i="6"/>
  <c r="H34" i="6"/>
  <c r="AM164" i="6"/>
  <c r="AG164" i="6"/>
  <c r="AC164" i="6"/>
  <c r="Q164" i="6"/>
  <c r="H164" i="6"/>
  <c r="AM163" i="6"/>
  <c r="AG163" i="6"/>
  <c r="AC163" i="6"/>
  <c r="Q163" i="6"/>
  <c r="H163" i="6"/>
  <c r="AM369" i="6"/>
  <c r="AG369" i="6"/>
  <c r="AC369" i="6"/>
  <c r="Q369" i="6"/>
  <c r="H369" i="6"/>
  <c r="AM375" i="6"/>
  <c r="AG375" i="6"/>
  <c r="AC375" i="6"/>
  <c r="Q375" i="6"/>
  <c r="H375" i="6"/>
  <c r="AM139" i="6"/>
  <c r="AG139" i="6"/>
  <c r="AC139" i="6"/>
  <c r="Q139" i="6"/>
  <c r="H139" i="6"/>
  <c r="AM162" i="6"/>
  <c r="AG162" i="6"/>
  <c r="AC162" i="6"/>
  <c r="Q162" i="6"/>
  <c r="H162" i="6"/>
  <c r="AM25" i="6"/>
  <c r="AG25" i="6"/>
  <c r="AC25" i="6"/>
  <c r="Q25" i="6"/>
  <c r="H25" i="6"/>
  <c r="AM15" i="6"/>
  <c r="AG15" i="6"/>
  <c r="AC15" i="6"/>
  <c r="Q15" i="6"/>
  <c r="AM24" i="6"/>
  <c r="AG24" i="6"/>
  <c r="AC24" i="6"/>
  <c r="Q24" i="6"/>
  <c r="H24" i="6"/>
  <c r="AM30" i="6"/>
  <c r="AG30" i="6"/>
  <c r="AC30" i="6"/>
  <c r="Q30" i="6"/>
  <c r="H30" i="6"/>
  <c r="AM23" i="6"/>
  <c r="AG23" i="6"/>
  <c r="AC23" i="6"/>
  <c r="Q23" i="6"/>
  <c r="H23" i="6"/>
  <c r="AM161" i="6"/>
  <c r="AG161" i="6"/>
  <c r="AC161" i="6"/>
  <c r="Q161" i="6"/>
  <c r="H161" i="6"/>
  <c r="AM22" i="6"/>
  <c r="AG22" i="6"/>
  <c r="AC22" i="6"/>
  <c r="Q22" i="6"/>
  <c r="H22" i="6"/>
  <c r="AM160" i="6"/>
  <c r="AG160" i="6"/>
  <c r="AC160" i="6"/>
  <c r="Q160" i="6"/>
  <c r="H160" i="6"/>
  <c r="AM368" i="6"/>
  <c r="AG368" i="6"/>
  <c r="AC368" i="6"/>
  <c r="Q368" i="6"/>
  <c r="H368" i="6"/>
  <c r="AM21" i="6"/>
  <c r="AG21" i="6"/>
  <c r="AC21" i="6"/>
  <c r="Q21" i="6"/>
  <c r="H21" i="6"/>
  <c r="AM146" i="6"/>
  <c r="AG146" i="6"/>
  <c r="AC146" i="6"/>
  <c r="Q146" i="6"/>
  <c r="H146" i="6"/>
  <c r="AM33" i="6"/>
  <c r="AG33" i="6"/>
  <c r="AC33" i="6"/>
  <c r="AM31" i="6"/>
  <c r="AG31" i="6"/>
  <c r="AC31" i="6"/>
  <c r="Q31" i="6"/>
  <c r="H31" i="6"/>
  <c r="AM379" i="6"/>
  <c r="AG379" i="6"/>
  <c r="AC379" i="6"/>
  <c r="Q379" i="6"/>
  <c r="H379" i="6"/>
  <c r="AM32" i="6"/>
  <c r="AG32" i="6"/>
  <c r="AC32" i="6"/>
  <c r="Q32" i="6"/>
  <c r="H32" i="6"/>
  <c r="AM20" i="6"/>
  <c r="AG20" i="6"/>
  <c r="AC20" i="6"/>
  <c r="Q20" i="6"/>
  <c r="H20" i="6"/>
  <c r="AM367" i="6"/>
  <c r="AG367" i="6"/>
  <c r="AC367" i="6"/>
  <c r="Q367" i="6"/>
  <c r="H367" i="6"/>
  <c r="AM19" i="6"/>
  <c r="AG19" i="6"/>
  <c r="AC19" i="6"/>
  <c r="Q19" i="6"/>
  <c r="AM147" i="6"/>
  <c r="AG147" i="6"/>
  <c r="AC147" i="6"/>
  <c r="Q147" i="6"/>
  <c r="H147" i="6"/>
  <c r="AM126" i="6"/>
  <c r="AG126" i="6"/>
  <c r="AC126" i="6"/>
  <c r="Q126" i="6"/>
  <c r="H126" i="6"/>
  <c r="AM125" i="6"/>
  <c r="AG125" i="6"/>
  <c r="AC125" i="6"/>
  <c r="Q125" i="6"/>
  <c r="H125" i="6"/>
  <c r="AM29" i="6"/>
  <c r="AG29" i="6"/>
  <c r="AC29" i="6"/>
  <c r="Q29" i="6"/>
  <c r="H29" i="6"/>
  <c r="AM18" i="6"/>
  <c r="AG18" i="6"/>
  <c r="AC18" i="6"/>
  <c r="Q18" i="6"/>
  <c r="AM148" i="6"/>
  <c r="AG148" i="6"/>
  <c r="AC148" i="6"/>
  <c r="Q148" i="6"/>
  <c r="H148" i="6"/>
  <c r="AM28" i="6"/>
  <c r="AG28" i="6"/>
  <c r="AC28" i="6"/>
  <c r="Q28" i="6"/>
  <c r="H28" i="6"/>
  <c r="AM17" i="6"/>
  <c r="AG17" i="6"/>
  <c r="AC17" i="6"/>
  <c r="Q17" i="6"/>
  <c r="AM378" i="6"/>
  <c r="AG378" i="6"/>
  <c r="AC378" i="6"/>
  <c r="Q378" i="6"/>
  <c r="H378" i="6"/>
  <c r="AM41" i="6"/>
  <c r="AG41" i="6"/>
  <c r="AC41" i="6"/>
  <c r="Q41" i="6"/>
  <c r="H41" i="6"/>
  <c r="AM40" i="6"/>
  <c r="AG40" i="6"/>
  <c r="AC40" i="6"/>
  <c r="Q40" i="6"/>
  <c r="H40" i="6"/>
  <c r="AM39" i="6"/>
  <c r="AG39" i="6"/>
  <c r="AC39" i="6"/>
  <c r="Q39" i="6"/>
  <c r="H39" i="6"/>
  <c r="AM365" i="6"/>
  <c r="AG365" i="6"/>
  <c r="AC365" i="6"/>
  <c r="Q365" i="6"/>
  <c r="H365" i="6"/>
  <c r="AM11" i="6"/>
  <c r="AG11" i="6"/>
  <c r="AC11" i="6"/>
  <c r="Q11" i="6"/>
  <c r="AM14" i="6"/>
  <c r="AG14" i="6"/>
  <c r="AC14" i="6"/>
  <c r="Q14" i="6"/>
  <c r="AM13" i="6"/>
  <c r="AG13" i="6"/>
  <c r="AC13" i="6"/>
  <c r="Q13" i="6"/>
  <c r="AM10" i="6"/>
  <c r="AG10" i="6"/>
  <c r="AC10" i="6"/>
  <c r="Q10" i="6"/>
  <c r="AM48" i="6"/>
  <c r="AG48" i="6"/>
  <c r="AC48" i="6"/>
  <c r="AM9" i="6"/>
  <c r="AG9" i="6"/>
  <c r="AC9" i="6"/>
  <c r="Q9" i="6"/>
  <c r="AM49" i="6"/>
  <c r="AG49" i="6"/>
  <c r="AC49" i="6"/>
  <c r="Q49" i="6"/>
  <c r="H49" i="6"/>
  <c r="AM99" i="6"/>
  <c r="AG99" i="6"/>
  <c r="AC99" i="6"/>
  <c r="Q99" i="6"/>
  <c r="H99" i="6"/>
  <c r="AM47" i="6"/>
  <c r="AG47" i="6"/>
  <c r="AC47" i="6"/>
  <c r="Q47" i="6"/>
  <c r="H47" i="6"/>
  <c r="AM124" i="6"/>
  <c r="AG124" i="6"/>
  <c r="AC124" i="6"/>
  <c r="Q124" i="6"/>
  <c r="H124" i="6"/>
  <c r="AM57" i="6"/>
  <c r="AG57" i="6"/>
  <c r="AC57" i="6"/>
  <c r="Q57" i="6"/>
  <c r="H57" i="6"/>
  <c r="AM153" i="6"/>
  <c r="AG153" i="6"/>
  <c r="AC153" i="6"/>
  <c r="Q153" i="6"/>
  <c r="H153" i="6"/>
  <c r="AM56" i="6"/>
  <c r="AG56" i="6"/>
  <c r="AC56" i="6"/>
  <c r="Q56" i="6"/>
  <c r="H56" i="6"/>
  <c r="AM121" i="6"/>
  <c r="AG121" i="6"/>
  <c r="AC121" i="6"/>
  <c r="Q121" i="6"/>
  <c r="H121" i="6"/>
  <c r="AM152" i="6"/>
  <c r="AG152" i="6"/>
  <c r="AC152" i="6"/>
  <c r="Q152" i="6"/>
  <c r="H152" i="6"/>
  <c r="AM55" i="6"/>
  <c r="AG55" i="6"/>
  <c r="AC55" i="6"/>
  <c r="Q55" i="6"/>
  <c r="H55" i="6"/>
  <c r="AM151" i="6"/>
  <c r="AG151" i="6"/>
  <c r="AC151" i="6"/>
  <c r="Q151" i="6"/>
  <c r="H151" i="6"/>
  <c r="AM150" i="6"/>
  <c r="AG150" i="6"/>
  <c r="AC150" i="6"/>
  <c r="Q150" i="6"/>
  <c r="H150" i="6"/>
  <c r="AM54" i="6"/>
  <c r="AG54" i="6"/>
  <c r="AC54" i="6"/>
  <c r="Q54" i="6"/>
  <c r="H54" i="6"/>
  <c r="AM132" i="6"/>
  <c r="AG132" i="6"/>
  <c r="AC132" i="6"/>
  <c r="Q132" i="6"/>
  <c r="H132" i="6"/>
  <c r="AM157" i="6"/>
  <c r="AG157" i="6"/>
  <c r="AC157" i="6"/>
  <c r="Q157" i="6"/>
  <c r="H157" i="6"/>
  <c r="AM122" i="6"/>
  <c r="AG122" i="6"/>
  <c r="AC122" i="6"/>
  <c r="Q122" i="6"/>
  <c r="H122" i="6"/>
  <c r="AM53" i="6"/>
  <c r="AG53" i="6"/>
  <c r="AC53" i="6"/>
  <c r="Q53" i="6"/>
  <c r="H53" i="6"/>
  <c r="AM131" i="6"/>
  <c r="AG131" i="6"/>
  <c r="AC131" i="6"/>
  <c r="Q131" i="6"/>
  <c r="H131" i="6"/>
  <c r="AM46" i="6"/>
  <c r="AG46" i="6"/>
  <c r="AC46" i="6"/>
  <c r="Q46" i="6"/>
  <c r="H46" i="6"/>
  <c r="AM156" i="6"/>
  <c r="AG156" i="6"/>
  <c r="AC156" i="6"/>
  <c r="Q156" i="6"/>
  <c r="H156" i="6"/>
  <c r="AM129" i="6"/>
  <c r="AG129" i="6"/>
  <c r="AC129" i="6"/>
  <c r="Q129" i="6"/>
  <c r="H129" i="6"/>
  <c r="AM377" i="6"/>
  <c r="AG377" i="6"/>
  <c r="AC377" i="6"/>
  <c r="Q377" i="6"/>
  <c r="H377" i="6"/>
  <c r="AM52" i="6"/>
  <c r="AG52" i="6"/>
  <c r="AC52" i="6"/>
  <c r="Q52" i="6"/>
  <c r="H52" i="6"/>
  <c r="AM50" i="6"/>
  <c r="AG50" i="6"/>
  <c r="AC50" i="6"/>
  <c r="Q50" i="6"/>
  <c r="H50" i="6"/>
  <c r="AM45" i="6"/>
  <c r="AG45" i="6"/>
  <c r="AC45" i="6"/>
  <c r="Q45" i="6"/>
  <c r="H45" i="6"/>
  <c r="AM141" i="6"/>
  <c r="AG141" i="6"/>
  <c r="AC141" i="6"/>
  <c r="Q141" i="6"/>
  <c r="H141" i="6"/>
  <c r="AM145" i="6"/>
  <c r="AG145" i="6"/>
  <c r="AC145" i="6"/>
  <c r="Q145" i="6"/>
  <c r="H145" i="6"/>
  <c r="AM142" i="6"/>
  <c r="AG142" i="6"/>
  <c r="AC142" i="6"/>
  <c r="Q142" i="6"/>
  <c r="H142" i="6"/>
  <c r="AM158" i="6"/>
  <c r="AG158" i="6"/>
  <c r="AC158" i="6"/>
  <c r="Q158" i="6"/>
  <c r="AM159" i="6"/>
  <c r="AG159" i="6"/>
  <c r="AC159" i="6"/>
  <c r="Q159" i="6"/>
  <c r="H159" i="6"/>
  <c r="AM43" i="6"/>
  <c r="AG43" i="6"/>
  <c r="AC43" i="6"/>
  <c r="Q43" i="6"/>
  <c r="H43" i="6"/>
  <c r="AM107" i="6"/>
  <c r="AG107" i="6"/>
  <c r="AC107" i="6"/>
  <c r="Q107" i="6"/>
  <c r="AM143" i="6"/>
  <c r="AG143" i="6"/>
  <c r="AC143" i="6"/>
  <c r="Q143" i="6"/>
  <c r="H143" i="6"/>
  <c r="AM106" i="6"/>
  <c r="AG106" i="6"/>
  <c r="AC106" i="6"/>
  <c r="Q106" i="6"/>
  <c r="H106" i="6"/>
  <c r="AM105" i="6"/>
  <c r="AG105" i="6"/>
  <c r="AC105" i="6"/>
  <c r="Q105" i="6"/>
  <c r="H105" i="6"/>
  <c r="AM144" i="6"/>
  <c r="AG144" i="6"/>
  <c r="AC144" i="6"/>
  <c r="Q144" i="6"/>
  <c r="H144" i="6"/>
  <c r="AM104" i="6"/>
  <c r="AG104" i="6"/>
  <c r="AC104" i="6"/>
  <c r="Q104" i="6"/>
  <c r="H104" i="6"/>
  <c r="AM102" i="6"/>
  <c r="AG102" i="6"/>
  <c r="AC102" i="6"/>
  <c r="Q102" i="6"/>
  <c r="H102" i="6"/>
  <c r="AM376" i="6"/>
  <c r="AG376" i="6"/>
  <c r="AC376" i="6"/>
  <c r="Q376" i="6"/>
  <c r="H376" i="6"/>
  <c r="AM91" i="6"/>
  <c r="AG91" i="6"/>
  <c r="AC91" i="6"/>
  <c r="Q91" i="6"/>
  <c r="H91" i="6"/>
  <c r="AM103" i="6"/>
  <c r="AG103" i="6"/>
  <c r="AC103" i="6"/>
  <c r="Q103" i="6"/>
  <c r="H103" i="6"/>
  <c r="AM90" i="6"/>
  <c r="AG90" i="6"/>
  <c r="AC90" i="6"/>
  <c r="Q90" i="6"/>
  <c r="H90" i="6"/>
  <c r="AM127" i="6"/>
  <c r="AG127" i="6"/>
  <c r="AC127" i="6"/>
  <c r="Q127" i="6"/>
  <c r="H127" i="6"/>
  <c r="AM128" i="6"/>
  <c r="AG128" i="6"/>
  <c r="AC128" i="6"/>
  <c r="Q128" i="6"/>
  <c r="H128" i="6"/>
  <c r="AM140" i="6"/>
  <c r="AG140" i="6"/>
  <c r="AC140" i="6"/>
  <c r="Q140" i="6"/>
  <c r="H140" i="6"/>
  <c r="AM101" i="6"/>
  <c r="AG101" i="6"/>
  <c r="AC101" i="6"/>
  <c r="Q101" i="6"/>
  <c r="H101" i="6"/>
  <c r="AM89" i="6"/>
  <c r="AG89" i="6"/>
  <c r="AC89" i="6"/>
  <c r="Q89" i="6"/>
  <c r="H89" i="6"/>
  <c r="AM130" i="6"/>
  <c r="AG130" i="6"/>
  <c r="AC130" i="6"/>
  <c r="Q130" i="6"/>
  <c r="H130" i="6"/>
  <c r="AM67" i="6"/>
  <c r="AG67" i="6"/>
  <c r="AC67" i="6"/>
  <c r="Q67" i="6"/>
  <c r="H67" i="6"/>
  <c r="AM100" i="6"/>
  <c r="AG100" i="6"/>
  <c r="AC100" i="6"/>
  <c r="Q100" i="6"/>
  <c r="H100" i="6"/>
  <c r="AM68" i="6"/>
  <c r="AG68" i="6"/>
  <c r="AC68" i="6"/>
  <c r="Q68" i="6"/>
  <c r="H68" i="6"/>
  <c r="AM138" i="6"/>
  <c r="AG138" i="6"/>
  <c r="AC138" i="6"/>
  <c r="Q138" i="6"/>
  <c r="H138" i="6"/>
  <c r="AM69" i="6"/>
  <c r="AG69" i="6"/>
  <c r="AC69" i="6"/>
  <c r="Q69" i="6"/>
  <c r="AM137" i="6"/>
  <c r="AG137" i="6"/>
  <c r="AC137" i="6"/>
  <c r="Q137" i="6"/>
  <c r="H137" i="6"/>
  <c r="AM70" i="6"/>
  <c r="AG70" i="6"/>
  <c r="AC70" i="6"/>
  <c r="Q70" i="6"/>
  <c r="H70" i="6"/>
  <c r="AM74" i="6"/>
  <c r="AG74" i="6"/>
  <c r="AC74" i="6"/>
  <c r="Q74" i="6"/>
  <c r="H74" i="6"/>
  <c r="AM136" i="6"/>
  <c r="AG136" i="6"/>
  <c r="AC136" i="6"/>
  <c r="Q136" i="6"/>
  <c r="H136" i="6"/>
  <c r="AM374" i="6"/>
  <c r="AG374" i="6"/>
  <c r="AC374" i="6"/>
  <c r="Q374" i="6"/>
  <c r="H374" i="6"/>
  <c r="AM78" i="6"/>
  <c r="AG78" i="6"/>
  <c r="AC78" i="6"/>
  <c r="Q78" i="6"/>
  <c r="H78" i="6"/>
  <c r="AM149" i="6"/>
  <c r="AG149" i="6"/>
  <c r="AC149" i="6"/>
  <c r="Q149" i="6"/>
  <c r="H149" i="6"/>
  <c r="AM77" i="6"/>
  <c r="AG77" i="6"/>
  <c r="AC77" i="6"/>
  <c r="Q77" i="6"/>
  <c r="H77" i="6"/>
  <c r="AM108" i="6"/>
  <c r="AG108" i="6"/>
  <c r="AC108" i="6"/>
  <c r="Q108" i="6"/>
  <c r="H108" i="6"/>
  <c r="AM120" i="6"/>
  <c r="AG120" i="6"/>
  <c r="AC120" i="6"/>
  <c r="Q120" i="6"/>
  <c r="H120" i="6"/>
  <c r="AM134" i="6"/>
  <c r="AG134" i="6"/>
  <c r="AC134" i="6"/>
  <c r="Q134" i="6"/>
  <c r="H134" i="6"/>
  <c r="AM98" i="6"/>
  <c r="AG98" i="6"/>
  <c r="AC98" i="6"/>
  <c r="Q98" i="6"/>
  <c r="H98" i="6"/>
  <c r="AM73" i="6"/>
  <c r="AG73" i="6"/>
  <c r="AC73" i="6"/>
  <c r="Q73" i="6"/>
  <c r="H73" i="6"/>
  <c r="AM373" i="6"/>
  <c r="AG373" i="6"/>
  <c r="AC373" i="6"/>
  <c r="Q373" i="6"/>
  <c r="H373" i="6"/>
  <c r="AM119" i="6"/>
  <c r="AG119" i="6"/>
  <c r="AC119" i="6"/>
  <c r="Q119" i="6"/>
  <c r="H119" i="6"/>
  <c r="AM72" i="6"/>
  <c r="AG72" i="6"/>
  <c r="AC72" i="6"/>
  <c r="Q72" i="6"/>
  <c r="AM135" i="6"/>
  <c r="AG135" i="6"/>
  <c r="AC135" i="6"/>
  <c r="Q135" i="6"/>
  <c r="H135" i="6"/>
  <c r="AM118" i="6"/>
  <c r="AG118" i="6"/>
  <c r="AC118" i="6"/>
  <c r="Q118" i="6"/>
  <c r="H118" i="6"/>
  <c r="AM117" i="6"/>
  <c r="AG117" i="6"/>
  <c r="AC117" i="6"/>
  <c r="Q117" i="6"/>
  <c r="H117" i="6"/>
  <c r="AM76" i="6"/>
  <c r="AG76" i="6"/>
  <c r="AC76" i="6"/>
  <c r="Q76" i="6"/>
  <c r="H76" i="6"/>
  <c r="AM93" i="6"/>
  <c r="AG93" i="6"/>
  <c r="AC93" i="6"/>
  <c r="Q93" i="6"/>
  <c r="H93" i="6"/>
  <c r="AM133" i="6"/>
  <c r="AG133" i="6"/>
  <c r="AC133" i="6"/>
  <c r="Q133" i="6"/>
  <c r="H133" i="6"/>
  <c r="AM75" i="6"/>
  <c r="AG75" i="6"/>
  <c r="AC75" i="6"/>
  <c r="Q75" i="6"/>
  <c r="H75" i="6"/>
  <c r="AM71" i="6"/>
  <c r="AG71" i="6"/>
  <c r="AC71" i="6"/>
  <c r="Q71" i="6"/>
  <c r="H71" i="6"/>
  <c r="AM92" i="6"/>
  <c r="AG92" i="6"/>
  <c r="AC92" i="6"/>
  <c r="Q92" i="6"/>
  <c r="H92" i="6"/>
  <c r="AM79" i="6"/>
  <c r="AG79" i="6"/>
  <c r="AC79" i="6"/>
  <c r="Q79" i="6"/>
  <c r="H79" i="6"/>
  <c r="AM82" i="6"/>
  <c r="AG82" i="6"/>
  <c r="AC82" i="6"/>
  <c r="Q82" i="6"/>
  <c r="H82" i="6"/>
  <c r="AM371" i="6"/>
  <c r="AG371" i="6"/>
  <c r="AC371" i="6"/>
  <c r="Q371" i="6"/>
  <c r="H371" i="6"/>
  <c r="AM97" i="6"/>
  <c r="AG97" i="6"/>
  <c r="AC97" i="6"/>
  <c r="Q97" i="6"/>
  <c r="H97" i="6"/>
  <c r="AM113" i="6"/>
  <c r="AG113" i="6"/>
  <c r="AC113" i="6"/>
  <c r="Q113" i="6"/>
  <c r="H113" i="6"/>
  <c r="AM81" i="6"/>
  <c r="AG81" i="6"/>
  <c r="AC81" i="6"/>
  <c r="Q81" i="6"/>
  <c r="H81" i="6"/>
  <c r="AM115" i="6"/>
  <c r="AG115" i="6"/>
  <c r="AC115" i="6"/>
  <c r="Q115" i="6"/>
  <c r="H115" i="6"/>
  <c r="AM88" i="6"/>
  <c r="AG88" i="6"/>
  <c r="AC88" i="6"/>
  <c r="Q88" i="6"/>
  <c r="H88" i="6"/>
  <c r="AM116" i="6"/>
  <c r="AG116" i="6"/>
  <c r="AC116" i="6"/>
  <c r="Q116" i="6"/>
  <c r="H116" i="6"/>
  <c r="AM111" i="6"/>
  <c r="AG111" i="6"/>
  <c r="AC111" i="6"/>
  <c r="Q111" i="6"/>
  <c r="H111" i="6"/>
  <c r="AM86" i="6"/>
  <c r="AG86" i="6"/>
  <c r="AC86" i="6"/>
  <c r="Q86" i="6"/>
  <c r="H86" i="6"/>
  <c r="AM114" i="6"/>
  <c r="AG114" i="6"/>
  <c r="AC114" i="6"/>
  <c r="Q114" i="6"/>
  <c r="H114" i="6"/>
  <c r="AM95" i="6"/>
  <c r="AG95" i="6"/>
  <c r="AC95" i="6"/>
  <c r="Q95" i="6"/>
  <c r="H95" i="6"/>
  <c r="AM85" i="6"/>
  <c r="AG85" i="6"/>
  <c r="AC85" i="6"/>
  <c r="Q85" i="6"/>
  <c r="H85" i="6"/>
  <c r="AM94" i="6"/>
  <c r="AG94" i="6"/>
  <c r="AC94" i="6"/>
  <c r="Q94" i="6"/>
  <c r="H94" i="6"/>
  <c r="AM110" i="6"/>
  <c r="AG110" i="6"/>
  <c r="AC110" i="6"/>
  <c r="Q110" i="6"/>
  <c r="H110" i="6"/>
  <c r="AM84" i="6"/>
  <c r="AG84" i="6"/>
  <c r="AC84" i="6"/>
  <c r="Q84" i="6"/>
  <c r="H84" i="6"/>
  <c r="AM155" i="6"/>
  <c r="AG155" i="6"/>
  <c r="AC155" i="6"/>
  <c r="Q155" i="6"/>
  <c r="H155" i="6"/>
  <c r="AM123" i="6"/>
  <c r="AG123" i="6"/>
  <c r="AC123" i="6"/>
  <c r="Q123" i="6"/>
  <c r="H123" i="6"/>
  <c r="AM109" i="6"/>
  <c r="AG109" i="6"/>
  <c r="AC109" i="6"/>
  <c r="Q109" i="6"/>
  <c r="H109" i="6"/>
  <c r="AM66" i="6"/>
  <c r="AG66" i="6"/>
  <c r="AC66" i="6"/>
  <c r="Q66" i="6"/>
  <c r="H66" i="6"/>
  <c r="AM380" i="6"/>
  <c r="AG380" i="6"/>
  <c r="AC380" i="6"/>
  <c r="Q380" i="6"/>
  <c r="H380" i="6"/>
  <c r="AM65" i="6"/>
  <c r="AG65" i="6"/>
  <c r="AC65" i="6"/>
  <c r="Q65" i="6"/>
  <c r="H65" i="6"/>
  <c r="AM112" i="6"/>
  <c r="AG112" i="6"/>
  <c r="AC112" i="6"/>
  <c r="Q112" i="6"/>
  <c r="H112" i="6"/>
  <c r="AM372" i="6"/>
  <c r="AG372" i="6"/>
  <c r="AC372" i="6"/>
  <c r="Q372" i="6"/>
  <c r="H372" i="6"/>
  <c r="AM80" i="6"/>
  <c r="AG80" i="6"/>
  <c r="AC80" i="6"/>
  <c r="Q80" i="6"/>
  <c r="H80" i="6"/>
  <c r="AM96" i="6"/>
  <c r="AG96" i="6"/>
  <c r="AC96" i="6"/>
  <c r="Q96" i="6"/>
  <c r="H96" i="6"/>
  <c r="AM83" i="6"/>
  <c r="AG83" i="6"/>
  <c r="AC83" i="6"/>
  <c r="Q83" i="6"/>
  <c r="H83" i="6"/>
  <c r="AM154" i="6"/>
  <c r="AG154" i="6"/>
  <c r="AC154" i="6"/>
  <c r="Q154" i="6"/>
  <c r="H154" i="6"/>
  <c r="AM87" i="6"/>
  <c r="AG87" i="6"/>
  <c r="AC87" i="6"/>
  <c r="Q87" i="6"/>
  <c r="H87" i="6"/>
  <c r="B7" i="6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8" i="4"/>
  <c r="F119" i="4"/>
  <c r="F120" i="4"/>
  <c r="F121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2" i="4"/>
  <c r="F163" i="4"/>
  <c r="F164" i="4"/>
  <c r="F165" i="4"/>
  <c r="F166" i="4"/>
  <c r="F167" i="4"/>
  <c r="F168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9" i="4"/>
  <c r="AI184" i="4"/>
  <c r="AC184" i="4"/>
  <c r="Y184" i="4"/>
  <c r="M184" i="4"/>
  <c r="AI183" i="4"/>
  <c r="AC183" i="4"/>
  <c r="Y183" i="4"/>
  <c r="M183" i="4"/>
  <c r="AI182" i="4"/>
  <c r="AC182" i="4"/>
  <c r="Y182" i="4"/>
  <c r="M182" i="4"/>
  <c r="AI181" i="4"/>
  <c r="AC181" i="4"/>
  <c r="Y181" i="4"/>
  <c r="M181" i="4"/>
  <c r="AI180" i="4"/>
  <c r="AC180" i="4"/>
  <c r="Y180" i="4"/>
  <c r="M180" i="4"/>
  <c r="AI179" i="4"/>
  <c r="AC179" i="4"/>
  <c r="Y179" i="4"/>
  <c r="M179" i="4"/>
  <c r="AI178" i="4"/>
  <c r="AC178" i="4"/>
  <c r="Y178" i="4"/>
  <c r="M178" i="4"/>
  <c r="AI177" i="4"/>
  <c r="AC177" i="4"/>
  <c r="Y177" i="4"/>
  <c r="M177" i="4"/>
  <c r="AI176" i="4"/>
  <c r="AC176" i="4"/>
  <c r="Y176" i="4"/>
  <c r="M176" i="4"/>
  <c r="AI175" i="4"/>
  <c r="AC175" i="4"/>
  <c r="Y175" i="4"/>
  <c r="M175" i="4"/>
  <c r="AI174" i="4"/>
  <c r="AC174" i="4"/>
  <c r="Y174" i="4"/>
  <c r="M174" i="4"/>
  <c r="AI173" i="4"/>
  <c r="AC173" i="4"/>
  <c r="Y173" i="4"/>
  <c r="M173" i="4"/>
  <c r="AI172" i="4"/>
  <c r="AC172" i="4"/>
  <c r="Y172" i="4"/>
  <c r="M172" i="4"/>
  <c r="AI171" i="4"/>
  <c r="AC171" i="4"/>
  <c r="Y171" i="4"/>
  <c r="M171" i="4"/>
  <c r="AI170" i="4"/>
  <c r="AC170" i="4"/>
  <c r="Y170" i="4"/>
  <c r="M170" i="4"/>
  <c r="AI169" i="4"/>
  <c r="AC169" i="4"/>
  <c r="Y169" i="4"/>
  <c r="M169" i="4"/>
  <c r="AI168" i="4"/>
  <c r="AC168" i="4"/>
  <c r="Y168" i="4"/>
  <c r="M168" i="4"/>
  <c r="AI167" i="4"/>
  <c r="AC167" i="4"/>
  <c r="Y167" i="4"/>
  <c r="M167" i="4"/>
  <c r="AI166" i="4"/>
  <c r="AC166" i="4"/>
  <c r="Y166" i="4"/>
  <c r="M166" i="4"/>
  <c r="AI165" i="4"/>
  <c r="AC165" i="4"/>
  <c r="Y165" i="4"/>
  <c r="M165" i="4"/>
  <c r="AI164" i="4"/>
  <c r="AC164" i="4"/>
  <c r="Y164" i="4"/>
  <c r="M164" i="4"/>
  <c r="AI163" i="4"/>
  <c r="AC163" i="4"/>
  <c r="Y163" i="4"/>
  <c r="M163" i="4"/>
  <c r="AI162" i="4"/>
  <c r="AC162" i="4"/>
  <c r="Y162" i="4"/>
  <c r="M162" i="4"/>
  <c r="AI161" i="4"/>
  <c r="AC161" i="4"/>
  <c r="Y161" i="4"/>
  <c r="M161" i="4"/>
  <c r="AI160" i="4"/>
  <c r="AC160" i="4"/>
  <c r="Y160" i="4"/>
  <c r="M160" i="4"/>
  <c r="AI159" i="4"/>
  <c r="AC159" i="4"/>
  <c r="Y159" i="4"/>
  <c r="M159" i="4"/>
  <c r="AI158" i="4"/>
  <c r="AC158" i="4"/>
  <c r="Y158" i="4"/>
  <c r="M158" i="4"/>
  <c r="AI157" i="4"/>
  <c r="AC157" i="4"/>
  <c r="Y157" i="4"/>
  <c r="M157" i="4"/>
  <c r="AI156" i="4"/>
  <c r="AC156" i="4"/>
  <c r="Y156" i="4"/>
  <c r="M156" i="4"/>
  <c r="AI155" i="4"/>
  <c r="AC155" i="4"/>
  <c r="Y155" i="4"/>
  <c r="M155" i="4"/>
  <c r="AI154" i="4"/>
  <c r="AC154" i="4"/>
  <c r="Y154" i="4"/>
  <c r="M154" i="4"/>
  <c r="AI153" i="4"/>
  <c r="AC153" i="4"/>
  <c r="Y153" i="4"/>
  <c r="M153" i="4"/>
  <c r="AI152" i="4"/>
  <c r="AC152" i="4"/>
  <c r="Y152" i="4"/>
  <c r="M152" i="4"/>
  <c r="AI151" i="4"/>
  <c r="AC151" i="4"/>
  <c r="Y151" i="4"/>
  <c r="M151" i="4"/>
  <c r="AI150" i="4"/>
  <c r="AC150" i="4"/>
  <c r="Y150" i="4"/>
  <c r="M150" i="4"/>
  <c r="AI149" i="4"/>
  <c r="AC149" i="4"/>
  <c r="Y149" i="4"/>
  <c r="M149" i="4"/>
  <c r="AI148" i="4"/>
  <c r="AC148" i="4"/>
  <c r="Y148" i="4"/>
  <c r="M148" i="4"/>
  <c r="AI147" i="4"/>
  <c r="AC147" i="4"/>
  <c r="Y147" i="4"/>
  <c r="M147" i="4"/>
  <c r="AI146" i="4"/>
  <c r="AC146" i="4"/>
  <c r="Y146" i="4"/>
  <c r="M146" i="4"/>
  <c r="AI145" i="4"/>
  <c r="AC145" i="4"/>
  <c r="Y145" i="4"/>
  <c r="M145" i="4"/>
  <c r="AI144" i="4"/>
  <c r="AC144" i="4"/>
  <c r="Y144" i="4"/>
  <c r="M144" i="4"/>
  <c r="AI143" i="4"/>
  <c r="AC143" i="4"/>
  <c r="Y143" i="4"/>
  <c r="M143" i="4"/>
  <c r="AI142" i="4"/>
  <c r="AC142" i="4"/>
  <c r="Y142" i="4"/>
  <c r="AI141" i="4"/>
  <c r="AC141" i="4"/>
  <c r="Y141" i="4"/>
  <c r="M141" i="4"/>
  <c r="AI140" i="4"/>
  <c r="AC140" i="4"/>
  <c r="Y140" i="4"/>
  <c r="M140" i="4"/>
  <c r="AI139" i="4"/>
  <c r="AC139" i="4"/>
  <c r="Y139" i="4"/>
  <c r="M139" i="4"/>
  <c r="AI138" i="4"/>
  <c r="AC138" i="4"/>
  <c r="Y138" i="4"/>
  <c r="M138" i="4"/>
  <c r="AI137" i="4"/>
  <c r="AC137" i="4"/>
  <c r="Y137" i="4"/>
  <c r="M137" i="4"/>
  <c r="AI136" i="4"/>
  <c r="AC136" i="4"/>
  <c r="Y136" i="4"/>
  <c r="M136" i="4"/>
  <c r="AI135" i="4"/>
  <c r="AC135" i="4"/>
  <c r="Y135" i="4"/>
  <c r="M135" i="4"/>
  <c r="AI134" i="4"/>
  <c r="AC134" i="4"/>
  <c r="Y134" i="4"/>
  <c r="M134" i="4"/>
  <c r="AI133" i="4"/>
  <c r="AC133" i="4"/>
  <c r="Y133" i="4"/>
  <c r="M133" i="4"/>
  <c r="AI132" i="4"/>
  <c r="AC132" i="4"/>
  <c r="Y132" i="4"/>
  <c r="M132" i="4"/>
  <c r="AI131" i="4"/>
  <c r="AC131" i="4"/>
  <c r="Y131" i="4"/>
  <c r="M131" i="4"/>
  <c r="AI130" i="4"/>
  <c r="AC130" i="4"/>
  <c r="Y130" i="4"/>
  <c r="M130" i="4"/>
  <c r="AI129" i="4"/>
  <c r="AC129" i="4"/>
  <c r="Y129" i="4"/>
  <c r="M129" i="4"/>
  <c r="AI128" i="4"/>
  <c r="AC128" i="4"/>
  <c r="Y128" i="4"/>
  <c r="M128" i="4"/>
  <c r="AI127" i="4"/>
  <c r="AC127" i="4"/>
  <c r="Y127" i="4"/>
  <c r="M127" i="4"/>
  <c r="AI126" i="4"/>
  <c r="AC126" i="4"/>
  <c r="Y126" i="4"/>
  <c r="M126" i="4"/>
  <c r="AI125" i="4"/>
  <c r="AC125" i="4"/>
  <c r="Y125" i="4"/>
  <c r="M125" i="4"/>
  <c r="AI124" i="4"/>
  <c r="AC124" i="4"/>
  <c r="Y124" i="4"/>
  <c r="M124" i="4"/>
  <c r="AI123" i="4"/>
  <c r="AC123" i="4"/>
  <c r="Y123" i="4"/>
  <c r="M123" i="4"/>
  <c r="AI122" i="4"/>
  <c r="AC122" i="4"/>
  <c r="Y122" i="4"/>
  <c r="M122" i="4"/>
  <c r="AI121" i="4"/>
  <c r="AC121" i="4"/>
  <c r="Y121" i="4"/>
  <c r="M121" i="4"/>
  <c r="AI120" i="4"/>
  <c r="AC120" i="4"/>
  <c r="Y120" i="4"/>
  <c r="M120" i="4"/>
  <c r="AI119" i="4"/>
  <c r="AC119" i="4"/>
  <c r="Y119" i="4"/>
  <c r="M119" i="4"/>
  <c r="AI118" i="4"/>
  <c r="AC118" i="4"/>
  <c r="Y118" i="4"/>
  <c r="AI117" i="4"/>
  <c r="AC117" i="4"/>
  <c r="Y117" i="4"/>
  <c r="M117" i="4"/>
  <c r="AI116" i="4"/>
  <c r="AC116" i="4"/>
  <c r="Y116" i="4"/>
  <c r="M116" i="4"/>
  <c r="AI115" i="4"/>
  <c r="AC115" i="4"/>
  <c r="Y115" i="4"/>
  <c r="M115" i="4"/>
  <c r="AI114" i="4"/>
  <c r="AC114" i="4"/>
  <c r="Y114" i="4"/>
  <c r="M114" i="4"/>
  <c r="AI113" i="4"/>
  <c r="AC113" i="4"/>
  <c r="Y113" i="4"/>
  <c r="M113" i="4"/>
  <c r="AI112" i="4"/>
  <c r="AC112" i="4"/>
  <c r="Y112" i="4"/>
  <c r="M112" i="4"/>
  <c r="AI111" i="4"/>
  <c r="AC111" i="4"/>
  <c r="Y111" i="4"/>
  <c r="M111" i="4"/>
  <c r="AI110" i="4"/>
  <c r="AC110" i="4"/>
  <c r="Y110" i="4"/>
  <c r="M110" i="4"/>
  <c r="AI109" i="4"/>
  <c r="AC109" i="4"/>
  <c r="Y109" i="4"/>
  <c r="M109" i="4"/>
  <c r="AI108" i="4"/>
  <c r="AC108" i="4"/>
  <c r="Y108" i="4"/>
  <c r="M108" i="4"/>
  <c r="AI107" i="4"/>
  <c r="AC107" i="4"/>
  <c r="Y107" i="4"/>
  <c r="M107" i="4"/>
  <c r="AI106" i="4"/>
  <c r="AC106" i="4"/>
  <c r="Y106" i="4"/>
  <c r="M106" i="4"/>
  <c r="AI105" i="4"/>
  <c r="AC105" i="4"/>
  <c r="Y105" i="4"/>
  <c r="M105" i="4"/>
  <c r="AI104" i="4"/>
  <c r="AC104" i="4"/>
  <c r="Y104" i="4"/>
  <c r="M104" i="4"/>
  <c r="AI103" i="4"/>
  <c r="AC103" i="4"/>
  <c r="Y103" i="4"/>
  <c r="M103" i="4"/>
  <c r="AI102" i="4"/>
  <c r="AC102" i="4"/>
  <c r="Y102" i="4"/>
  <c r="M102" i="4"/>
  <c r="AI101" i="4"/>
  <c r="AC101" i="4"/>
  <c r="Y101" i="4"/>
  <c r="M101" i="4"/>
  <c r="AI100" i="4"/>
  <c r="AC100" i="4"/>
  <c r="Y100" i="4"/>
  <c r="M100" i="4"/>
  <c r="AI99" i="4"/>
  <c r="AC99" i="4"/>
  <c r="Y99" i="4"/>
  <c r="M99" i="4"/>
  <c r="AI98" i="4"/>
  <c r="AC98" i="4"/>
  <c r="Y98" i="4"/>
  <c r="M98" i="4"/>
  <c r="AI97" i="4"/>
  <c r="AC97" i="4"/>
  <c r="Y97" i="4"/>
  <c r="M97" i="4"/>
  <c r="AI96" i="4"/>
  <c r="AC96" i="4"/>
  <c r="Y96" i="4"/>
  <c r="M96" i="4"/>
  <c r="AI95" i="4"/>
  <c r="AC95" i="4"/>
  <c r="Y95" i="4"/>
  <c r="M95" i="4"/>
  <c r="AI94" i="4"/>
  <c r="AC94" i="4"/>
  <c r="Y94" i="4"/>
  <c r="M94" i="4"/>
  <c r="AI93" i="4"/>
  <c r="AC93" i="4"/>
  <c r="Y93" i="4"/>
  <c r="M93" i="4"/>
  <c r="AI92" i="4"/>
  <c r="AC92" i="4"/>
  <c r="Y92" i="4"/>
  <c r="M92" i="4"/>
  <c r="AI91" i="4"/>
  <c r="AC91" i="4"/>
  <c r="Y91" i="4"/>
  <c r="M91" i="4"/>
  <c r="AI90" i="4"/>
  <c r="AC90" i="4"/>
  <c r="Y90" i="4"/>
  <c r="M90" i="4"/>
  <c r="AI89" i="4"/>
  <c r="AC89" i="4"/>
  <c r="Y89" i="4"/>
  <c r="M89" i="4"/>
  <c r="AI88" i="4"/>
  <c r="AC88" i="4"/>
  <c r="Y88" i="4"/>
  <c r="M88" i="4"/>
  <c r="AI87" i="4"/>
  <c r="AC87" i="4"/>
  <c r="Y87" i="4"/>
  <c r="M87" i="4"/>
  <c r="AI86" i="4"/>
  <c r="AC86" i="4"/>
  <c r="Y86" i="4"/>
  <c r="M86" i="4"/>
  <c r="AI85" i="4"/>
  <c r="AC85" i="4"/>
  <c r="Y85" i="4"/>
  <c r="M85" i="4"/>
  <c r="AI84" i="4"/>
  <c r="AC84" i="4"/>
  <c r="Y84" i="4"/>
  <c r="M84" i="4"/>
  <c r="AI83" i="4"/>
  <c r="AC83" i="4"/>
  <c r="Y83" i="4"/>
  <c r="M83" i="4"/>
  <c r="AI82" i="4"/>
  <c r="AC82" i="4"/>
  <c r="Y82" i="4"/>
  <c r="M82" i="4"/>
  <c r="AI81" i="4"/>
  <c r="AC81" i="4"/>
  <c r="Y81" i="4"/>
  <c r="M81" i="4"/>
  <c r="AI80" i="4"/>
  <c r="AC80" i="4"/>
  <c r="Y80" i="4"/>
  <c r="M80" i="4"/>
  <c r="AI79" i="4"/>
  <c r="AC79" i="4"/>
  <c r="Y79" i="4"/>
  <c r="M79" i="4"/>
  <c r="AI78" i="4"/>
  <c r="AC78" i="4"/>
  <c r="Y78" i="4"/>
  <c r="M78" i="4"/>
  <c r="AI77" i="4"/>
  <c r="AC77" i="4"/>
  <c r="Y77" i="4"/>
  <c r="M77" i="4"/>
  <c r="AI76" i="4"/>
  <c r="AC76" i="4"/>
  <c r="Y76" i="4"/>
  <c r="M76" i="4"/>
  <c r="AI75" i="4"/>
  <c r="AC75" i="4"/>
  <c r="Y75" i="4"/>
  <c r="M75" i="4"/>
  <c r="AI74" i="4"/>
  <c r="AC74" i="4"/>
  <c r="Y74" i="4"/>
  <c r="M74" i="4"/>
  <c r="AI73" i="4"/>
  <c r="AC73" i="4"/>
  <c r="Y73" i="4"/>
  <c r="M73" i="4"/>
  <c r="AI72" i="4"/>
  <c r="AC72" i="4"/>
  <c r="Y72" i="4"/>
  <c r="M72" i="4"/>
  <c r="AI71" i="4"/>
  <c r="AC71" i="4"/>
  <c r="Y71" i="4"/>
  <c r="M71" i="4"/>
  <c r="AI70" i="4"/>
  <c r="AC70" i="4"/>
  <c r="Y70" i="4"/>
  <c r="M70" i="4"/>
  <c r="AI69" i="4"/>
  <c r="AC69" i="4"/>
  <c r="Y69" i="4"/>
  <c r="M69" i="4"/>
  <c r="AI68" i="4"/>
  <c r="AC68" i="4"/>
  <c r="Y68" i="4"/>
  <c r="M68" i="4"/>
  <c r="AI67" i="4"/>
  <c r="AC67" i="4"/>
  <c r="Y67" i="4"/>
  <c r="M67" i="4"/>
  <c r="AI66" i="4"/>
  <c r="AC66" i="4"/>
  <c r="Y66" i="4"/>
  <c r="M66" i="4"/>
  <c r="AI65" i="4"/>
  <c r="AC65" i="4"/>
  <c r="Y65" i="4"/>
  <c r="M65" i="4"/>
  <c r="AI64" i="4"/>
  <c r="AC64" i="4"/>
  <c r="Y64" i="4"/>
  <c r="M64" i="4"/>
  <c r="AI63" i="4"/>
  <c r="AC63" i="4"/>
  <c r="Y63" i="4"/>
  <c r="M63" i="4"/>
  <c r="AI62" i="4"/>
  <c r="AC62" i="4"/>
  <c r="Y62" i="4"/>
  <c r="M62" i="4"/>
  <c r="AI61" i="4"/>
  <c r="AC61" i="4"/>
  <c r="Y61" i="4"/>
  <c r="M61" i="4"/>
  <c r="AI60" i="4"/>
  <c r="AC60" i="4"/>
  <c r="Y60" i="4"/>
  <c r="M60" i="4"/>
  <c r="AI59" i="4"/>
  <c r="AC59" i="4"/>
  <c r="Y59" i="4"/>
  <c r="M59" i="4"/>
  <c r="AI58" i="4"/>
  <c r="AC58" i="4"/>
  <c r="Y58" i="4"/>
  <c r="M58" i="4"/>
  <c r="AI57" i="4"/>
  <c r="AC57" i="4"/>
  <c r="Y57" i="4"/>
  <c r="M57" i="4"/>
  <c r="AI56" i="4"/>
  <c r="AC56" i="4"/>
  <c r="Y56" i="4"/>
  <c r="M56" i="4"/>
  <c r="AI55" i="4"/>
  <c r="AC55" i="4"/>
  <c r="Y55" i="4"/>
  <c r="M55" i="4"/>
  <c r="AI54" i="4"/>
  <c r="AC54" i="4"/>
  <c r="Y54" i="4"/>
  <c r="M54" i="4"/>
  <c r="AI53" i="4"/>
  <c r="AC53" i="4"/>
  <c r="Y53" i="4"/>
  <c r="M53" i="4"/>
  <c r="AI52" i="4"/>
  <c r="AC52" i="4"/>
  <c r="Y52" i="4"/>
  <c r="M52" i="4"/>
  <c r="AI51" i="4"/>
  <c r="AC51" i="4"/>
  <c r="Y51" i="4"/>
  <c r="M51" i="4"/>
  <c r="AI50" i="4"/>
  <c r="AC50" i="4"/>
  <c r="Y50" i="4"/>
  <c r="M50" i="4"/>
  <c r="AI49" i="4"/>
  <c r="AC49" i="4"/>
  <c r="Y49" i="4"/>
  <c r="M49" i="4"/>
  <c r="AI48" i="4"/>
  <c r="AC48" i="4"/>
  <c r="Y48" i="4"/>
  <c r="M48" i="4"/>
  <c r="AI47" i="4"/>
  <c r="AC47" i="4"/>
  <c r="Y47" i="4"/>
  <c r="M47" i="4"/>
  <c r="AI46" i="4"/>
  <c r="AC46" i="4"/>
  <c r="Y46" i="4"/>
  <c r="M46" i="4"/>
  <c r="AI45" i="4"/>
  <c r="AC45" i="4"/>
  <c r="Y45" i="4"/>
  <c r="M45" i="4"/>
  <c r="AI44" i="4"/>
  <c r="AC44" i="4"/>
  <c r="Y44" i="4"/>
  <c r="M44" i="4"/>
  <c r="AI43" i="4"/>
  <c r="AC43" i="4"/>
  <c r="Y43" i="4"/>
  <c r="M43" i="4"/>
  <c r="AI42" i="4"/>
  <c r="AC42" i="4"/>
  <c r="Y42" i="4"/>
  <c r="M42" i="4"/>
  <c r="AI41" i="4"/>
  <c r="AC41" i="4"/>
  <c r="Y41" i="4"/>
  <c r="M41" i="4"/>
  <c r="AI40" i="4"/>
  <c r="AC40" i="4"/>
  <c r="Y40" i="4"/>
  <c r="M40" i="4"/>
  <c r="AI39" i="4"/>
  <c r="AC39" i="4"/>
  <c r="Y39" i="4"/>
  <c r="M39" i="4"/>
  <c r="AI38" i="4"/>
  <c r="AC38" i="4"/>
  <c r="Y38" i="4"/>
  <c r="M38" i="4"/>
  <c r="AI37" i="4"/>
  <c r="AC37" i="4"/>
  <c r="Y37" i="4"/>
  <c r="M37" i="4"/>
  <c r="AI36" i="4"/>
  <c r="AC36" i="4"/>
  <c r="Y36" i="4"/>
  <c r="M36" i="4"/>
  <c r="AI35" i="4"/>
  <c r="AC35" i="4"/>
  <c r="Y35" i="4"/>
  <c r="M35" i="4"/>
  <c r="AI34" i="4"/>
  <c r="AC34" i="4"/>
  <c r="Y34" i="4"/>
  <c r="M34" i="4"/>
  <c r="AI33" i="4"/>
  <c r="AC33" i="4"/>
  <c r="Y33" i="4"/>
  <c r="M33" i="4"/>
  <c r="AI32" i="4"/>
  <c r="AC32" i="4"/>
  <c r="Y32" i="4"/>
  <c r="M32" i="4"/>
  <c r="AI31" i="4"/>
  <c r="AC31" i="4"/>
  <c r="Y31" i="4"/>
  <c r="M31" i="4"/>
  <c r="AI30" i="4"/>
  <c r="AC30" i="4"/>
  <c r="Y30" i="4"/>
  <c r="M30" i="4"/>
  <c r="AI29" i="4"/>
  <c r="AC29" i="4"/>
  <c r="Y29" i="4"/>
  <c r="M29" i="4"/>
  <c r="AI28" i="4"/>
  <c r="AC28" i="4"/>
  <c r="Y28" i="4"/>
  <c r="M28" i="4"/>
  <c r="AI27" i="4"/>
  <c r="AC27" i="4"/>
  <c r="Y27" i="4"/>
  <c r="M27" i="4"/>
  <c r="AI26" i="4"/>
  <c r="AC26" i="4"/>
  <c r="Y26" i="4"/>
  <c r="M26" i="4"/>
  <c r="AI25" i="4"/>
  <c r="AC25" i="4"/>
  <c r="Y25" i="4"/>
  <c r="M25" i="4"/>
  <c r="AI24" i="4"/>
  <c r="AC24" i="4"/>
  <c r="Y24" i="4"/>
  <c r="M24" i="4"/>
  <c r="AI23" i="4"/>
  <c r="AC23" i="4"/>
  <c r="Y23" i="4"/>
  <c r="M23" i="4"/>
  <c r="AI22" i="4"/>
  <c r="AC22" i="4"/>
  <c r="Y22" i="4"/>
  <c r="M22" i="4"/>
  <c r="AI21" i="4"/>
  <c r="AC21" i="4"/>
  <c r="Y21" i="4"/>
  <c r="M21" i="4"/>
  <c r="AI20" i="4"/>
  <c r="AC20" i="4"/>
  <c r="Y20" i="4"/>
  <c r="M20" i="4"/>
  <c r="AI19" i="4"/>
  <c r="AC19" i="4"/>
  <c r="Y19" i="4"/>
  <c r="M19" i="4"/>
  <c r="AI18" i="4"/>
  <c r="AC18" i="4"/>
  <c r="Y18" i="4"/>
  <c r="M18" i="4"/>
  <c r="AI17" i="4"/>
  <c r="AC17" i="4"/>
  <c r="Y17" i="4"/>
  <c r="M17" i="4"/>
  <c r="AI16" i="4"/>
  <c r="AC16" i="4"/>
  <c r="Y16" i="4"/>
  <c r="M16" i="4"/>
  <c r="AI15" i="4"/>
  <c r="AC15" i="4"/>
  <c r="Y15" i="4"/>
  <c r="M15" i="4"/>
  <c r="AI14" i="4"/>
  <c r="AC14" i="4"/>
  <c r="Y14" i="4"/>
  <c r="M14" i="4"/>
  <c r="AI13" i="4"/>
  <c r="AC13" i="4"/>
  <c r="Y13" i="4"/>
  <c r="M13" i="4"/>
  <c r="AI12" i="4"/>
  <c r="AC12" i="4"/>
  <c r="Y12" i="4"/>
  <c r="M12" i="4"/>
  <c r="AI11" i="4"/>
  <c r="AC11" i="4"/>
  <c r="Y11" i="4"/>
  <c r="M11" i="4"/>
  <c r="AI10" i="4"/>
  <c r="AC10" i="4"/>
  <c r="Y10" i="4"/>
  <c r="M10" i="4"/>
  <c r="AI9" i="4"/>
  <c r="AC9" i="4"/>
  <c r="Y9" i="4"/>
  <c r="M9" i="4"/>
  <c r="AH7" i="4"/>
  <c r="AG7" i="4"/>
  <c r="AF7" i="4"/>
  <c r="AE7" i="4"/>
  <c r="AD7" i="4"/>
  <c r="AA7" i="4"/>
  <c r="Z7" i="4"/>
  <c r="X7" i="4"/>
  <c r="W7" i="4"/>
  <c r="V7" i="4"/>
  <c r="U7" i="4"/>
  <c r="T7" i="4"/>
  <c r="S7" i="4"/>
  <c r="H7" i="4"/>
  <c r="G7" i="4"/>
  <c r="D7" i="4"/>
  <c r="B7" i="4"/>
  <c r="AD204" i="6" l="1"/>
  <c r="AG204" i="6" s="1"/>
  <c r="P280" i="6"/>
  <c r="Q280" i="6" s="1"/>
  <c r="Q7" i="6" s="1"/>
  <c r="AH186" i="6"/>
  <c r="AM186" i="6" s="1"/>
  <c r="AD194" i="6"/>
  <c r="AG194" i="6" s="1"/>
  <c r="AD242" i="6"/>
  <c r="AG242" i="6" s="1"/>
  <c r="AD208" i="6"/>
  <c r="AG208" i="6" s="1"/>
  <c r="AD212" i="6"/>
  <c r="AG212" i="6" s="1"/>
  <c r="AH244" i="6"/>
  <c r="AM244" i="6" s="1"/>
  <c r="AD238" i="6"/>
  <c r="AG238" i="6" s="1"/>
  <c r="AH248" i="6"/>
  <c r="AM248" i="6" s="1"/>
  <c r="AH218" i="6"/>
  <c r="AM218" i="6" s="1"/>
  <c r="AD230" i="6"/>
  <c r="AG230" i="6" s="1"/>
  <c r="AA7" i="6"/>
  <c r="AH188" i="6"/>
  <c r="AM188" i="6" s="1"/>
  <c r="AH211" i="6"/>
  <c r="AM211" i="6" s="1"/>
  <c r="AD234" i="6"/>
  <c r="AG234" i="6" s="1"/>
  <c r="AH236" i="6"/>
  <c r="AM236" i="6" s="1"/>
  <c r="AD246" i="6"/>
  <c r="AG246" i="6" s="1"/>
  <c r="AD182" i="6"/>
  <c r="AG182" i="6" s="1"/>
  <c r="AH199" i="6"/>
  <c r="AM199" i="6" s="1"/>
  <c r="AH250" i="6"/>
  <c r="AM250" i="6" s="1"/>
  <c r="AD190" i="6"/>
  <c r="AG190" i="6" s="1"/>
  <c r="AD174" i="6"/>
  <c r="AG174" i="6" s="1"/>
  <c r="AD226" i="6"/>
  <c r="AG226" i="6" s="1"/>
  <c r="AD200" i="6"/>
  <c r="AG200" i="6" s="1"/>
  <c r="AH192" i="6"/>
  <c r="AM192" i="6" s="1"/>
  <c r="AH184" i="6"/>
  <c r="AM184" i="6" s="1"/>
  <c r="AH239" i="6"/>
  <c r="AM239" i="6" s="1"/>
  <c r="AH176" i="6"/>
  <c r="AM176" i="6" s="1"/>
  <c r="AH228" i="6"/>
  <c r="AM228" i="6" s="1"/>
  <c r="AH168" i="6"/>
  <c r="AM168" i="6" s="1"/>
  <c r="AH220" i="6"/>
  <c r="AM220" i="6" s="1"/>
  <c r="AH172" i="6"/>
  <c r="AM172" i="6" s="1"/>
  <c r="AH203" i="6"/>
  <c r="AM203" i="6" s="1"/>
  <c r="AD237" i="6"/>
  <c r="AG237" i="6" s="1"/>
  <c r="AH180" i="6"/>
  <c r="AM180" i="6" s="1"/>
  <c r="AH216" i="6"/>
  <c r="AM216" i="6" s="1"/>
  <c r="AD178" i="6"/>
  <c r="AG178" i="6" s="1"/>
  <c r="AH195" i="6"/>
  <c r="AM195" i="6" s="1"/>
  <c r="AD256" i="6"/>
  <c r="AG256" i="6" s="1"/>
  <c r="AH232" i="6"/>
  <c r="AM232" i="6" s="1"/>
  <c r="H7" i="6"/>
  <c r="AD169" i="6"/>
  <c r="AG169" i="6" s="1"/>
  <c r="AD222" i="6"/>
  <c r="AG222" i="6" s="1"/>
  <c r="AH207" i="6"/>
  <c r="AM207" i="6" s="1"/>
  <c r="N167" i="6"/>
  <c r="AD196" i="6"/>
  <c r="AG196" i="6" s="1"/>
  <c r="AH224" i="6"/>
  <c r="AM224" i="6" s="1"/>
  <c r="AD177" i="6"/>
  <c r="AG177" i="6" s="1"/>
  <c r="AD189" i="6"/>
  <c r="AG189" i="6" s="1"/>
  <c r="AD221" i="6"/>
  <c r="AG221" i="6" s="1"/>
  <c r="AD245" i="6"/>
  <c r="AG245" i="6" s="1"/>
  <c r="AD205" i="6"/>
  <c r="AG205" i="6" s="1"/>
  <c r="AD209" i="6"/>
  <c r="AG209" i="6" s="1"/>
  <c r="AH170" i="6"/>
  <c r="AM170" i="6" s="1"/>
  <c r="AH173" i="6"/>
  <c r="AM173" i="6" s="1"/>
  <c r="AH181" i="6"/>
  <c r="AM181" i="6" s="1"/>
  <c r="AH185" i="6"/>
  <c r="AM185" i="6" s="1"/>
  <c r="AH193" i="6"/>
  <c r="AM193" i="6" s="1"/>
  <c r="AH217" i="6"/>
  <c r="AM217" i="6" s="1"/>
  <c r="AH225" i="6"/>
  <c r="AM225" i="6" s="1"/>
  <c r="AH229" i="6"/>
  <c r="AM229" i="6" s="1"/>
  <c r="AH233" i="6"/>
  <c r="AM233" i="6" s="1"/>
  <c r="AH241" i="6"/>
  <c r="AM241" i="6" s="1"/>
  <c r="AH249" i="6"/>
  <c r="AM249" i="6" s="1"/>
  <c r="AH197" i="6"/>
  <c r="AM197" i="6" s="1"/>
  <c r="AH201" i="6"/>
  <c r="AM201" i="6" s="1"/>
  <c r="AH213" i="6"/>
  <c r="AM213" i="6" s="1"/>
  <c r="AD198" i="6"/>
  <c r="AG198" i="6" s="1"/>
  <c r="AD202" i="6"/>
  <c r="AG202" i="6" s="1"/>
  <c r="AD206" i="6"/>
  <c r="AG206" i="6" s="1"/>
  <c r="AD210" i="6"/>
  <c r="AG210" i="6" s="1"/>
  <c r="AD214" i="6"/>
  <c r="AG214" i="6" s="1"/>
  <c r="AD254" i="6"/>
  <c r="AG254" i="6" s="1"/>
  <c r="AD171" i="6"/>
  <c r="AG171" i="6" s="1"/>
  <c r="AD175" i="6"/>
  <c r="AG175" i="6" s="1"/>
  <c r="AD179" i="6"/>
  <c r="AG179" i="6" s="1"/>
  <c r="AD183" i="6"/>
  <c r="AG183" i="6" s="1"/>
  <c r="AD187" i="6"/>
  <c r="AG187" i="6" s="1"/>
  <c r="AD191" i="6"/>
  <c r="AG191" i="6" s="1"/>
  <c r="AD219" i="6"/>
  <c r="AG219" i="6" s="1"/>
  <c r="AD223" i="6"/>
  <c r="AG223" i="6" s="1"/>
  <c r="AD227" i="6"/>
  <c r="AG227" i="6" s="1"/>
  <c r="AD231" i="6"/>
  <c r="AG231" i="6" s="1"/>
  <c r="AD235" i="6"/>
  <c r="AG235" i="6" s="1"/>
  <c r="AD240" i="6"/>
  <c r="AG240" i="6" s="1"/>
  <c r="AD243" i="6"/>
  <c r="AG243" i="6" s="1"/>
  <c r="AD247" i="6"/>
  <c r="AG247" i="6" s="1"/>
  <c r="AD252" i="6"/>
  <c r="AG252" i="6" s="1"/>
  <c r="M7" i="6"/>
  <c r="AC7" i="6"/>
  <c r="Z7" i="6"/>
  <c r="AC7" i="4"/>
  <c r="M7" i="4"/>
  <c r="Y7" i="4"/>
  <c r="AI7" i="4"/>
  <c r="D7" i="3"/>
  <c r="AH116" i="3"/>
  <c r="X116" i="3"/>
  <c r="I116" i="3" s="1"/>
  <c r="L116" i="3"/>
  <c r="AH115" i="3"/>
  <c r="AB115" i="3"/>
  <c r="X115" i="3"/>
  <c r="I115" i="3" s="1"/>
  <c r="L115" i="3"/>
  <c r="AH114" i="3"/>
  <c r="AB114" i="3"/>
  <c r="X114" i="3"/>
  <c r="L114" i="3"/>
  <c r="AH113" i="3"/>
  <c r="AB113" i="3"/>
  <c r="X113" i="3"/>
  <c r="I113" i="3" s="1"/>
  <c r="L113" i="3"/>
  <c r="AH112" i="3"/>
  <c r="AB112" i="3"/>
  <c r="X112" i="3"/>
  <c r="I112" i="3" s="1"/>
  <c r="L112" i="3"/>
  <c r="AH111" i="3"/>
  <c r="AB111" i="3"/>
  <c r="X111" i="3"/>
  <c r="I111" i="3" s="1"/>
  <c r="L111" i="3"/>
  <c r="AH110" i="3"/>
  <c r="AB110" i="3"/>
  <c r="X110" i="3"/>
  <c r="I110" i="3" s="1"/>
  <c r="L110" i="3"/>
  <c r="AH109" i="3"/>
  <c r="AB109" i="3"/>
  <c r="X109" i="3"/>
  <c r="I109" i="3" s="1"/>
  <c r="L109" i="3"/>
  <c r="AH108" i="3"/>
  <c r="AB108" i="3"/>
  <c r="X108" i="3"/>
  <c r="I108" i="3" s="1"/>
  <c r="L108" i="3"/>
  <c r="AH107" i="3"/>
  <c r="AB107" i="3"/>
  <c r="X107" i="3"/>
  <c r="I107" i="3" s="1"/>
  <c r="L107" i="3"/>
  <c r="AH106" i="3"/>
  <c r="AB106" i="3"/>
  <c r="X106" i="3"/>
  <c r="L106" i="3"/>
  <c r="AH105" i="3"/>
  <c r="AB105" i="3"/>
  <c r="X105" i="3"/>
  <c r="L105" i="3"/>
  <c r="AH104" i="3"/>
  <c r="AB104" i="3"/>
  <c r="X104" i="3"/>
  <c r="L104" i="3"/>
  <c r="AH103" i="3"/>
  <c r="AB103" i="3"/>
  <c r="X103" i="3"/>
  <c r="L103" i="3"/>
  <c r="AH102" i="3"/>
  <c r="AB102" i="3"/>
  <c r="X102" i="3"/>
  <c r="L102" i="3"/>
  <c r="AH101" i="3"/>
  <c r="AB101" i="3"/>
  <c r="X101" i="3"/>
  <c r="L101" i="3"/>
  <c r="AH100" i="3"/>
  <c r="AB100" i="3"/>
  <c r="X100" i="3"/>
  <c r="L100" i="3"/>
  <c r="AH99" i="3"/>
  <c r="AB99" i="3"/>
  <c r="X99" i="3"/>
  <c r="L99" i="3"/>
  <c r="AH98" i="3"/>
  <c r="AB98" i="3"/>
  <c r="X98" i="3"/>
  <c r="L98" i="3"/>
  <c r="AH97" i="3"/>
  <c r="AB97" i="3"/>
  <c r="X97" i="3"/>
  <c r="L97" i="3"/>
  <c r="AH96" i="3"/>
  <c r="AB96" i="3"/>
  <c r="X96" i="3"/>
  <c r="L96" i="3"/>
  <c r="AH95" i="3"/>
  <c r="AB95" i="3"/>
  <c r="X95" i="3"/>
  <c r="L95" i="3"/>
  <c r="AH94" i="3"/>
  <c r="AB94" i="3"/>
  <c r="X94" i="3"/>
  <c r="L94" i="3"/>
  <c r="AH93" i="3"/>
  <c r="AB93" i="3"/>
  <c r="X93" i="3"/>
  <c r="K93" i="3"/>
  <c r="L93" i="3" s="1"/>
  <c r="AB92" i="3"/>
  <c r="X92" i="3"/>
  <c r="I92" i="3" s="1"/>
  <c r="L92" i="3"/>
  <c r="AH91" i="3"/>
  <c r="AB91" i="3"/>
  <c r="X91" i="3"/>
  <c r="L91" i="3"/>
  <c r="AH90" i="3"/>
  <c r="AB90" i="3"/>
  <c r="X90" i="3"/>
  <c r="L90" i="3"/>
  <c r="AH89" i="3"/>
  <c r="AB89" i="3"/>
  <c r="X89" i="3"/>
  <c r="L89" i="3"/>
  <c r="AH88" i="3"/>
  <c r="AB88" i="3"/>
  <c r="X88" i="3"/>
  <c r="L88" i="3"/>
  <c r="AH87" i="3"/>
  <c r="AB87" i="3"/>
  <c r="X87" i="3"/>
  <c r="L87" i="3"/>
  <c r="AH86" i="3"/>
  <c r="AB86" i="3"/>
  <c r="X86" i="3"/>
  <c r="L86" i="3"/>
  <c r="AH85" i="3"/>
  <c r="AB85" i="3"/>
  <c r="X85" i="3"/>
  <c r="L85" i="3"/>
  <c r="AH84" i="3"/>
  <c r="AB84" i="3"/>
  <c r="X84" i="3"/>
  <c r="L84" i="3"/>
  <c r="AH83" i="3"/>
  <c r="AB83" i="3"/>
  <c r="X83" i="3"/>
  <c r="L83" i="3"/>
  <c r="AH82" i="3"/>
  <c r="AB82" i="3"/>
  <c r="X82" i="3"/>
  <c r="L82" i="3"/>
  <c r="AH81" i="3"/>
  <c r="AB81" i="3"/>
  <c r="X81" i="3"/>
  <c r="L81" i="3"/>
  <c r="AH80" i="3"/>
  <c r="AB80" i="3"/>
  <c r="X80" i="3"/>
  <c r="L80" i="3"/>
  <c r="AH79" i="3"/>
  <c r="AB79" i="3"/>
  <c r="X79" i="3"/>
  <c r="L79" i="3"/>
  <c r="AH78" i="3"/>
  <c r="AB78" i="3"/>
  <c r="X78" i="3"/>
  <c r="L78" i="3"/>
  <c r="AH77" i="3"/>
  <c r="AB77" i="3"/>
  <c r="X77" i="3"/>
  <c r="L77" i="3"/>
  <c r="AH76" i="3"/>
  <c r="AB76" i="3"/>
  <c r="X76" i="3"/>
  <c r="L76" i="3"/>
  <c r="AH75" i="3"/>
  <c r="AB75" i="3"/>
  <c r="X75" i="3"/>
  <c r="I75" i="3" s="1"/>
  <c r="L75" i="3"/>
  <c r="AH74" i="3"/>
  <c r="AB74" i="3"/>
  <c r="X74" i="3"/>
  <c r="L74" i="3"/>
  <c r="AH73" i="3"/>
  <c r="AB73" i="3"/>
  <c r="X73" i="3"/>
  <c r="L73" i="3"/>
  <c r="AH72" i="3"/>
  <c r="AB72" i="3"/>
  <c r="X72" i="3"/>
  <c r="L72" i="3"/>
  <c r="AH71" i="3"/>
  <c r="AB71" i="3"/>
  <c r="X71" i="3"/>
  <c r="L71" i="3"/>
  <c r="AH70" i="3"/>
  <c r="AB70" i="3"/>
  <c r="X70" i="3"/>
  <c r="L70" i="3"/>
  <c r="AB69" i="3"/>
  <c r="AH68" i="3"/>
  <c r="AB68" i="3"/>
  <c r="X68" i="3"/>
  <c r="L68" i="3"/>
  <c r="AH67" i="3"/>
  <c r="AB67" i="3"/>
  <c r="X67" i="3"/>
  <c r="L67" i="3"/>
  <c r="AH66" i="3"/>
  <c r="AB66" i="3"/>
  <c r="X66" i="3"/>
  <c r="L66" i="3"/>
  <c r="AH65" i="3"/>
  <c r="AB65" i="3"/>
  <c r="X65" i="3"/>
  <c r="L65" i="3"/>
  <c r="AH64" i="3"/>
  <c r="AB64" i="3"/>
  <c r="X64" i="3"/>
  <c r="L64" i="3"/>
  <c r="AH63" i="3"/>
  <c r="AB63" i="3"/>
  <c r="X63" i="3"/>
  <c r="L63" i="3"/>
  <c r="AB62" i="3"/>
  <c r="X62" i="3"/>
  <c r="L62" i="3"/>
  <c r="AB61" i="3"/>
  <c r="X61" i="3"/>
  <c r="L61" i="3"/>
  <c r="AB60" i="3"/>
  <c r="X60" i="3"/>
  <c r="L60" i="3"/>
  <c r="AH59" i="3"/>
  <c r="AB59" i="3"/>
  <c r="X59" i="3"/>
  <c r="L59" i="3"/>
  <c r="AH58" i="3"/>
  <c r="AB58" i="3"/>
  <c r="X58" i="3"/>
  <c r="L58" i="3"/>
  <c r="AH57" i="3"/>
  <c r="AB57" i="3"/>
  <c r="X57" i="3"/>
  <c r="L57" i="3"/>
  <c r="AH56" i="3"/>
  <c r="AB56" i="3"/>
  <c r="X56" i="3"/>
  <c r="L56" i="3"/>
  <c r="AH55" i="3"/>
  <c r="AB55" i="3"/>
  <c r="V55" i="3"/>
  <c r="X55" i="3" s="1"/>
  <c r="K55" i="3"/>
  <c r="L55" i="3" s="1"/>
  <c r="AH54" i="3"/>
  <c r="AB54" i="3"/>
  <c r="X54" i="3"/>
  <c r="L54" i="3"/>
  <c r="AH53" i="3"/>
  <c r="AB53" i="3"/>
  <c r="X53" i="3"/>
  <c r="L53" i="3"/>
  <c r="AH52" i="3"/>
  <c r="AB52" i="3"/>
  <c r="X52" i="3"/>
  <c r="L52" i="3"/>
  <c r="AH51" i="3"/>
  <c r="AB51" i="3"/>
  <c r="X51" i="3"/>
  <c r="L51" i="3"/>
  <c r="AH50" i="3"/>
  <c r="AB50" i="3"/>
  <c r="X50" i="3"/>
  <c r="L50" i="3"/>
  <c r="AH49" i="3"/>
  <c r="AB49" i="3"/>
  <c r="X49" i="3"/>
  <c r="L49" i="3"/>
  <c r="AH48" i="3"/>
  <c r="AB48" i="3"/>
  <c r="X48" i="3"/>
  <c r="L48" i="3"/>
  <c r="AH47" i="3"/>
  <c r="AB47" i="3"/>
  <c r="X47" i="3"/>
  <c r="L47" i="3"/>
  <c r="AH46" i="3"/>
  <c r="AB46" i="3"/>
  <c r="X46" i="3"/>
  <c r="L46" i="3"/>
  <c r="AH45" i="3"/>
  <c r="AB45" i="3"/>
  <c r="X45" i="3"/>
  <c r="L45" i="3"/>
  <c r="AH44" i="3"/>
  <c r="AB44" i="3"/>
  <c r="X44" i="3"/>
  <c r="L44" i="3"/>
  <c r="AH43" i="3"/>
  <c r="AB43" i="3"/>
  <c r="X43" i="3"/>
  <c r="L43" i="3"/>
  <c r="AH42" i="3"/>
  <c r="AB42" i="3"/>
  <c r="X42" i="3"/>
  <c r="L42" i="3"/>
  <c r="AH41" i="3"/>
  <c r="AB41" i="3"/>
  <c r="X41" i="3"/>
  <c r="L41" i="3"/>
  <c r="X40" i="3"/>
  <c r="L40" i="3"/>
  <c r="AH39" i="3"/>
  <c r="AB39" i="3"/>
  <c r="X39" i="3"/>
  <c r="L39" i="3"/>
  <c r="AH38" i="3"/>
  <c r="AB38" i="3"/>
  <c r="X38" i="3"/>
  <c r="L38" i="3"/>
  <c r="AH37" i="3"/>
  <c r="AB37" i="3"/>
  <c r="X37" i="3"/>
  <c r="L37" i="3"/>
  <c r="AH36" i="3"/>
  <c r="AB36" i="3"/>
  <c r="X36" i="3"/>
  <c r="L36" i="3"/>
  <c r="AH35" i="3"/>
  <c r="AB35" i="3"/>
  <c r="X35" i="3"/>
  <c r="L35" i="3"/>
  <c r="X34" i="3"/>
  <c r="I34" i="3" s="1"/>
  <c r="K34" i="3"/>
  <c r="K31" i="3" s="1"/>
  <c r="L31" i="3" s="1"/>
  <c r="X33" i="3"/>
  <c r="I33" i="3" s="1"/>
  <c r="L33" i="3"/>
  <c r="AH32" i="3"/>
  <c r="AB32" i="3"/>
  <c r="X32" i="3"/>
  <c r="L32" i="3"/>
  <c r="AH31" i="3"/>
  <c r="AB31" i="3"/>
  <c r="V31" i="3"/>
  <c r="X31" i="3" s="1"/>
  <c r="AH30" i="3"/>
  <c r="AB30" i="3"/>
  <c r="X30" i="3"/>
  <c r="L30" i="3"/>
  <c r="AH29" i="3"/>
  <c r="AB29" i="3"/>
  <c r="X29" i="3"/>
  <c r="L29" i="3"/>
  <c r="X28" i="3"/>
  <c r="L28" i="3"/>
  <c r="AH27" i="3"/>
  <c r="AB27" i="3"/>
  <c r="X27" i="3"/>
  <c r="L27" i="3"/>
  <c r="AH26" i="3"/>
  <c r="AB26" i="3"/>
  <c r="X26" i="3"/>
  <c r="K26" i="3"/>
  <c r="L26" i="3" s="1"/>
  <c r="AH25" i="3"/>
  <c r="AB25" i="3"/>
  <c r="X25" i="3"/>
  <c r="K25" i="3"/>
  <c r="L25" i="3" s="1"/>
  <c r="AH24" i="3"/>
  <c r="AB24" i="3"/>
  <c r="X24" i="3"/>
  <c r="L24" i="3"/>
  <c r="AH23" i="3"/>
  <c r="AB23" i="3"/>
  <c r="X23" i="3"/>
  <c r="L23" i="3"/>
  <c r="AH22" i="3"/>
  <c r="AB22" i="3"/>
  <c r="X22" i="3"/>
  <c r="K22" i="3"/>
  <c r="L22" i="3" s="1"/>
  <c r="AH21" i="3"/>
  <c r="AB21" i="3"/>
  <c r="X21" i="3"/>
  <c r="L21" i="3"/>
  <c r="AH20" i="3"/>
  <c r="AB20" i="3"/>
  <c r="X20" i="3"/>
  <c r="L20" i="3"/>
  <c r="AH19" i="3"/>
  <c r="AB19" i="3"/>
  <c r="X19" i="3"/>
  <c r="L19" i="3"/>
  <c r="AH18" i="3"/>
  <c r="AB18" i="3"/>
  <c r="X18" i="3"/>
  <c r="L18" i="3"/>
  <c r="AH17" i="3"/>
  <c r="AB17" i="3"/>
  <c r="X17" i="3"/>
  <c r="K17" i="3"/>
  <c r="AH15" i="3"/>
  <c r="AB15" i="3"/>
  <c r="X15" i="3"/>
  <c r="L15" i="3"/>
  <c r="L14" i="3"/>
  <c r="X13" i="3"/>
  <c r="L13" i="3"/>
  <c r="AH12" i="3"/>
  <c r="AB12" i="3"/>
  <c r="X12" i="3"/>
  <c r="L12" i="3"/>
  <c r="AH11" i="3"/>
  <c r="AB11" i="3"/>
  <c r="X11" i="3"/>
  <c r="K11" i="3"/>
  <c r="L11" i="3" s="1"/>
  <c r="AH10" i="3"/>
  <c r="AB10" i="3"/>
  <c r="X10" i="3"/>
  <c r="L10" i="3"/>
  <c r="AH9" i="3"/>
  <c r="AB9" i="3"/>
  <c r="X9" i="3"/>
  <c r="L9" i="3"/>
  <c r="AM7" i="3"/>
  <c r="AL7" i="3"/>
  <c r="AK7" i="3"/>
  <c r="AJ7" i="3"/>
  <c r="AI7" i="3"/>
  <c r="AG7" i="3"/>
  <c r="AF7" i="3"/>
  <c r="AE7" i="3"/>
  <c r="AD7" i="3"/>
  <c r="AC7" i="3"/>
  <c r="AA7" i="3"/>
  <c r="Z7" i="3"/>
  <c r="U7" i="3"/>
  <c r="Q7" i="3"/>
  <c r="P7" i="3"/>
  <c r="O7" i="3"/>
  <c r="N7" i="3"/>
  <c r="M7" i="3"/>
  <c r="J7" i="3"/>
  <c r="H7" i="3"/>
  <c r="G7" i="3"/>
  <c r="F7" i="3"/>
  <c r="C7" i="3"/>
  <c r="AM7" i="6" l="1"/>
  <c r="AG7" i="6"/>
  <c r="AD7" i="6"/>
  <c r="AH7" i="6"/>
  <c r="AH7" i="3"/>
  <c r="Y116" i="3"/>
  <c r="AB116" i="3" s="1"/>
  <c r="AB7" i="3" s="1"/>
  <c r="I7" i="3"/>
  <c r="X7" i="3"/>
  <c r="K7" i="3"/>
  <c r="L17" i="3"/>
  <c r="L34" i="3"/>
  <c r="V7" i="3"/>
  <c r="AB96" i="2"/>
  <c r="X96" i="2"/>
  <c r="AC96" i="2" s="1"/>
  <c r="AH96" i="2" s="1"/>
  <c r="L96" i="2"/>
  <c r="X95" i="2"/>
  <c r="AC95" i="2" s="1"/>
  <c r="AH95" i="2" s="1"/>
  <c r="L95" i="2"/>
  <c r="AH94" i="2"/>
  <c r="X94" i="2"/>
  <c r="Y94" i="2" s="1"/>
  <c r="AB94" i="2" s="1"/>
  <c r="L94" i="2"/>
  <c r="X93" i="2"/>
  <c r="AC93" i="2" s="1"/>
  <c r="AH93" i="2" s="1"/>
  <c r="L93" i="2"/>
  <c r="AH92" i="2"/>
  <c r="X92" i="2"/>
  <c r="Y92" i="2" s="1"/>
  <c r="AB92" i="2" s="1"/>
  <c r="L92" i="2"/>
  <c r="X91" i="2"/>
  <c r="AC91" i="2" s="1"/>
  <c r="AH91" i="2" s="1"/>
  <c r="L91" i="2"/>
  <c r="X90" i="2"/>
  <c r="AC90" i="2" s="1"/>
  <c r="AH90" i="2" s="1"/>
  <c r="L90" i="2"/>
  <c r="X89" i="2"/>
  <c r="L89" i="2"/>
  <c r="X88" i="2"/>
  <c r="Y88" i="2" s="1"/>
  <c r="AB88" i="2" s="1"/>
  <c r="L88" i="2"/>
  <c r="X87" i="2"/>
  <c r="AC87" i="2" s="1"/>
  <c r="AH87" i="2" s="1"/>
  <c r="L87" i="2"/>
  <c r="X86" i="2"/>
  <c r="AC86" i="2" s="1"/>
  <c r="AH86" i="2" s="1"/>
  <c r="L86" i="2"/>
  <c r="X85" i="2"/>
  <c r="L85" i="2"/>
  <c r="X84" i="2"/>
  <c r="Y84" i="2" s="1"/>
  <c r="AB84" i="2" s="1"/>
  <c r="L84" i="2"/>
  <c r="X83" i="2"/>
  <c r="AC83" i="2" s="1"/>
  <c r="AH83" i="2" s="1"/>
  <c r="L83" i="2"/>
  <c r="X82" i="2"/>
  <c r="AC82" i="2" s="1"/>
  <c r="AH82" i="2" s="1"/>
  <c r="L82" i="2"/>
  <c r="X81" i="2"/>
  <c r="L81" i="2"/>
  <c r="X80" i="2"/>
  <c r="Y80" i="2" s="1"/>
  <c r="AB80" i="2" s="1"/>
  <c r="L80" i="2"/>
  <c r="X79" i="2"/>
  <c r="AC79" i="2" s="1"/>
  <c r="AH79" i="2" s="1"/>
  <c r="L79" i="2"/>
  <c r="X78" i="2"/>
  <c r="AC78" i="2" s="1"/>
  <c r="AH78" i="2" s="1"/>
  <c r="L78" i="2"/>
  <c r="X77" i="2"/>
  <c r="L77" i="2"/>
  <c r="X76" i="2"/>
  <c r="Y76" i="2" s="1"/>
  <c r="AB76" i="2" s="1"/>
  <c r="L76" i="2"/>
  <c r="X75" i="2"/>
  <c r="AC75" i="2" s="1"/>
  <c r="AH75" i="2" s="1"/>
  <c r="L75" i="2"/>
  <c r="X74" i="2"/>
  <c r="AC74" i="2" s="1"/>
  <c r="AH74" i="2" s="1"/>
  <c r="L74" i="2"/>
  <c r="X73" i="2"/>
  <c r="L73" i="2"/>
  <c r="X72" i="2"/>
  <c r="Y72" i="2" s="1"/>
  <c r="AB72" i="2" s="1"/>
  <c r="L72" i="2"/>
  <c r="X71" i="2"/>
  <c r="AC71" i="2" s="1"/>
  <c r="AH71" i="2" s="1"/>
  <c r="L71" i="2"/>
  <c r="X70" i="2"/>
  <c r="AC70" i="2" s="1"/>
  <c r="AH70" i="2" s="1"/>
  <c r="L70" i="2"/>
  <c r="X69" i="2"/>
  <c r="L69" i="2"/>
  <c r="X68" i="2"/>
  <c r="Y68" i="2" s="1"/>
  <c r="AB68" i="2" s="1"/>
  <c r="L68" i="2"/>
  <c r="X67" i="2"/>
  <c r="AC67" i="2" s="1"/>
  <c r="AH67" i="2" s="1"/>
  <c r="L67" i="2"/>
  <c r="X66" i="2"/>
  <c r="AC66" i="2" s="1"/>
  <c r="AH66" i="2" s="1"/>
  <c r="L66" i="2"/>
  <c r="X65" i="2"/>
  <c r="L65" i="2"/>
  <c r="X64" i="2"/>
  <c r="Y64" i="2" s="1"/>
  <c r="AB64" i="2" s="1"/>
  <c r="L64" i="2"/>
  <c r="X63" i="2"/>
  <c r="AC63" i="2" s="1"/>
  <c r="AH63" i="2" s="1"/>
  <c r="L63" i="2"/>
  <c r="X62" i="2"/>
  <c r="AC62" i="2" s="1"/>
  <c r="AH62" i="2" s="1"/>
  <c r="L62" i="2"/>
  <c r="X61" i="2"/>
  <c r="L61" i="2"/>
  <c r="X60" i="2"/>
  <c r="Y60" i="2" s="1"/>
  <c r="AB60" i="2" s="1"/>
  <c r="L60" i="2"/>
  <c r="X59" i="2"/>
  <c r="AC59" i="2" s="1"/>
  <c r="AH59" i="2" s="1"/>
  <c r="L59" i="2"/>
  <c r="X58" i="2"/>
  <c r="AC58" i="2" s="1"/>
  <c r="AH58" i="2" s="1"/>
  <c r="L58" i="2"/>
  <c r="X57" i="2"/>
  <c r="L57" i="2"/>
  <c r="X56" i="2"/>
  <c r="Y56" i="2" s="1"/>
  <c r="AB56" i="2" s="1"/>
  <c r="L56" i="2"/>
  <c r="AB55" i="2"/>
  <c r="X55" i="2"/>
  <c r="AC55" i="2" s="1"/>
  <c r="AH55" i="2" s="1"/>
  <c r="L55" i="2"/>
  <c r="X54" i="2"/>
  <c r="AC54" i="2" s="1"/>
  <c r="AH54" i="2" s="1"/>
  <c r="L54" i="2"/>
  <c r="X53" i="2"/>
  <c r="AC53" i="2" s="1"/>
  <c r="AH53" i="2" s="1"/>
  <c r="L53" i="2"/>
  <c r="X52" i="2"/>
  <c r="Y52" i="2" s="1"/>
  <c r="AB52" i="2" s="1"/>
  <c r="L52" i="2"/>
  <c r="X51" i="2"/>
  <c r="Y51" i="2" s="1"/>
  <c r="AB51" i="2" s="1"/>
  <c r="L51" i="2"/>
  <c r="X50" i="2"/>
  <c r="AC50" i="2" s="1"/>
  <c r="AH50" i="2" s="1"/>
  <c r="L50" i="2"/>
  <c r="X49" i="2"/>
  <c r="AC49" i="2" s="1"/>
  <c r="AH49" i="2" s="1"/>
  <c r="L49" i="2"/>
  <c r="X48" i="2"/>
  <c r="Y48" i="2" s="1"/>
  <c r="AB48" i="2" s="1"/>
  <c r="L48" i="2"/>
  <c r="X47" i="2"/>
  <c r="AC47" i="2" s="1"/>
  <c r="AH47" i="2" s="1"/>
  <c r="L47" i="2"/>
  <c r="X46" i="2"/>
  <c r="AC46" i="2" s="1"/>
  <c r="AH46" i="2" s="1"/>
  <c r="L46" i="2"/>
  <c r="X45" i="2"/>
  <c r="AC45" i="2" s="1"/>
  <c r="AH45" i="2" s="1"/>
  <c r="L45" i="2"/>
  <c r="X44" i="2"/>
  <c r="AC44" i="2" s="1"/>
  <c r="AH44" i="2" s="1"/>
  <c r="L44" i="2"/>
  <c r="X43" i="2"/>
  <c r="AC43" i="2" s="1"/>
  <c r="AH43" i="2" s="1"/>
  <c r="L43" i="2"/>
  <c r="X42" i="2"/>
  <c r="AC42" i="2" s="1"/>
  <c r="AH42" i="2" s="1"/>
  <c r="L42" i="2"/>
  <c r="X41" i="2"/>
  <c r="AC41" i="2" s="1"/>
  <c r="AH41" i="2" s="1"/>
  <c r="L41" i="2"/>
  <c r="X40" i="2"/>
  <c r="Y40" i="2" s="1"/>
  <c r="AB40" i="2" s="1"/>
  <c r="L40" i="2"/>
  <c r="X39" i="2"/>
  <c r="AC39" i="2" s="1"/>
  <c r="AH39" i="2" s="1"/>
  <c r="L39" i="2"/>
  <c r="X38" i="2"/>
  <c r="AC38" i="2" s="1"/>
  <c r="AH38" i="2" s="1"/>
  <c r="L38" i="2"/>
  <c r="X37" i="2"/>
  <c r="L37" i="2"/>
  <c r="X36" i="2"/>
  <c r="Y36" i="2" s="1"/>
  <c r="AB36" i="2" s="1"/>
  <c r="L36" i="2"/>
  <c r="X35" i="2"/>
  <c r="Y35" i="2" s="1"/>
  <c r="AB35" i="2" s="1"/>
  <c r="K35" i="2"/>
  <c r="L35" i="2" s="1"/>
  <c r="X34" i="2"/>
  <c r="AC34" i="2" s="1"/>
  <c r="AH34" i="2" s="1"/>
  <c r="L34" i="2"/>
  <c r="X33" i="2"/>
  <c r="AC33" i="2" s="1"/>
  <c r="AH33" i="2" s="1"/>
  <c r="L33" i="2"/>
  <c r="X32" i="2"/>
  <c r="Y32" i="2" s="1"/>
  <c r="AB32" i="2" s="1"/>
  <c r="L32" i="2"/>
  <c r="X31" i="2"/>
  <c r="AC31" i="2" s="1"/>
  <c r="AH31" i="2" s="1"/>
  <c r="L31" i="2"/>
  <c r="X30" i="2"/>
  <c r="AC30" i="2" s="1"/>
  <c r="AH30" i="2" s="1"/>
  <c r="L30" i="2"/>
  <c r="X29" i="2"/>
  <c r="AC29" i="2" s="1"/>
  <c r="AH29" i="2" s="1"/>
  <c r="L29" i="2"/>
  <c r="X28" i="2"/>
  <c r="Y28" i="2" s="1"/>
  <c r="AB28" i="2" s="1"/>
  <c r="L28" i="2"/>
  <c r="X27" i="2"/>
  <c r="AC27" i="2" s="1"/>
  <c r="AH27" i="2" s="1"/>
  <c r="L27" i="2"/>
  <c r="X26" i="2"/>
  <c r="AC26" i="2" s="1"/>
  <c r="AH26" i="2" s="1"/>
  <c r="L26" i="2"/>
  <c r="X25" i="2"/>
  <c r="AC25" i="2" s="1"/>
  <c r="AH25" i="2" s="1"/>
  <c r="L25" i="2"/>
  <c r="X24" i="2"/>
  <c r="Y24" i="2" s="1"/>
  <c r="AB24" i="2" s="1"/>
  <c r="L24" i="2"/>
  <c r="X23" i="2"/>
  <c r="AC23" i="2" s="1"/>
  <c r="AH23" i="2" s="1"/>
  <c r="L23" i="2"/>
  <c r="X22" i="2"/>
  <c r="Y22" i="2" s="1"/>
  <c r="AB22" i="2" s="1"/>
  <c r="L22" i="2"/>
  <c r="X21" i="2"/>
  <c r="AC21" i="2" s="1"/>
  <c r="AH21" i="2" s="1"/>
  <c r="L21" i="2"/>
  <c r="X20" i="2"/>
  <c r="Y20" i="2" s="1"/>
  <c r="AB20" i="2" s="1"/>
  <c r="L20" i="2"/>
  <c r="X19" i="2"/>
  <c r="AC19" i="2" s="1"/>
  <c r="AH19" i="2" s="1"/>
  <c r="L19" i="2"/>
  <c r="X18" i="2"/>
  <c r="AC18" i="2" s="1"/>
  <c r="AH18" i="2" s="1"/>
  <c r="L18" i="2"/>
  <c r="X17" i="2"/>
  <c r="AC17" i="2" s="1"/>
  <c r="AH17" i="2" s="1"/>
  <c r="L17" i="2"/>
  <c r="X16" i="2"/>
  <c r="Y16" i="2" s="1"/>
  <c r="AB16" i="2" s="1"/>
  <c r="L16" i="2"/>
  <c r="X15" i="2"/>
  <c r="AC15" i="2" s="1"/>
  <c r="AH15" i="2" s="1"/>
  <c r="L15" i="2"/>
  <c r="X14" i="2"/>
  <c r="AC14" i="2" s="1"/>
  <c r="AH14" i="2" s="1"/>
  <c r="L14" i="2"/>
  <c r="X13" i="2"/>
  <c r="AC13" i="2" s="1"/>
  <c r="AH13" i="2" s="1"/>
  <c r="L13" i="2"/>
  <c r="X12" i="2"/>
  <c r="Y12" i="2" s="1"/>
  <c r="AB12" i="2" s="1"/>
  <c r="L12" i="2"/>
  <c r="X11" i="2"/>
  <c r="AC11" i="2" s="1"/>
  <c r="AH11" i="2" s="1"/>
  <c r="L11" i="2"/>
  <c r="X10" i="2"/>
  <c r="Y10" i="2" s="1"/>
  <c r="AB10" i="2" s="1"/>
  <c r="L10" i="2"/>
  <c r="X9" i="2"/>
  <c r="AC9" i="2" s="1"/>
  <c r="AH9" i="2" s="1"/>
  <c r="L9" i="2"/>
  <c r="X8" i="2"/>
  <c r="Y8" i="2" s="1"/>
  <c r="AB8" i="2" s="1"/>
  <c r="L8" i="2"/>
  <c r="L7" i="3" l="1"/>
  <c r="Y7" i="3"/>
  <c r="AC22" i="2"/>
  <c r="AH22" i="2" s="1"/>
  <c r="AC48" i="2"/>
  <c r="AH48" i="2" s="1"/>
  <c r="Y15" i="2"/>
  <c r="AB15" i="2" s="1"/>
  <c r="Y30" i="2"/>
  <c r="AB30" i="2" s="1"/>
  <c r="Y74" i="2"/>
  <c r="AB74" i="2" s="1"/>
  <c r="AC8" i="2"/>
  <c r="AH8" i="2" s="1"/>
  <c r="Y82" i="2"/>
  <c r="AB82" i="2" s="1"/>
  <c r="AC32" i="2"/>
  <c r="AH32" i="2" s="1"/>
  <c r="Y83" i="2"/>
  <c r="AB83" i="2" s="1"/>
  <c r="Y91" i="2"/>
  <c r="AB91" i="2" s="1"/>
  <c r="AC10" i="2"/>
  <c r="AH10" i="2" s="1"/>
  <c r="Y34" i="2"/>
  <c r="AB34" i="2" s="1"/>
  <c r="AC12" i="2"/>
  <c r="AH12" i="2" s="1"/>
  <c r="AC36" i="2"/>
  <c r="AH36" i="2" s="1"/>
  <c r="Y79" i="2"/>
  <c r="AB79" i="2" s="1"/>
  <c r="Y87" i="2"/>
  <c r="AB87" i="2" s="1"/>
  <c r="Y31" i="2"/>
  <c r="AB31" i="2" s="1"/>
  <c r="Y58" i="2"/>
  <c r="AB58" i="2" s="1"/>
  <c r="AC40" i="2"/>
  <c r="AH40" i="2" s="1"/>
  <c r="AC24" i="2"/>
  <c r="AH24" i="2" s="1"/>
  <c r="Y59" i="2"/>
  <c r="AB59" i="2" s="1"/>
  <c r="Y75" i="2"/>
  <c r="AB75" i="2" s="1"/>
  <c r="AC52" i="2"/>
  <c r="AH52" i="2" s="1"/>
  <c r="Y62" i="2"/>
  <c r="AB62" i="2" s="1"/>
  <c r="Y70" i="2"/>
  <c r="AB70" i="2" s="1"/>
  <c r="Y14" i="2"/>
  <c r="AB14" i="2" s="1"/>
  <c r="AC56" i="2"/>
  <c r="AH56" i="2" s="1"/>
  <c r="AC64" i="2"/>
  <c r="AH64" i="2" s="1"/>
  <c r="Y66" i="2"/>
  <c r="AB66" i="2" s="1"/>
  <c r="Y67" i="2"/>
  <c r="AB67" i="2" s="1"/>
  <c r="Y18" i="2"/>
  <c r="AB18" i="2" s="1"/>
  <c r="AC68" i="2"/>
  <c r="AH68" i="2" s="1"/>
  <c r="Y19" i="2"/>
  <c r="AB19" i="2" s="1"/>
  <c r="Y44" i="2"/>
  <c r="AB44" i="2" s="1"/>
  <c r="Y27" i="2"/>
  <c r="AB27" i="2" s="1"/>
  <c r="Y78" i="2"/>
  <c r="AB78" i="2" s="1"/>
  <c r="Y86" i="2"/>
  <c r="AB86" i="2" s="1"/>
  <c r="AC72" i="2"/>
  <c r="AH72" i="2" s="1"/>
  <c r="Y23" i="2"/>
  <c r="AB23" i="2" s="1"/>
  <c r="AC16" i="2"/>
  <c r="AH16" i="2" s="1"/>
  <c r="Y90" i="2"/>
  <c r="AB90" i="2" s="1"/>
  <c r="AC60" i="2"/>
  <c r="AH60" i="2" s="1"/>
  <c r="Y26" i="2"/>
  <c r="AB26" i="2" s="1"/>
  <c r="AC84" i="2"/>
  <c r="AH84" i="2" s="1"/>
  <c r="AC20" i="2"/>
  <c r="AH20" i="2" s="1"/>
  <c r="Y63" i="2"/>
  <c r="AB63" i="2" s="1"/>
  <c r="AC80" i="2"/>
  <c r="AH80" i="2" s="1"/>
  <c r="AC76" i="2"/>
  <c r="AH76" i="2" s="1"/>
  <c r="AC28" i="2"/>
  <c r="AH28" i="2" s="1"/>
  <c r="Y71" i="2"/>
  <c r="AB71" i="2" s="1"/>
  <c r="AC88" i="2"/>
  <c r="AH88" i="2" s="1"/>
  <c r="AC73" i="2"/>
  <c r="AH73" i="2" s="1"/>
  <c r="Y73" i="2"/>
  <c r="AB73" i="2" s="1"/>
  <c r="Y33" i="2"/>
  <c r="AB33" i="2" s="1"/>
  <c r="Y93" i="2"/>
  <c r="AB93" i="2" s="1"/>
  <c r="Y42" i="2"/>
  <c r="AB42" i="2" s="1"/>
  <c r="AC81" i="2"/>
  <c r="AH81" i="2" s="1"/>
  <c r="Y81" i="2"/>
  <c r="AB81" i="2" s="1"/>
  <c r="AC61" i="2"/>
  <c r="AH61" i="2" s="1"/>
  <c r="Y61" i="2"/>
  <c r="AB61" i="2" s="1"/>
  <c r="AC65" i="2"/>
  <c r="AH65" i="2" s="1"/>
  <c r="Y65" i="2"/>
  <c r="AB65" i="2" s="1"/>
  <c r="Y21" i="2"/>
  <c r="AB21" i="2" s="1"/>
  <c r="AC85" i="2"/>
  <c r="AH85" i="2" s="1"/>
  <c r="Y85" i="2"/>
  <c r="AB85" i="2" s="1"/>
  <c r="Y17" i="2"/>
  <c r="AB17" i="2" s="1"/>
  <c r="Y29" i="2"/>
  <c r="AB29" i="2" s="1"/>
  <c r="AC69" i="2"/>
  <c r="AH69" i="2" s="1"/>
  <c r="Y69" i="2"/>
  <c r="AB69" i="2" s="1"/>
  <c r="Y13" i="2"/>
  <c r="AB13" i="2" s="1"/>
  <c r="AC57" i="2"/>
  <c r="AH57" i="2" s="1"/>
  <c r="Y57" i="2"/>
  <c r="AB57" i="2" s="1"/>
  <c r="AC37" i="2"/>
  <c r="AH37" i="2" s="1"/>
  <c r="Y37" i="2"/>
  <c r="AB37" i="2" s="1"/>
  <c r="AC89" i="2"/>
  <c r="AH89" i="2" s="1"/>
  <c r="Y89" i="2"/>
  <c r="AB89" i="2" s="1"/>
  <c r="AC77" i="2"/>
  <c r="AH77" i="2" s="1"/>
  <c r="Y77" i="2"/>
  <c r="AB77" i="2" s="1"/>
  <c r="Y38" i="2"/>
  <c r="AB38" i="2" s="1"/>
  <c r="Y9" i="2"/>
  <c r="AB9" i="2" s="1"/>
  <c r="Y46" i="2"/>
  <c r="AB46" i="2" s="1"/>
  <c r="Y54" i="2"/>
  <c r="AB54" i="2" s="1"/>
  <c r="Y50" i="2"/>
  <c r="AB50" i="2" s="1"/>
  <c r="Y25" i="2"/>
  <c r="AB25" i="2" s="1"/>
  <c r="Y41" i="2"/>
  <c r="AB41" i="2" s="1"/>
  <c r="Y45" i="2"/>
  <c r="AB45" i="2" s="1"/>
  <c r="Y49" i="2"/>
  <c r="AB49" i="2" s="1"/>
  <c r="Y53" i="2"/>
  <c r="AB53" i="2" s="1"/>
  <c r="Y95" i="2"/>
  <c r="AB95" i="2" s="1"/>
  <c r="AC35" i="2"/>
  <c r="AH35" i="2" s="1"/>
  <c r="AC51" i="2"/>
  <c r="AH51" i="2" s="1"/>
  <c r="Y11" i="2"/>
  <c r="AB11" i="2" s="1"/>
  <c r="Y39" i="2"/>
  <c r="AB39" i="2" s="1"/>
  <c r="Y43" i="2"/>
  <c r="AB43" i="2" s="1"/>
  <c r="Y47" i="2"/>
  <c r="AB47" i="2" s="1"/>
</calcChain>
</file>

<file path=xl/sharedStrings.xml><?xml version="1.0" encoding="utf-8"?>
<sst xmlns="http://schemas.openxmlformats.org/spreadsheetml/2006/main" count="12476" uniqueCount="2996">
  <si>
    <r>
      <t xml:space="preserve">BIỄU MẪU KIỂM TRA HỆ THỐNG CHIẾU SÁNG TRÊN ĐỊA BÀN XÃ </t>
    </r>
    <r>
      <rPr>
        <b/>
        <sz val="36"/>
        <rFont val="Times New Roman"/>
        <family val="1"/>
      </rPr>
      <t>TRỪ VĂN THỐ</t>
    </r>
  </si>
  <si>
    <t>STT
(Theo danh sách Trung tâm)</t>
  </si>
  <si>
    <t>Tên tủ điều khiển</t>
  </si>
  <si>
    <t>Mã QR tủ điều khiển</t>
  </si>
  <si>
    <t>Định vị</t>
  </si>
  <si>
    <t>Tuyến đường</t>
  </si>
  <si>
    <t>Phường/Xã</t>
  </si>
  <si>
    <t>Địa chỉ tủ điều khiển</t>
  </si>
  <si>
    <t>Lý 
trình</t>
  </si>
  <si>
    <t>Chiều dài tuyến</t>
  </si>
  <si>
    <t>Trạm đèn</t>
  </si>
  <si>
    <t>Bộ đèn</t>
  </si>
  <si>
    <t>Cần đèn</t>
  </si>
  <si>
    <t>Cáp</t>
  </si>
  <si>
    <t>Đơn vị khảo sát</t>
  </si>
  <si>
    <t>Ngày khảo sát</t>
  </si>
  <si>
    <t>Ghi chú</t>
  </si>
  <si>
    <t>Cáp ngầm</t>
  </si>
  <si>
    <t>Cáp nổi</t>
  </si>
  <si>
    <t>Tổng cộng</t>
  </si>
  <si>
    <t>dùng PLC</t>
  </si>
  <si>
    <t>dùng Timer</t>
  </si>
  <si>
    <t>Tủ KNTT</t>
  </si>
  <si>
    <r>
      <t>Loại tủ (</t>
    </r>
    <r>
      <rPr>
        <b/>
        <u/>
        <sz val="14"/>
        <rFont val="Times New Roman"/>
        <family val="1"/>
      </rPr>
      <t>T</t>
    </r>
    <r>
      <rPr>
        <b/>
        <sz val="14"/>
        <rFont val="Times New Roman"/>
        <family val="1"/>
      </rPr>
      <t>hép/</t>
    </r>
    <r>
      <rPr>
        <b/>
        <u/>
        <sz val="14"/>
        <rFont val="Times New Roman"/>
        <family val="1"/>
      </rPr>
      <t xml:space="preserve">
C</t>
    </r>
    <r>
      <rPr>
        <b/>
        <sz val="14"/>
        <rFont val="Times New Roman"/>
        <family val="1"/>
      </rPr>
      <t>omposite)</t>
    </r>
  </si>
  <si>
    <t>Tiếp địa (có hay không)</t>
  </si>
  <si>
    <t>HPS</t>
  </si>
  <si>
    <t>LED</t>
  </si>
  <si>
    <t>Khác (Pha, Trang trí, …)</t>
  </si>
  <si>
    <t>Trụ đèn (Trừ các trụ do Điện lực quản lý)</t>
  </si>
  <si>
    <t>Đơn</t>
  </si>
  <si>
    <t>Đôi Ø60</t>
  </si>
  <si>
    <t>Ba Ø60</t>
  </si>
  <si>
    <t>Bốn Ø60</t>
  </si>
  <si>
    <t>Cáp từ tủ ra đèn</t>
  </si>
  <si>
    <t>100W</t>
  </si>
  <si>
    <t>150W</t>
  </si>
  <si>
    <t>250W</t>
  </si>
  <si>
    <t>Khác</t>
  </si>
  <si>
    <t>Bê tông</t>
  </si>
  <si>
    <t>Kim loại</t>
  </si>
  <si>
    <t>TT</t>
  </si>
  <si>
    <t>Ø49</t>
  </si>
  <si>
    <t>Ø60</t>
  </si>
  <si>
    <t>Cáp đồng hay nhôm</t>
  </si>
  <si>
    <t>Số sợi
(1/2/3/4)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</si>
  <si>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</si>
  <si>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</si>
  <si>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</si>
  <si>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</si>
  <si>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</si>
  <si>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</si>
  <si>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</si>
  <si>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</si>
  <si>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</si>
  <si>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</si>
  <si>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</si>
  <si>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</si>
  <si>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</si>
  <si>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</si>
  <si>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</si>
  <si>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</si>
  <si>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</si>
  <si>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</si>
  <si>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</si>
  <si>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</si>
  <si>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</si>
  <si>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</si>
  <si>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</si>
  <si>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</si>
  <si>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</si>
  <si>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</si>
  <si>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</si>
  <si>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</si>
  <si>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</si>
  <si>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</si>
  <si>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</si>
  <si>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</si>
  <si>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</si>
  <si>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</si>
  <si>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</si>
  <si>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</si>
  <si>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</si>
  <si>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</si>
  <si>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Cây trường 03 - T1</t>
  </si>
  <si>
    <t>No.1511084750</t>
  </si>
  <si>
    <t>11.3432353, 106.5831461</t>
  </si>
  <si>
    <t>Cây trường 03</t>
  </si>
  <si>
    <t>Trừ Văn Thố</t>
  </si>
  <si>
    <t>Ngã ba Cây trường 03 - ĐT750</t>
  </si>
  <si>
    <t>ĐT750 &lt;-&gt; số nhà 35</t>
  </si>
  <si>
    <t>T</t>
  </si>
  <si>
    <t>F</t>
  </si>
  <si>
    <t>C</t>
  </si>
  <si>
    <t>N</t>
  </si>
  <si>
    <t>Cây trường 05 - T1</t>
  </si>
  <si>
    <t>No.211100046934</t>
  </si>
  <si>
    <t>11.3413566, 106.5801553</t>
  </si>
  <si>
    <t>Cây trường 05</t>
  </si>
  <si>
    <t>Đối diện nhà trọ Tư Lợi</t>
  </si>
  <si>
    <t>ĐT750 &lt;-&gt; cuối đường</t>
  </si>
  <si>
    <t>Cây trường 05 - T2</t>
  </si>
  <si>
    <t>No.1511033465</t>
  </si>
  <si>
    <t>11.3397621, 106.5711068</t>
  </si>
  <si>
    <t>Đối diện nhà trọ Hưng Anh</t>
  </si>
  <si>
    <t>Trụ 4-6 &lt;-&gt; cuối đường</t>
  </si>
  <si>
    <t>Cây trường 06 - T1</t>
  </si>
  <si>
    <t>No.2011578637</t>
  </si>
  <si>
    <t>11.386981881234, 106.60742936665807</t>
  </si>
  <si>
    <t>Cây trường 06</t>
  </si>
  <si>
    <t>Góc ngã ba ĐT750 - Cây trường 6</t>
  </si>
  <si>
    <t>ĐT750 &lt;-&gt; cuối tuyến</t>
  </si>
  <si>
    <t>K</t>
  </si>
  <si>
    <t>Cây trường 07 - T1</t>
  </si>
  <si>
    <t>No.2011577919</t>
  </si>
  <si>
    <t>11.344438861134568, 106.58039194541665</t>
  </si>
  <si>
    <t>Cây trường 07</t>
  </si>
  <si>
    <t>Góc ngã ba ĐT750 - Cây trường 7</t>
  </si>
  <si>
    <t>Cây trường 08</t>
  </si>
  <si>
    <t>Chung tủ Cây trường 7</t>
  </si>
  <si>
    <t>Cây trường 09 - T1</t>
  </si>
  <si>
    <t>No.221100364813</t>
  </si>
  <si>
    <t>11.341698481711662, 106.57985835346075</t>
  </si>
  <si>
    <t>Cây trường 09</t>
  </si>
  <si>
    <t>Gần TBA 06 Trừ Văn Thố 94</t>
  </si>
  <si>
    <t>Cây trường 10 - T1</t>
  </si>
  <si>
    <t>No.2320110482</t>
  </si>
  <si>
    <t>11.34481256828747, 106.5794292838374</t>
  </si>
  <si>
    <t>Cây trường 10</t>
  </si>
  <si>
    <t>Cách đường ĐT750 30 trụ thứ 2</t>
  </si>
  <si>
    <t>Cây trường 11</t>
  </si>
  <si>
    <t>Chung tủ Đ750 tủ 2</t>
  </si>
  <si>
    <t>Cây trường 12 - T1</t>
  </si>
  <si>
    <t>No.2320109001</t>
  </si>
  <si>
    <t>11.3443276, 106.578207</t>
  </si>
  <si>
    <t>Cây trường 12</t>
  </si>
  <si>
    <t>Ngã ba Cây trường 12 - ĐT750</t>
  </si>
  <si>
    <t>Cây trường 13 - T1</t>
  </si>
  <si>
    <t>No.1911423559</t>
  </si>
  <si>
    <t>11.341478116201769, 106.57861797247341</t>
  </si>
  <si>
    <t>Cây trường 13</t>
  </si>
  <si>
    <t>Góc ngã ba ĐT750-Cây trường 13</t>
  </si>
  <si>
    <t>Cây trường 14 - T1</t>
  </si>
  <si>
    <t>No.221100332296</t>
  </si>
  <si>
    <t>11.3463159, 106.5768338</t>
  </si>
  <si>
    <t>Cây trường 14</t>
  </si>
  <si>
    <t>Trước số nhà 153</t>
  </si>
  <si>
    <t>ĐT750 &lt;-&gt; trụ 01</t>
  </si>
  <si>
    <t>Cây trường 15 - T1</t>
  </si>
  <si>
    <t>No.11577901</t>
  </si>
  <si>
    <t>11.346148601743495, 106.57568299221487</t>
  </si>
  <si>
    <t>Cây trường 15</t>
  </si>
  <si>
    <t>Góc ngã ba ĐT750-Cây trường 15</t>
  </si>
  <si>
    <t>Cây trường 16 - T1</t>
  </si>
  <si>
    <t>No.2320106186</t>
  </si>
  <si>
    <t>11.341000489687485, 106.57766646858732</t>
  </si>
  <si>
    <t>Cây trường 16</t>
  </si>
  <si>
    <t>Số trụ 1-1A &amp; góc ngã ba ĐT 750- cây trường 16</t>
  </si>
  <si>
    <t>Cây trường 17</t>
  </si>
  <si>
    <t>Chun tủ Cây trường 18</t>
  </si>
  <si>
    <t>Cây trường 18 - T1</t>
  </si>
  <si>
    <t>No.2011581122</t>
  </si>
  <si>
    <t>11.343865371319785, 106.57509827064962</t>
  </si>
  <si>
    <t>Cây trường 18</t>
  </si>
  <si>
    <t>Góc ngã ba ĐT750-Cây trường 18</t>
  </si>
  <si>
    <t>Cây trường 19 - T1</t>
  </si>
  <si>
    <t>No.2011580660</t>
  </si>
  <si>
    <t>11.3434845, 106.5741063</t>
  </si>
  <si>
    <t>Cây trường 19</t>
  </si>
  <si>
    <t>Trụ 1-4 ngã 3 CT19-ĐT750</t>
  </si>
  <si>
    <t>Cây trường 20</t>
  </si>
  <si>
    <t>Cây trường 21 - T1</t>
  </si>
  <si>
    <t>No.221100332323</t>
  </si>
  <si>
    <t>11.3406307, 106.5734603</t>
  </si>
  <si>
    <t>Cây trường 21</t>
  </si>
  <si>
    <t>Trụ 2-1 CT21 gần TBA06TVT 104</t>
  </si>
  <si>
    <t>Cây trường 22 - T1</t>
  </si>
  <si>
    <t>No.2320085155</t>
  </si>
  <si>
    <t>11.3435008, 106.5730166</t>
  </si>
  <si>
    <t>Cây trường 22</t>
  </si>
  <si>
    <t>VP ấp Đông THanh CT22</t>
  </si>
  <si>
    <t>Cây trường 23 - T1</t>
  </si>
  <si>
    <t>No.2011581488</t>
  </si>
  <si>
    <t>11.3430694, 106.5721969</t>
  </si>
  <si>
    <t>Cây trường 23</t>
  </si>
  <si>
    <t>Trước số nhà 55 ngã 3 CT23-ĐT750</t>
  </si>
  <si>
    <t>Đ</t>
  </si>
  <si>
    <t>Cây trường 24</t>
  </si>
  <si>
    <t>Chung tủ Cây trường 23</t>
  </si>
  <si>
    <t>Cây trường 25 - T1</t>
  </si>
  <si>
    <t>No.2320105427</t>
  </si>
  <si>
    <t>11.3412964, 106.5712611</t>
  </si>
  <si>
    <t>Cây trường 25</t>
  </si>
  <si>
    <t>Trụ 10-B6</t>
  </si>
  <si>
    <t>Cây trường 26 - T1</t>
  </si>
  <si>
    <t>No.2011580669</t>
  </si>
  <si>
    <t>11.3427639, 106.5711067</t>
  </si>
  <si>
    <t>Cây trường 26</t>
  </si>
  <si>
    <t>Ngã 3 CT26-ĐT750</t>
  </si>
  <si>
    <t>ĐT750 &lt;-&gt; trụ 107</t>
  </si>
  <si>
    <t>Cây trường 27 - T1</t>
  </si>
  <si>
    <t>No.221100332305</t>
  </si>
  <si>
    <t>11.3425892, 106.5699054</t>
  </si>
  <si>
    <t>Cây trường 27</t>
  </si>
  <si>
    <t>Trụ 2-8B ngã ba CT27-ĐT750</t>
  </si>
  <si>
    <t>Cây trường 28 - T1-</t>
  </si>
  <si>
    <t>No.221100332309</t>
  </si>
  <si>
    <t>11.3424616, 106.5699234</t>
  </si>
  <si>
    <t>Cây trường 28</t>
  </si>
  <si>
    <t>Ngã 3 CT28-ĐT750</t>
  </si>
  <si>
    <t>Cây trường 29</t>
  </si>
  <si>
    <t>ĐT750 &lt;-&gt; Cây trường 05, 29</t>
  </si>
  <si>
    <t>Chung tủ với Công trường 05 - T2</t>
  </si>
  <si>
    <t>Cây trường 30-T1</t>
  </si>
  <si>
    <t>No.221100332308</t>
  </si>
  <si>
    <t>11.3430801, 106.5689762</t>
  </si>
  <si>
    <t>Cây trường 30</t>
  </si>
  <si>
    <t>Gần ngã 3 Cây trường 30-ĐT750</t>
  </si>
  <si>
    <t>Cây trường 31-T1</t>
  </si>
  <si>
    <t>11.3422405, 106.5682863</t>
  </si>
  <si>
    <t>Cây trường 31</t>
  </si>
  <si>
    <t>Trụ 11 Ngã 3 cây trường 31-ĐT750</t>
  </si>
  <si>
    <t>ĐT750 &lt;-&gt; số nhà 20</t>
  </si>
  <si>
    <t>Cây trường 32</t>
  </si>
  <si>
    <t>ĐT750 &lt;-&gt; trụ 1-1A</t>
  </si>
  <si>
    <t>Chung tủ với Cây trường 31</t>
  </si>
  <si>
    <t>Cây trường 33-T1</t>
  </si>
  <si>
    <t>No.23901594</t>
  </si>
  <si>
    <t>11.34619210382096, 106.56848377558083</t>
  </si>
  <si>
    <t>Cây trường 33</t>
  </si>
  <si>
    <t>Số trụ 05 đèn đường CS D09 Cây trường 33</t>
  </si>
  <si>
    <t>ĐT750 &lt;-&gt; Ngã tư trụ số 01</t>
  </si>
  <si>
    <t>Cây trường 34-T1</t>
  </si>
  <si>
    <t>No.221100338952</t>
  </si>
  <si>
    <t>11.3402417, 106.5632833</t>
  </si>
  <si>
    <t>Cây trường 34</t>
  </si>
  <si>
    <t>Ngã ba Cây trường 34 ĐH750</t>
  </si>
  <si>
    <t>ĐH750 &lt;-&gt; cuối tuyến</t>
  </si>
  <si>
    <t>Cây trường 35-T1</t>
  </si>
  <si>
    <t>No.1511187169</t>
  </si>
  <si>
    <t>11.3393666, 106.5590379</t>
  </si>
  <si>
    <t>Cây trường 35</t>
  </si>
  <si>
    <t>Ngã ba Cây trường 35 ĐH750</t>
  </si>
  <si>
    <t>Cây trường 36-T1</t>
  </si>
  <si>
    <t>11.3392406, 106.5573931</t>
  </si>
  <si>
    <t>Cây trường 36</t>
  </si>
  <si>
    <t>Ngã ba Cây trường 36 ĐH750</t>
  </si>
  <si>
    <t>Cây trường 37-T1</t>
  </si>
  <si>
    <t>No.1511230035</t>
  </si>
  <si>
    <t>11.3382603, 106.5550423</t>
  </si>
  <si>
    <t>Cây trường 37</t>
  </si>
  <si>
    <t>Cây trường 38-T1</t>
  </si>
  <si>
    <t>No.1511173277</t>
  </si>
  <si>
    <t>11.3361605, 106.5528308</t>
  </si>
  <si>
    <t>Cây trường 38</t>
  </si>
  <si>
    <t>Cây trường 39-T1</t>
  </si>
  <si>
    <t>No.21089985</t>
  </si>
  <si>
    <t>11.332584, 106.5499964</t>
  </si>
  <si>
    <t>Cây trường 39</t>
  </si>
  <si>
    <t>Cây trường 40-T1</t>
  </si>
  <si>
    <t>No.21110215</t>
  </si>
  <si>
    <t>11.3382415, 106.5487476</t>
  </si>
  <si>
    <t>Cây trường 40</t>
  </si>
  <si>
    <t>Cây trường 41-T1</t>
  </si>
  <si>
    <t>No.1511187170</t>
  </si>
  <si>
    <t>11.3355921, 106.5479564</t>
  </si>
  <si>
    <t>Cây trường 41</t>
  </si>
  <si>
    <t>Cây trường 42</t>
  </si>
  <si>
    <t>Chung tủ với  Cây trường 41</t>
  </si>
  <si>
    <t>Cây trường 47-T1</t>
  </si>
  <si>
    <t>No.211100047103</t>
  </si>
  <si>
    <t>11.320641745299657, 106.56446885491208</t>
  </si>
  <si>
    <t>Cây trường 47</t>
  </si>
  <si>
    <t>Gần trạm TBA 06 Cờ đỏ 31</t>
  </si>
  <si>
    <t>ĐH614 &lt;-&gt; Đường HCM/Công trường 70</t>
  </si>
  <si>
    <t>Cây trường 48-T1</t>
  </si>
  <si>
    <t>No.1611024150</t>
  </si>
  <si>
    <t>11.315687671196162, 106.56379985005472</t>
  </si>
  <si>
    <t>Cây trường 48</t>
  </si>
  <si>
    <t>Gần trạm TBA 05 TĐC Cờ đỏ</t>
  </si>
  <si>
    <t>ĐH416 &lt;-&gt; cuối tuyến</t>
  </si>
  <si>
    <t>Cây trường 49</t>
  </si>
  <si>
    <t>Chung tủ Cây trường 69</t>
  </si>
  <si>
    <t>Cây trường 51-T1</t>
  </si>
  <si>
    <t>No.1511111364</t>
  </si>
  <si>
    <t>11.29951888039368, 106.55993171781432</t>
  </si>
  <si>
    <t>Cây trường 51</t>
  </si>
  <si>
    <t>Gần trụ số 01 TBA 01 Nguyễn Thanh Nhơn</t>
  </si>
  <si>
    <t>ĐH614 &lt;-&gt; cuối tuyến</t>
  </si>
  <si>
    <t>Cây trường 68-T1</t>
  </si>
  <si>
    <t>No.21078613</t>
  </si>
  <si>
    <t>11.3185248, 106.565142</t>
  </si>
  <si>
    <t>Cây trường 68</t>
  </si>
  <si>
    <t>Góc ngã tư Cây trường 68-69</t>
  </si>
  <si>
    <t>Cuối tuyến &lt;-&gt; Đường HCM</t>
  </si>
  <si>
    <t>Cây trường 69-T1</t>
  </si>
  <si>
    <t>No.22110033081</t>
  </si>
  <si>
    <t>11.314861597503615, 106.56464871960372</t>
  </si>
  <si>
    <t>Cây trường 69</t>
  </si>
  <si>
    <t>Gần trụ TDCCD 05 T002P</t>
  </si>
  <si>
    <t>Số trụ 3/1 &lt;-&gt; cuối tuyến</t>
  </si>
  <si>
    <t>Đường HCM &lt;-&gt; cuối tuyến</t>
  </si>
  <si>
    <t>Chung tủ Cây trường 47</t>
  </si>
  <si>
    <t>TVT04</t>
  </si>
  <si>
    <t>ĐT750 &lt;-&gt; trường mần non Hoạ Mi</t>
  </si>
  <si>
    <t>Chung tủ vưới ĐT750-T4</t>
  </si>
  <si>
    <t>TVT - đường 08 - T1</t>
  </si>
  <si>
    <t>No.201578466</t>
  </si>
  <si>
    <t>11.3569689, 106.6370168</t>
  </si>
  <si>
    <t>TVT - đường 08</t>
  </si>
  <si>
    <t>TBA số 3 ấp 1 TVT</t>
  </si>
  <si>
    <t>QL13 &lt;-&gt; trụ 15</t>
  </si>
  <si>
    <t>TVT - đường 10 - T1</t>
  </si>
  <si>
    <t>No.2011579658</t>
  </si>
  <si>
    <t>11.3528641, 106.6381612</t>
  </si>
  <si>
    <t>TVT - đường 10</t>
  </si>
  <si>
    <t>Trụ 2-6-8 đường 10 TVT</t>
  </si>
  <si>
    <t>QL13 &lt;-&gt; trụ 18</t>
  </si>
  <si>
    <t>TVT - đường 11</t>
  </si>
  <si>
    <t>Sân banh  &lt;-&gt; cuối tuyến đường 11 TVT</t>
  </si>
  <si>
    <t>Chung tủ với TVT đường 10 
1 vị trí 2 đèn</t>
  </si>
  <si>
    <t>TBA số 3 ấp 1 TVT &lt;-&gt; cuối tuyến đường 11 TVT</t>
  </si>
  <si>
    <t>Chung tủ với TVT đường 8</t>
  </si>
  <si>
    <t>TVT - đường 18 - T1</t>
  </si>
  <si>
    <t>PB.04090008025</t>
  </si>
  <si>
    <t>11.3471247, 106.6389519</t>
  </si>
  <si>
    <t>TVT - đường 14</t>
  </si>
  <si>
    <t>Trụ 119 - đường 18 TVT</t>
  </si>
  <si>
    <t>TVT 19 &lt;-&gt; QL13</t>
  </si>
  <si>
    <t>TVT16-T2</t>
  </si>
  <si>
    <t>No.221100339304</t>
  </si>
  <si>
    <t>11.350182644101901, 106.6509018560002</t>
  </si>
  <si>
    <t>TVT16</t>
  </si>
  <si>
    <t>Số trụ 1/6 TVT16</t>
  </si>
  <si>
    <t>Số trụ 2/3 &lt;-&gt; cuối tuyến</t>
  </si>
  <si>
    <t>TVT16-T1</t>
  </si>
  <si>
    <t>No.1511290363</t>
  </si>
  <si>
    <t>11.346637224788886, 106.6475504358361</t>
  </si>
  <si>
    <t>Số trụ TBA 06 Suối Dầu</t>
  </si>
  <si>
    <t>ĐT750 &lt;-&gt; số trụ 2/3</t>
  </si>
  <si>
    <t>TVT - đường 18</t>
  </si>
  <si>
    <t>Ql13 &lt;-&gt; TVT 19</t>
  </si>
  <si>
    <t>TVT - đường 19</t>
  </si>
  <si>
    <t>ĐT750 &lt;-&gt; Sân banh</t>
  </si>
  <si>
    <t>TVT25-T1</t>
  </si>
  <si>
    <t>No.221100365360</t>
  </si>
  <si>
    <t>11.353124650205597, 106.62427162761485</t>
  </si>
  <si>
    <t>TVT25</t>
  </si>
  <si>
    <t>Số trụ 26 - TVT01</t>
  </si>
  <si>
    <t>Số trụ 37 &lt;-&gt; số trụ 16</t>
  </si>
  <si>
    <t>TVT25-T2</t>
  </si>
  <si>
    <t>No.21072747</t>
  </si>
  <si>
    <t>11.345819947320141, 106.62619452002146</t>
  </si>
  <si>
    <t>Số trụ 02 - TVT01</t>
  </si>
  <si>
    <t>Số trụ 14 &lt;-&gt; ĐT750</t>
  </si>
  <si>
    <t>TVT71-T5</t>
  </si>
  <si>
    <t>No.1511289029</t>
  </si>
  <si>
    <t>11.385923079225373, 106.60749834972117</t>
  </si>
  <si>
    <t>TVT71</t>
  </si>
  <si>
    <t>Số trụ 13B TVT71</t>
  </si>
  <si>
    <t>Số trụ 16 &lt;-&gt; số trụ 48</t>
  </si>
  <si>
    <t>TVT71-T4</t>
  </si>
  <si>
    <t>No.1511288374</t>
  </si>
  <si>
    <t>11.383269829686157, 106.60751461061332</t>
  </si>
  <si>
    <t>Bên hông nhà Tổ 16- ấp 4 TVT</t>
  </si>
  <si>
    <t>Số trụ 20 &lt;-&gt; số trụ 16</t>
  </si>
  <si>
    <t>TVT71-T3</t>
  </si>
  <si>
    <t>No.21082728</t>
  </si>
  <si>
    <t>11.380776590678046, 106.60621281723175</t>
  </si>
  <si>
    <t>Bên hông nhà Tổ 10- ấp 4 TVT</t>
  </si>
  <si>
    <t>đường 91 &lt;-&gt; số trụ 20</t>
  </si>
  <si>
    <t>TVT71-T2</t>
  </si>
  <si>
    <t>No.25100073533</t>
  </si>
  <si>
    <t>11.376430573883596, 106.60504220063481</t>
  </si>
  <si>
    <t>Góc ngã ba 71-89- TVT71</t>
  </si>
  <si>
    <t>đường xóm đoàn kết &lt;-&gt; đường 91</t>
  </si>
  <si>
    <t>TVT71-T1</t>
  </si>
  <si>
    <t>No.241200504227</t>
  </si>
  <si>
    <t>11.365008244218231, 106.59117454941834</t>
  </si>
  <si>
    <t>Gần ngã ba đường HCM-TVT71</t>
  </si>
  <si>
    <t>Đường HCM &lt;-&gt; đường xóm đoàn kết</t>
  </si>
  <si>
    <t>Cây trường 02-T1</t>
  </si>
  <si>
    <t>No.23901591</t>
  </si>
  <si>
    <t>11.346068028469187, 106.5847304252936</t>
  </si>
  <si>
    <t>Cây trường 02</t>
  </si>
  <si>
    <t>Số trụ 01 đèn đường BTK07</t>
  </si>
  <si>
    <t>Số trụ 02 &lt;-&gt; ĐT750</t>
  </si>
  <si>
    <t>TVT124-T1</t>
  </si>
  <si>
    <t>No.1511288383</t>
  </si>
  <si>
    <t>11.366392071369445, 106.59737560907993</t>
  </si>
  <si>
    <t>TVT124</t>
  </si>
  <si>
    <t>Góc ngã ba TVT123 -124</t>
  </si>
  <si>
    <t>Số trụ 77B - TT &lt;-&gt; đường HCM</t>
  </si>
  <si>
    <t>ĐH đoạn từ QL13 đến ĐT750</t>
  </si>
  <si>
    <t>TVT131-T1</t>
  </si>
  <si>
    <t>No.21200356278</t>
  </si>
  <si>
    <t>11.364449523399923, 106.59888946461174</t>
  </si>
  <si>
    <t>TVT131</t>
  </si>
  <si>
    <t>Số trụ 58</t>
  </si>
  <si>
    <t>Đường HCM &lt;-&gt; số trụ 52B</t>
  </si>
  <si>
    <t>TVT131-T2</t>
  </si>
  <si>
    <t>No.22602454</t>
  </si>
  <si>
    <t>11.362087209719352, 106.60582247200105</t>
  </si>
  <si>
    <t>TBA 44 Tân Trường</t>
  </si>
  <si>
    <t>Số trụ 52B &lt;-&gt; 40</t>
  </si>
  <si>
    <t>TVT131-T3</t>
  </si>
  <si>
    <t>No.221100238734</t>
  </si>
  <si>
    <t>11.361868365416216, 106.61366714491287</t>
  </si>
  <si>
    <t>Số trụ 33 - TVT 131</t>
  </si>
  <si>
    <t>Số trụ 40 &lt;-&gt; Hội trường văn hoá ấp 4</t>
  </si>
  <si>
    <t>TVT01-T1</t>
  </si>
  <si>
    <t>No.241200228546</t>
  </si>
  <si>
    <t>11.35700403828764, 106.62630668645754</t>
  </si>
  <si>
    <t>TVT01</t>
  </si>
  <si>
    <t>Số trụ 10 góc ngã ba TVT01</t>
  </si>
  <si>
    <t>Hội trường văn hoá ấp 4 &lt;-&gt; QL13</t>
  </si>
  <si>
    <t>TVT 04-T1</t>
  </si>
  <si>
    <t>No.1511221720</t>
  </si>
  <si>
    <t>11.347974431711572, 106.58574722717198</t>
  </si>
  <si>
    <t>Gần trạm TBA 11 Trừ Văn Thố 88</t>
  </si>
  <si>
    <t>ĐT750 &lt;-&gt; TBA 1x75kVA</t>
  </si>
  <si>
    <t>Lai Uyên 9 -T1</t>
  </si>
  <si>
    <t>No.1511288573</t>
  </si>
  <si>
    <t>11.343108192096784, 106.64253093312182</t>
  </si>
  <si>
    <t>Lai Uyên 9</t>
  </si>
  <si>
    <t>Số trụ 1/4/6 Lai Uyên 9</t>
  </si>
  <si>
    <t>Lai Uyên 10 -T1</t>
  </si>
  <si>
    <t>11.342261368419361, 106.64042062136032</t>
  </si>
  <si>
    <t>Lai Uyên 10</t>
  </si>
  <si>
    <t>Gần ngã tư Lai Uyên 10-08</t>
  </si>
  <si>
    <t>QL13 &lt;-&gt; cuối tuyến
ngã tư Lai Uyên 8-10 &lt;-&gt; cuối tuyến</t>
  </si>
  <si>
    <t>Lai Uyên 2 -T1</t>
  </si>
  <si>
    <t>No.21034474</t>
  </si>
  <si>
    <t>11.342070009569955, 106.63767454224325</t>
  </si>
  <si>
    <t>Lai Uyên 2,1</t>
  </si>
  <si>
    <t>Đối diện nhà nghĩ Gia Thành - Lai Uyên</t>
  </si>
  <si>
    <t>QL13 &lt;-&gt; cuối tuyến</t>
  </si>
  <si>
    <t>Lai Uyên 3-T1</t>
  </si>
  <si>
    <t>No.21095491</t>
  </si>
  <si>
    <t>11.34018932004562, 106.63610687489309</t>
  </si>
  <si>
    <t>Lai Uyên 3</t>
  </si>
  <si>
    <t>Số trụ 332 - QL13</t>
  </si>
  <si>
    <t>QL13 &lt;-&gt; Lai Uyên 04</t>
  </si>
  <si>
    <t>Lai Uyên 11-T1</t>
  </si>
  <si>
    <t>No.21087439</t>
  </si>
  <si>
    <t>11.338464492010981, 106.64089512089886</t>
  </si>
  <si>
    <t>Lai Uyên 11, 08</t>
  </si>
  <si>
    <t>Số trụ 2/1 Lai Uyên 11</t>
  </si>
  <si>
    <t>QL13 &lt;-&gt; cuối tuyến
QL13 &lt;-&gt; Lai Uyên 10</t>
  </si>
  <si>
    <t>Lai Uyên 12-T1</t>
  </si>
  <si>
    <t>No.21914642</t>
  </si>
  <si>
    <t>11.338246772076102, 106.63792499351001</t>
  </si>
  <si>
    <t>Lai Uyên 12</t>
  </si>
  <si>
    <t>Góc ngã ba QL13 - Lai Uyên 12</t>
  </si>
  <si>
    <t>QL13 &lt;-&gt;cuối tuyến</t>
  </si>
  <si>
    <t>Lai Uyên 4-T1</t>
  </si>
  <si>
    <t>No.25092202</t>
  </si>
  <si>
    <t>11.336543275985248, 106.63463853309548</t>
  </si>
  <si>
    <t>Lai Uyên 4</t>
  </si>
  <si>
    <t>Góc ngã ba Lai Uyên 04-05</t>
  </si>
  <si>
    <t>QL13 &lt;-&gt; cuối tuyến Lai Uyên 4
Lai Uyên 4 &lt;-&gt; QL13</t>
  </si>
  <si>
    <t>Lai Uyên 15-T1</t>
  </si>
  <si>
    <t>No.1611166950</t>
  </si>
  <si>
    <t>11.332758176150824, 106.63832807923353</t>
  </si>
  <si>
    <t>Lai Uyên 15</t>
  </si>
  <si>
    <t>Góc ngã ba Lai Uyên 15</t>
  </si>
  <si>
    <t>Ngã ba Lai Uyên 16-15 &lt;-&gt; Lai Uyên 13 &lt;-&gt; QL13</t>
  </si>
  <si>
    <t>Lai Uyên 6-T1</t>
  </si>
  <si>
    <t>No.221100359568</t>
  </si>
  <si>
    <t>11.332102250318139, 106.63582365038492</t>
  </si>
  <si>
    <t>Lai Uyên 6</t>
  </si>
  <si>
    <t>Góc ngã ba Lai Uyên 06-QL13</t>
  </si>
  <si>
    <t>Lai Uyên 4 &lt;-&gt; QL13</t>
  </si>
  <si>
    <t>Lai Uyên 7-T1</t>
  </si>
  <si>
    <t>No.1611028147</t>
  </si>
  <si>
    <t>11.332096005800489, 106.63254984664417</t>
  </si>
  <si>
    <t>Lai Uyên 7</t>
  </si>
  <si>
    <t>Số trụ 1/4 Lai Uyên 7</t>
  </si>
  <si>
    <t>Lai Uyên 6 &lt;-&gt;QL13</t>
  </si>
  <si>
    <t>Lai Uyên 16-T1</t>
  </si>
  <si>
    <t>No.221100359577</t>
  </si>
  <si>
    <t>11.330027076691508, 106.6385159050943</t>
  </si>
  <si>
    <t>Lai Uyên 16</t>
  </si>
  <si>
    <t>Góc ngã ba Lai Uyên 16</t>
  </si>
  <si>
    <t>Lai Uyên 18 &lt;-&gt; cuối tuyến</t>
  </si>
  <si>
    <t>Lai Uyên 17-T1</t>
  </si>
  <si>
    <t>No.231100090748</t>
  </si>
  <si>
    <t>11.329713743190371, 106.64158863956727</t>
  </si>
  <si>
    <t>Lai Uyên 17</t>
  </si>
  <si>
    <t>Gần góc ngã ba Lai Uyên 16-17</t>
  </si>
  <si>
    <t>Lai Uyên 18-16 &lt;-&gt; cuối tuyến</t>
  </si>
  <si>
    <t>ĐT750 - T5</t>
  </si>
  <si>
    <t>PB.04090007061</t>
  </si>
  <si>
    <t>11.3442438, 106.6453377</t>
  </si>
  <si>
    <t>ĐT750</t>
  </si>
  <si>
    <t>Trụ 09 - ĐT750</t>
  </si>
  <si>
    <t>QL13 &lt;-&gt; trụ 12</t>
  </si>
  <si>
    <t>ĐT750 - T4</t>
  </si>
  <si>
    <t>PB.04090010503</t>
  </si>
  <si>
    <t>11.3447745, 106.622477</t>
  </si>
  <si>
    <t>Trụ 01 cây xăng 215</t>
  </si>
  <si>
    <t>TVT 38 &lt;-&gt; trụ 6B
Đ750 &lt;-&gt; Cty Ngọc Nam</t>
  </si>
  <si>
    <t>13 đèn compact</t>
  </si>
  <si>
    <t>ĐT750 - T2</t>
  </si>
  <si>
    <t>PB.04090007938</t>
  </si>
  <si>
    <t>11.3443087, 106.5782337</t>
  </si>
  <si>
    <t>Ngã ba ĐT750 - Cây trường 12</t>
  </si>
  <si>
    <t>Số nhà 220 &lt;-&gt; trụ 07</t>
  </si>
  <si>
    <t>ĐT750 - T3</t>
  </si>
  <si>
    <t>PB.04090010502</t>
  </si>
  <si>
    <t>11.3422511, 106.5983901</t>
  </si>
  <si>
    <t>Ngã ba ĐT750 - đường  55 TVT</t>
  </si>
  <si>
    <t>Trụ 81 &lt;-&gt; TVT 38
ĐT750 &lt;-&gt; Cuối đường</t>
  </si>
  <si>
    <t>8 đèn compact</t>
  </si>
  <si>
    <t>ĐT750 - T1</t>
  </si>
  <si>
    <t>No.239101593</t>
  </si>
  <si>
    <t>11.3385983, 106.55787</t>
  </si>
  <si>
    <t xml:space="preserve">Ngã ba ĐT750 - Cây trường 36 </t>
  </si>
  <si>
    <t>Cổng chào &lt;-&gt; trụ 112B</t>
  </si>
  <si>
    <t>Trụ 119 - ngã 3 QL13 - đường 18 TVT</t>
  </si>
  <si>
    <t>Trụ 06B &lt;-&gt; QL13</t>
  </si>
  <si>
    <t>1 vị trí 2 đèn</t>
  </si>
  <si>
    <r>
      <t xml:space="preserve">BIỄU MẪU KIỂM TRA HỆ THỐNG CHIẾU SÁNG TRÊN ĐỊA BÀN XÃ </t>
    </r>
    <r>
      <rPr>
        <b/>
        <sz val="36"/>
        <rFont val="Times New Roman"/>
        <family val="1"/>
      </rPr>
      <t>BÀU BÀNG</t>
    </r>
  </si>
  <si>
    <t>MÃ PE 
(Nếu có)</t>
  </si>
  <si>
    <t>Đánh giá</t>
  </si>
  <si>
    <t>Trang trí</t>
  </si>
  <si>
    <t>Lai Uyên 19</t>
  </si>
  <si>
    <t xml:space="preserve"> No.210045824</t>
  </si>
  <si>
    <t>Bàu Bàng</t>
  </si>
  <si>
    <t>1-31</t>
  </si>
  <si>
    <t>CSKV BẮC</t>
  </si>
  <si>
    <t>Lai Uyên 20-2</t>
  </si>
  <si>
    <t xml:space="preserve"> No.21004186</t>
  </si>
  <si>
    <t>Lai Uyên 20</t>
  </si>
  <si>
    <t>46 TỔ 1 Ấp Bàu Bàng</t>
  </si>
  <si>
    <t>1-21</t>
  </si>
  <si>
    <t>Lai Uyên 20-1</t>
  </si>
  <si>
    <t>gần 115 Lai Uyên 20</t>
  </si>
  <si>
    <t>1-22</t>
  </si>
  <si>
    <t>Lai Uyên 22</t>
  </si>
  <si>
    <t xml:space="preserve"> No.21080276</t>
  </si>
  <si>
    <t>Lai Uyên - 23</t>
  </si>
  <si>
    <t>1-11</t>
  </si>
  <si>
    <t>Lai Uyên - 24</t>
  </si>
  <si>
    <t>1-10</t>
  </si>
  <si>
    <t>Lai Uyên 25</t>
  </si>
  <si>
    <t xml:space="preserve"> No.21072679</t>
  </si>
  <si>
    <t>đối diện trạm y tế</t>
  </si>
  <si>
    <t>Lai Uyên - 26</t>
  </si>
  <si>
    <t>1-6</t>
  </si>
  <si>
    <t>Lai Uyên 27</t>
  </si>
  <si>
    <t xml:space="preserve"> No.21034660</t>
  </si>
  <si>
    <t>ngã 3 QL13-Lai Uyên 27</t>
  </si>
  <si>
    <t>Lai Uyên 28</t>
  </si>
  <si>
    <t xml:space="preserve"> No.21072767</t>
  </si>
  <si>
    <t>Nhà thuốc tây chín Minh Hòa</t>
  </si>
  <si>
    <t>1-12</t>
  </si>
  <si>
    <t>Lai Uyên 29</t>
  </si>
  <si>
    <t xml:space="preserve"> No.25092038</t>
  </si>
  <si>
    <t>1-8</t>
  </si>
  <si>
    <t>Lai Uyên 30</t>
  </si>
  <si>
    <t>1-9</t>
  </si>
  <si>
    <t>Lai Uyên 31</t>
  </si>
  <si>
    <t xml:space="preserve"> No.1611496202</t>
  </si>
  <si>
    <t>ĐL2/1</t>
  </si>
  <si>
    <t>Lai Uyên 33</t>
  </si>
  <si>
    <t xml:space="preserve"> No.21048552</t>
  </si>
  <si>
    <t>Lai Uyên 32</t>
  </si>
  <si>
    <t>1-34</t>
  </si>
  <si>
    <t>1-3</t>
  </si>
  <si>
    <t>Lai Uyên 33-2</t>
  </si>
  <si>
    <t xml:space="preserve"> No.1611166860</t>
  </si>
  <si>
    <t>Lai Uyên 34</t>
  </si>
  <si>
    <t>ĐL02</t>
  </si>
  <si>
    <t>1-32</t>
  </si>
  <si>
    <t>Lai Uyên 36</t>
  </si>
  <si>
    <t xml:space="preserve"> No.211100282890</t>
  </si>
  <si>
    <t>1-19</t>
  </si>
  <si>
    <t>Lai Uyên 37</t>
  </si>
  <si>
    <t xml:space="preserve"> No.221100335949</t>
  </si>
  <si>
    <t>ĐL3/3</t>
  </si>
  <si>
    <t>1-20</t>
  </si>
  <si>
    <t>Lai Uyên 39</t>
  </si>
  <si>
    <t>159 Ấp Xà Mách</t>
  </si>
  <si>
    <t>Lai Uyên 40</t>
  </si>
  <si>
    <t>1-13</t>
  </si>
  <si>
    <t>Lai Uyên 41</t>
  </si>
  <si>
    <t xml:space="preserve"> No.25088053</t>
  </si>
  <si>
    <t>Ngã 3 ĐH618-Lai uyên 41</t>
  </si>
  <si>
    <t>1-7</t>
  </si>
  <si>
    <t>Lai Uyên 44</t>
  </si>
  <si>
    <t xml:space="preserve"> No.221100308855</t>
  </si>
  <si>
    <t>Lai Uyên 45-1</t>
  </si>
  <si>
    <t xml:space="preserve"> No.221100333016</t>
  </si>
  <si>
    <t>Lai Uyên 45</t>
  </si>
  <si>
    <t>1-55</t>
  </si>
  <si>
    <t>Lai Uyên 45-2</t>
  </si>
  <si>
    <t>1-25</t>
  </si>
  <si>
    <t>Lai Uyên 46</t>
  </si>
  <si>
    <t>Lai Uyên 47</t>
  </si>
  <si>
    <t>Lai Uyên 51</t>
  </si>
  <si>
    <t>Lai Uyên 52-1</t>
  </si>
  <si>
    <t xml:space="preserve"> No.21007399</t>
  </si>
  <si>
    <t>Lai Uyên 52</t>
  </si>
  <si>
    <t>1-14</t>
  </si>
  <si>
    <t>Lai Uyên 52-2</t>
  </si>
  <si>
    <t xml:space="preserve"> No.21031972</t>
  </si>
  <si>
    <t>1-17</t>
  </si>
  <si>
    <t>Lai Uyên 52-3</t>
  </si>
  <si>
    <t xml:space="preserve"> No.22425293</t>
  </si>
  <si>
    <t>Lai Uyên 53</t>
  </si>
  <si>
    <t xml:space="preserve"> No.17115871</t>
  </si>
  <si>
    <t>Lai Uyên 54</t>
  </si>
  <si>
    <t>Lai Uyên 55-1</t>
  </si>
  <si>
    <t xml:space="preserve"> No.89552</t>
  </si>
  <si>
    <t>Lai Uyên 55</t>
  </si>
  <si>
    <t>Lai Uyên 55-2</t>
  </si>
  <si>
    <t xml:space="preserve"> No.25288</t>
  </si>
  <si>
    <t>Lai Uyên 56</t>
  </si>
  <si>
    <t xml:space="preserve"> No.1611082599</t>
  </si>
  <si>
    <t>Lai Uyên 58</t>
  </si>
  <si>
    <t xml:space="preserve"> No.1611164938</t>
  </si>
  <si>
    <t>Lai Uyên 59</t>
  </si>
  <si>
    <t xml:space="preserve"> No.1611082543</t>
  </si>
  <si>
    <t>Lai Uyên 60</t>
  </si>
  <si>
    <t xml:space="preserve"> No.221100332355</t>
  </si>
  <si>
    <t>Lai Uyên 61-1</t>
  </si>
  <si>
    <t xml:space="preserve"> No.1611266216</t>
  </si>
  <si>
    <t>Lai Uyên 61</t>
  </si>
  <si>
    <t>Lai Uyên 61-2</t>
  </si>
  <si>
    <t xml:space="preserve"> No.22408358</t>
  </si>
  <si>
    <t>Lai Uyên 63</t>
  </si>
  <si>
    <t xml:space="preserve"> No.22434768</t>
  </si>
  <si>
    <t>1-24</t>
  </si>
  <si>
    <t>Lai Uyên 64</t>
  </si>
  <si>
    <t xml:space="preserve"> No.21110252</t>
  </si>
  <si>
    <t>1-30</t>
  </si>
  <si>
    <t>Lai Uyên 65</t>
  </si>
  <si>
    <t xml:space="preserve"> No.21007402</t>
  </si>
  <si>
    <t>1-27</t>
  </si>
  <si>
    <t>Lai Uyên 66</t>
  </si>
  <si>
    <t xml:space="preserve"> No.21039943</t>
  </si>
  <si>
    <t>Lai Uyên 67</t>
  </si>
  <si>
    <t xml:space="preserve"> No.1511286339</t>
  </si>
  <si>
    <t>Lai Uyên 68</t>
  </si>
  <si>
    <t>1-15</t>
  </si>
  <si>
    <t>Lai Uyên 69</t>
  </si>
  <si>
    <t>PB.27244</t>
  </si>
  <si>
    <t>1-36</t>
  </si>
  <si>
    <t>Lai Uyên 70</t>
  </si>
  <si>
    <t xml:space="preserve"> No.21039867</t>
  </si>
  <si>
    <t>Lai Uyên 71-1</t>
  </si>
  <si>
    <t xml:space="preserve"> No.1511230144</t>
  </si>
  <si>
    <t>Lai Uyên 71</t>
  </si>
  <si>
    <t>Lai Uyên 71-2</t>
  </si>
  <si>
    <t xml:space="preserve"> No.151288713</t>
  </si>
  <si>
    <t>ĐL3/1</t>
  </si>
  <si>
    <t>Lai Uyên 71-3</t>
  </si>
  <si>
    <t xml:space="preserve"> No.22425285</t>
  </si>
  <si>
    <t>Lai Uyên - 73</t>
  </si>
  <si>
    <t xml:space="preserve"> No.22416312</t>
  </si>
  <si>
    <t>Lai Uyên - 73-1</t>
  </si>
  <si>
    <t xml:space="preserve"> No.2211003599</t>
  </si>
  <si>
    <t>Lai Uyên - 73-2</t>
  </si>
  <si>
    <t xml:space="preserve"> No.221100359981</t>
  </si>
  <si>
    <t>Lai Uyên - 73-3</t>
  </si>
  <si>
    <t xml:space="preserve"> No.2020171391</t>
  </si>
  <si>
    <t>Lai Uyên - 73-4</t>
  </si>
  <si>
    <t xml:space="preserve"> No.2020076873</t>
  </si>
  <si>
    <t>Lai Uyên 76-1</t>
  </si>
  <si>
    <t xml:space="preserve"> No.221100065999</t>
  </si>
  <si>
    <t>Lai Uyên 76</t>
  </si>
  <si>
    <t>Lai Uyên 76-2</t>
  </si>
  <si>
    <t xml:space="preserve"> No.1611267963</t>
  </si>
  <si>
    <t>Lai Uyên 76-3</t>
  </si>
  <si>
    <t xml:space="preserve"> No.211100047241</t>
  </si>
  <si>
    <t xml:space="preserve"> No.211100047088</t>
  </si>
  <si>
    <t>Lai Uyên - 78</t>
  </si>
  <si>
    <t>Lai Uyên 80-1</t>
  </si>
  <si>
    <t xml:space="preserve"> No.1611391018</t>
  </si>
  <si>
    <t>Lai Uyên 80</t>
  </si>
  <si>
    <t>1-28</t>
  </si>
  <si>
    <t>Lai Uyên 80-2</t>
  </si>
  <si>
    <t xml:space="preserve"> No.22104884</t>
  </si>
  <si>
    <t>Lai Uyên 81</t>
  </si>
  <si>
    <t>1-48</t>
  </si>
  <si>
    <t>mất 3 đèn, không có tủ điều khiển</t>
  </si>
  <si>
    <t>Lai Uyên 82</t>
  </si>
  <si>
    <t>không có điện kế đấu nguồn dưới CB điện lực</t>
  </si>
  <si>
    <t>Đường 747+Lai Uyên 82</t>
  </si>
  <si>
    <t>Lai Uyên 83</t>
  </si>
  <si>
    <t>điện kế mờ kính không xem được số N0</t>
  </si>
  <si>
    <t>Ngã 4 Đường 747+Lai Uyên 82</t>
  </si>
  <si>
    <t>Lai Uyên 84</t>
  </si>
  <si>
    <t>Trạm BA Nhật Đại 07</t>
  </si>
  <si>
    <t>Hệ thống ngầm</t>
  </si>
  <si>
    <t>Lai Uyên 85</t>
  </si>
  <si>
    <t xml:space="preserve"> No.1611596535</t>
  </si>
  <si>
    <t>QL13 + Lai Uyên 85</t>
  </si>
  <si>
    <t>Lai Uyên 86</t>
  </si>
  <si>
    <t>QL13 + Lai Uyên 86</t>
  </si>
  <si>
    <t>Lai Uyên 87</t>
  </si>
  <si>
    <t xml:space="preserve"> No.221100332271</t>
  </si>
  <si>
    <t>Lai Uyên 89</t>
  </si>
  <si>
    <t xml:space="preserve"> No.1511415047</t>
  </si>
  <si>
    <t>Lai Uyên 90</t>
  </si>
  <si>
    <t xml:space="preserve"> No.21032347</t>
  </si>
  <si>
    <t>Lai Uyên 91</t>
  </si>
  <si>
    <t xml:space="preserve"> No.22425324</t>
  </si>
  <si>
    <t>Lai Uyên 91-1</t>
  </si>
  <si>
    <t xml:space="preserve"> No.1611082587</t>
  </si>
  <si>
    <t>Lai Uyên 92</t>
  </si>
  <si>
    <t xml:space="preserve"> No.1511290711</t>
  </si>
  <si>
    <t>Lai Uyên 93</t>
  </si>
  <si>
    <t>Lai Uyên 94</t>
  </si>
  <si>
    <t xml:space="preserve"> No.221100363381</t>
  </si>
  <si>
    <t>Lai Uyên 97</t>
  </si>
  <si>
    <t xml:space="preserve"> No.21039944</t>
  </si>
  <si>
    <t>Lai Uyên 98</t>
  </si>
  <si>
    <t xml:space="preserve"> No.21081929</t>
  </si>
  <si>
    <t>1-16</t>
  </si>
  <si>
    <t>Lai Uyên 100-1</t>
  </si>
  <si>
    <t xml:space="preserve"> No.2020117931</t>
  </si>
  <si>
    <t>Lai Uyên 100</t>
  </si>
  <si>
    <t>Lai Uyên 100-2</t>
  </si>
  <si>
    <t xml:space="preserve"> No.1511024323</t>
  </si>
  <si>
    <t>Lai Uyên 100-3</t>
  </si>
  <si>
    <t xml:space="preserve"> No.221100065778</t>
  </si>
  <si>
    <t>1-29</t>
  </si>
  <si>
    <t>ĐH 618-1</t>
  </si>
  <si>
    <t>ĐH 618</t>
  </si>
  <si>
    <t>ĐL 42</t>
  </si>
  <si>
    <t>ĐH 618-2</t>
  </si>
  <si>
    <t xml:space="preserve"> No.221100046703</t>
  </si>
  <si>
    <t>ĐL1/1</t>
  </si>
  <si>
    <t xml:space="preserve"> No.1511221617</t>
  </si>
  <si>
    <t>ĐH.610</t>
  </si>
  <si>
    <t xml:space="preserve"> No.241200228607</t>
  </si>
  <si>
    <t>ĐT 741B</t>
  </si>
  <si>
    <t xml:space="preserve"> No.21001204</t>
  </si>
  <si>
    <t>1-37</t>
  </si>
  <si>
    <t>ĐT 741B-2</t>
  </si>
  <si>
    <t xml:space="preserve"> No.2321001413</t>
  </si>
  <si>
    <t>ĐL 118</t>
  </si>
  <si>
    <t>ĐT 741B-1</t>
  </si>
  <si>
    <t xml:space="preserve"> No.2321001435</t>
  </si>
  <si>
    <t>ĐT 741B-3</t>
  </si>
  <si>
    <t xml:space="preserve"> No.2321001424</t>
  </si>
  <si>
    <t>Tạp hóa Nhật Vy</t>
  </si>
  <si>
    <t>ĐT 741B-4</t>
  </si>
  <si>
    <t xml:space="preserve"> No.2321001464</t>
  </si>
  <si>
    <t>1-18</t>
  </si>
  <si>
    <t>ĐT.741C</t>
  </si>
  <si>
    <t xml:space="preserve"> No.211106223</t>
  </si>
  <si>
    <t xml:space="preserve"> No.21088404</t>
  </si>
  <si>
    <t xml:space="preserve"> No.23901597</t>
  </si>
  <si>
    <t>DT749C</t>
  </si>
  <si>
    <t xml:space="preserve"> No.1511290481</t>
  </si>
  <si>
    <t>Tạo Lực Bắc Tân Uyên -Phú Giáp- Bàu Bàng</t>
  </si>
  <si>
    <t xml:space="preserve"> No.2321001622</t>
  </si>
  <si>
    <t>TBA 05</t>
  </si>
  <si>
    <t>hệ thống ngầm</t>
  </si>
  <si>
    <t>Tạo Lực Bắc Tân Uyên -Phú Giáp- Bàu Bàng -1</t>
  </si>
  <si>
    <t xml:space="preserve"> No.2321001628</t>
  </si>
  <si>
    <t>TBA 29</t>
  </si>
  <si>
    <t>Tạo Lực Bắc Tân Uyên -Phú Giáp- Bàu Bàng -2</t>
  </si>
  <si>
    <t xml:space="preserve"> No.2321001763</t>
  </si>
  <si>
    <t>TBA 54</t>
  </si>
  <si>
    <t>Tạo Lực Bắc Tân Uyên -Phú Giáp- Bàu Bàng -3</t>
  </si>
  <si>
    <t xml:space="preserve"> No.2321001762</t>
  </si>
  <si>
    <t>TBA 04</t>
  </si>
  <si>
    <t>Tạo Lực Bắc Tân Uyên -Phú Giáp- Bàu Bàng -4</t>
  </si>
  <si>
    <t xml:space="preserve"> No.2321001765</t>
  </si>
  <si>
    <t>TBA 27</t>
  </si>
  <si>
    <t>Tạo Lực Bắc Tân Uyên -Phú Giáp- Bàu Bàng -5</t>
  </si>
  <si>
    <t xml:space="preserve"> No.2321001741</t>
  </si>
  <si>
    <t>TBA 77</t>
  </si>
  <si>
    <t>Tạo Lực Bắc Tân Uyên -Phú Giáp- Bàu Bàng -6</t>
  </si>
  <si>
    <t xml:space="preserve"> No.2321001674</t>
  </si>
  <si>
    <t>TBA 78</t>
  </si>
  <si>
    <t>ĐT.750</t>
  </si>
  <si>
    <t xml:space="preserve"> No.2321001432</t>
  </si>
  <si>
    <t>09DT750</t>
  </si>
  <si>
    <t>Cầu Đồng Chèo</t>
  </si>
  <si>
    <t>Cầu Đồng Chèo không có tủ, không đèn. Nằm trên đường Lai Uyên 100</t>
  </si>
  <si>
    <t>ĐT.741C-3</t>
  </si>
  <si>
    <t xml:space="preserve"> No.23901601</t>
  </si>
  <si>
    <t>11.328234, 106.634969</t>
  </si>
  <si>
    <t>11.3297471, 106.6333761</t>
  </si>
  <si>
    <t>11.3173873, 106.6321377</t>
  </si>
  <si>
    <t>11.3242289, 106.6305235</t>
  </si>
  <si>
    <t>11.3242245, 106.6320117</t>
  </si>
  <si>
    <t>11.3198451, 106.6325911</t>
  </si>
  <si>
    <t>11.327118, 106.6347711</t>
  </si>
  <si>
    <t>11.3252714, 106.6361642</t>
  </si>
  <si>
    <t>11.3163822, 106.6364142</t>
  </si>
  <si>
    <t>11.3188514, 106.6378344</t>
  </si>
  <si>
    <t>11.3223577, 106.6404766</t>
  </si>
  <si>
    <t>11.3212317, 106.6431971</t>
  </si>
  <si>
    <t>11.3177627, 106.6378529</t>
  </si>
  <si>
    <t>11.3175158, 106.6402463</t>
  </si>
  <si>
    <t>11.3111464, 106.6269912</t>
  </si>
  <si>
    <t>11.3034667, 106.6233392</t>
  </si>
  <si>
    <t>11.3034061, 106.606986</t>
  </si>
  <si>
    <t>11.2917846, 106.6313945</t>
  </si>
  <si>
    <t>11.3106883, 106.6345621</t>
  </si>
  <si>
    <t>11.3126062, 106.6391656</t>
  </si>
  <si>
    <t>11.3059021, 106.6480739</t>
  </si>
  <si>
    <t>11.3074862, 106.6501311</t>
  </si>
  <si>
    <t>11.307716, 106.6321799</t>
  </si>
  <si>
    <t>11.3044544, 106.6463031</t>
  </si>
  <si>
    <t>11.305245, 106.631545</t>
  </si>
  <si>
    <t>11.30323, 106.6323428</t>
  </si>
  <si>
    <t>11.3024229, 106.6316658</t>
  </si>
  <si>
    <t>11.2902517, 106.6330117</t>
  </si>
  <si>
    <t>11.2940354, 106.632552</t>
  </si>
  <si>
    <t>11.2938119, 106.6364604</t>
  </si>
  <si>
    <t>11.3156868, 106.6638202</t>
  </si>
  <si>
    <t>11.3178533, 106.6571517</t>
  </si>
  <si>
    <t>11.3140873, 106.6577616</t>
  </si>
  <si>
    <t>11.313755, 106.6500967</t>
  </si>
  <si>
    <t>11.3153397, 106.6480005</t>
  </si>
  <si>
    <t>11.311736, 106.646295</t>
  </si>
  <si>
    <t>11.3061967, 106.65153</t>
  </si>
  <si>
    <t>11.2972979, 106.6645019</t>
  </si>
  <si>
    <t>11.2978701, 106.655357</t>
  </si>
  <si>
    <t>11.3056872, 106.6485679</t>
  </si>
  <si>
    <t>11.2958783, 106.6429765</t>
  </si>
  <si>
    <t>11.2900422, 106.6402282</t>
  </si>
  <si>
    <t>11.2908098, 106.6463534</t>
  </si>
  <si>
    <t>11.2915626, 106.649988</t>
  </si>
  <si>
    <t>11.2948338, 106.6542037</t>
  </si>
  <si>
    <t>11.3053776, 106.6724803</t>
  </si>
  <si>
    <t>11.3082775, 106.6727624</t>
  </si>
  <si>
    <t>11.313764, 106.675229</t>
  </si>
  <si>
    <t>11.3129765, 106.6744899</t>
  </si>
  <si>
    <t>11.2841356, 106.6578117</t>
  </si>
  <si>
    <t>11.2867935, 106.6376391</t>
  </si>
  <si>
    <t>11.2650611, 106.6217539</t>
  </si>
  <si>
    <t>11.2646568, 106.6198587</t>
  </si>
  <si>
    <t>11.2505696, 106.5955654</t>
  </si>
  <si>
    <t>11.2632824, 106.6365093</t>
  </si>
  <si>
    <t>11.2544772, 106.6384933</t>
  </si>
  <si>
    <t>11.2505478, 106.6417912</t>
  </si>
  <si>
    <t>11.2482954, 106.6401503</t>
  </si>
  <si>
    <t>11.2415177, 106.6402959</t>
  </si>
  <si>
    <t>11.2416645, 106.6392763</t>
  </si>
  <si>
    <t>11.2355598, 106.6399919</t>
  </si>
  <si>
    <t>11.2369921, 106.6399388</t>
  </si>
  <si>
    <t>11.2330397, 106.6360942</t>
  </si>
  <si>
    <t>11.2945498, 106.6311</t>
  </si>
  <si>
    <t>11.3142843, 106.6579435</t>
  </si>
  <si>
    <t>11.305212, 106.6647185</t>
  </si>
  <si>
    <t>11.3045578, 106.6688608</t>
  </si>
  <si>
    <t>11.2938273, 106.6645566</t>
  </si>
  <si>
    <t>11.3036932, 106.6635809</t>
  </si>
  <si>
    <t>11.2907664, 106.6647388</t>
  </si>
  <si>
    <t>11.2636789, 106.6149817</t>
  </si>
  <si>
    <t>11.2654794, 106.644207</t>
  </si>
  <si>
    <t>11.2772917, 106.6371591</t>
  </si>
  <si>
    <t>11.2879154, 106.6378478</t>
  </si>
  <si>
    <t>11.2667862, 106.6325397</t>
  </si>
  <si>
    <t>11.2900415, 106.6310198</t>
  </si>
  <si>
    <t>11.2883748, 106.6202853</t>
  </si>
  <si>
    <t>11.2867438, 106.609498</t>
  </si>
  <si>
    <t>11.2900463, 106.6402573</t>
  </si>
  <si>
    <t>11.2893575, 106.6595068</t>
  </si>
  <si>
    <t>11.2231117, 106.6971128</t>
  </si>
  <si>
    <t>11.2155403, 106.7059777</t>
  </si>
  <si>
    <t>11.2326125, 106.6848594</t>
  </si>
  <si>
    <t>11.2401682, 106.6753898</t>
  </si>
  <si>
    <t>11.3703328, 106.6893015</t>
  </si>
  <si>
    <t>11.2893896, 106.6501554</t>
  </si>
  <si>
    <r>
      <t xml:space="preserve">BIỄU MẪU KIỂM TRA HỆ THỐNG CHIẾU SÁNG TRÊN ĐỊA BÀN PHƯỜNG </t>
    </r>
    <r>
      <rPr>
        <b/>
        <sz val="36"/>
        <rFont val="Times New Roman"/>
        <family val="1"/>
      </rPr>
      <t>BẾN CÁT</t>
    </r>
  </si>
  <si>
    <t>Tên tủ điều khiển MỚI</t>
  </si>
  <si>
    <t xml:space="preserve"> dùng PLC</t>
  </si>
  <si>
    <t>Trạm CS Lai Hưng 141</t>
  </si>
  <si>
    <t>Lai Hưng 141</t>
  </si>
  <si>
    <t xml:space="preserve"> No.1611598810</t>
  </si>
  <si>
    <t>Bến Cát</t>
  </si>
  <si>
    <t>ngay đầu đường Liên Hưng 141</t>
  </si>
  <si>
    <t>01 - 02</t>
  </si>
  <si>
    <t>Thép</t>
  </si>
  <si>
    <t>Không</t>
  </si>
  <si>
    <t>Nhôm</t>
  </si>
  <si>
    <t>XN TCME</t>
  </si>
  <si>
    <t>Tạm chấp nhận</t>
  </si>
  <si>
    <t>Trạm CS ĐH 604 đường 2/9 Trạm 2</t>
  </si>
  <si>
    <t>đường 2/9 ĐH 604-1</t>
  </si>
  <si>
    <t xml:space="preserve"> No.25901727</t>
  </si>
  <si>
    <t>đường 2/9 ĐH 604</t>
  </si>
  <si>
    <t>trụ HT 01 lộ 7B</t>
  </si>
  <si>
    <t>01 - 03</t>
  </si>
  <si>
    <t>Đạt</t>
  </si>
  <si>
    <t>Trạm CS Lai Hưng 134</t>
  </si>
  <si>
    <t>ĐH 601</t>
  </si>
  <si>
    <t xml:space="preserve"> No.21001201</t>
  </si>
  <si>
    <t>TT 01 ông Khương</t>
  </si>
  <si>
    <t>Có</t>
  </si>
  <si>
    <t>Trạm CS đường 2/9 - KDC Hưng Phước (cotec)</t>
  </si>
  <si>
    <t>Giáp đường 2/9 - KDC Hưng Phước</t>
  </si>
  <si>
    <t xml:space="preserve"> No.241200030669</t>
  </si>
  <si>
    <t>đối diện SN 222/45/2</t>
  </si>
  <si>
    <t>Trạm CS Lai Hưng 131</t>
  </si>
  <si>
    <t>Lai Hưng 131</t>
  </si>
  <si>
    <t xml:space="preserve"> No.251200039414</t>
  </si>
  <si>
    <t>HT-giao giữa đường Lai Hưng 99 và Lai Hưng 131</t>
  </si>
  <si>
    <t>1727 (1728)</t>
  </si>
  <si>
    <t xml:space="preserve">Trạm CS MP 119 đường 2/9 </t>
  </si>
  <si>
    <t>Mỹ Phước 119</t>
  </si>
  <si>
    <t>PB.86060</t>
  </si>
  <si>
    <t>trụ HT 1-5 CS08</t>
  </si>
  <si>
    <t>01 - 04</t>
  </si>
  <si>
    <t>Trạm CS giáp đường 2/9 - nhà ông 4 Lướt (MP105)</t>
  </si>
  <si>
    <t>Mỹ Phước 105</t>
  </si>
  <si>
    <t xml:space="preserve"> No.211100268563</t>
  </si>
  <si>
    <t>SN 113</t>
  </si>
  <si>
    <t>Trạm CS Lai Hưng 93 Trạm 1</t>
  </si>
  <si>
    <t>Lai Hưng 93-1</t>
  </si>
  <si>
    <t xml:space="preserve"> No.2211000315336</t>
  </si>
  <si>
    <t>Lai Hưng 93</t>
  </si>
  <si>
    <t>ngay SN 278</t>
  </si>
  <si>
    <t>1804 (1722)</t>
  </si>
  <si>
    <t>Trạm CS ĐH 604 đường 2/9 Trạm 1</t>
  </si>
  <si>
    <t>đường 2/9 ĐH 604-2</t>
  </si>
  <si>
    <t>PB.25901719</t>
  </si>
  <si>
    <t>trụ HT 01 SN 99</t>
  </si>
  <si>
    <t>01 - 06</t>
  </si>
  <si>
    <t>Trạm CS Lai Hưng 93 Trạm 2</t>
  </si>
  <si>
    <t>Lai Hưng 93-2</t>
  </si>
  <si>
    <t xml:space="preserve"> No.22408046</t>
  </si>
  <si>
    <t>đối diện TT 12</t>
  </si>
  <si>
    <t>Trạm CS đường 2/9 (Huỳnh Thanh Liêm) Mỹ Phước 91</t>
  </si>
  <si>
    <t>Mỹ Phước 91</t>
  </si>
  <si>
    <t xml:space="preserve"> No.24100012649</t>
  </si>
  <si>
    <t>trụ HT 576</t>
  </si>
  <si>
    <t>Trạm CS nhà bà Hương Mỹ Phước 95</t>
  </si>
  <si>
    <t>Mỹ Phước 95</t>
  </si>
  <si>
    <t xml:space="preserve"> No.18110058360</t>
  </si>
  <si>
    <t>HT giữ TT 64-65</t>
  </si>
  <si>
    <t>Trạm CS đồi 2/9</t>
  </si>
  <si>
    <t>đường 2/9 ĐH 604-3</t>
  </si>
  <si>
    <t>PB.007290</t>
  </si>
  <si>
    <t>trụ HT 08 SN64</t>
  </si>
  <si>
    <t>Đồng</t>
  </si>
  <si>
    <t>Trạm CS Lai Hưng 137 Trạm 1</t>
  </si>
  <si>
    <t>Lai Hưng 137-1</t>
  </si>
  <si>
    <t xml:space="preserve"> No.221100336691</t>
  </si>
  <si>
    <t>Lai Hưng 137</t>
  </si>
  <si>
    <t>TT 14 ông Khương đối diện SN 132</t>
  </si>
  <si>
    <t>Trạm CS nhà ông Tài Mỹ Phước 101</t>
  </si>
  <si>
    <t>Mỹ Phước 101</t>
  </si>
  <si>
    <t xml:space="preserve"> No.241200013333</t>
  </si>
  <si>
    <t>SN 163/6</t>
  </si>
  <si>
    <t>Trạm CS Mỹ Phước 92</t>
  </si>
  <si>
    <t>Mỹ Phước 92</t>
  </si>
  <si>
    <t xml:space="preserve"> No.241200012670</t>
  </si>
  <si>
    <t>trụ HT 1A1 CS01</t>
  </si>
  <si>
    <t>Trạm CS Lai Hưng 137 Trạm 2</t>
  </si>
  <si>
    <t>Lai Hưng 137-2</t>
  </si>
  <si>
    <t xml:space="preserve"> No.221100315825</t>
  </si>
  <si>
    <t>HT 05H</t>
  </si>
  <si>
    <t>Trạm CS Mỹ Phước 90</t>
  </si>
  <si>
    <t>Mỹ Phước 90</t>
  </si>
  <si>
    <t>PB.95518</t>
  </si>
  <si>
    <t>trụ HT 8B SN66</t>
  </si>
  <si>
    <t xml:space="preserve">Trạm CS giáp đường 2/9 - nhà ông Cao Văn Nghĩa </t>
  </si>
  <si>
    <t>Mỹ Phước 113</t>
  </si>
  <si>
    <t>PB.92238</t>
  </si>
  <si>
    <t>SN 69/1</t>
  </si>
  <si>
    <t>01 - 05</t>
  </si>
  <si>
    <t>Trạm CS Lai Hưng 137 Trạm 3</t>
  </si>
  <si>
    <t>Lai Hưng 137-3</t>
  </si>
  <si>
    <t xml:space="preserve"> No.221200041156</t>
  </si>
  <si>
    <t>nằm giữa TT 21 và TT 22</t>
  </si>
  <si>
    <t>Trạm CS nhà bà Tư sỉ - Út Bửu</t>
  </si>
  <si>
    <t>Mỹ Phước 103</t>
  </si>
  <si>
    <t xml:space="preserve"> No.231200037724</t>
  </si>
  <si>
    <t>HT1A4</t>
  </si>
  <si>
    <t>Trạm CS nhà ông Chu Văn Hùng</t>
  </si>
  <si>
    <t>Mỹ Phước 123</t>
  </si>
  <si>
    <t xml:space="preserve"> No.251200035212</t>
  </si>
  <si>
    <t>trụ HT 1A4 CS03</t>
  </si>
  <si>
    <t>Trạm CS Lai Hưng 143</t>
  </si>
  <si>
    <t>Lai Hưng 143</t>
  </si>
  <si>
    <t xml:space="preserve"> No.221100316103</t>
  </si>
  <si>
    <t>HT đầu đường Lai Hưng 143</t>
  </si>
  <si>
    <t>Trạm CS giáp đường 2/9 - nhà bà Giỏi</t>
  </si>
  <si>
    <t>Mỹ Phước 115</t>
  </si>
  <si>
    <t>PB.95519</t>
  </si>
  <si>
    <t>trụ CS02</t>
  </si>
  <si>
    <t>Trạm CS Lai Hưng 132 Trạm 1</t>
  </si>
  <si>
    <t>Lai Hưng 132-1</t>
  </si>
  <si>
    <t xml:space="preserve"> No.251200039417</t>
  </si>
  <si>
    <t>Lai Hưng 132</t>
  </si>
  <si>
    <t>HT08</t>
  </si>
  <si>
    <t>Trạm CS nhà đất Thanh Thủy</t>
  </si>
  <si>
    <t>Mỹ Phước 111</t>
  </si>
  <si>
    <t>PB.99681</t>
  </si>
  <si>
    <t>HT 1A6</t>
  </si>
  <si>
    <t>Trạm CS nhà ông Cảnh - Hai Sẳn</t>
  </si>
  <si>
    <t>Mỹ Phước 109</t>
  </si>
  <si>
    <t xml:space="preserve"> No.131138843</t>
  </si>
  <si>
    <t>HT 1-4/5</t>
  </si>
  <si>
    <t>1719 (1718)</t>
  </si>
  <si>
    <t>Trạm CS nhà Lê Thanh Tam Lê Văn Thành</t>
  </si>
  <si>
    <t>Mỹ Phước 94</t>
  </si>
  <si>
    <t>PB.95517</t>
  </si>
  <si>
    <t>SN 46/9</t>
  </si>
  <si>
    <t>Trạm CS Lai Hưng 132 Trạm 2</t>
  </si>
  <si>
    <t>Lai Hưng 132-2</t>
  </si>
  <si>
    <t xml:space="preserve"> No.251200039421</t>
  </si>
  <si>
    <t>HT giao với đường Lai Hưng 129</t>
  </si>
  <si>
    <t>Trạm CS Lai Hưng 129</t>
  </si>
  <si>
    <t>Lai Hưng 129 và Lai Hưng 105</t>
  </si>
  <si>
    <t xml:space="preserve"> No.221100365329</t>
  </si>
  <si>
    <t>HT 06B / 22</t>
  </si>
  <si>
    <t>Trạm CS nhà ông Phước Hiệp - Nguyễn Văn Phú</t>
  </si>
  <si>
    <t>Mỹ Phước 104</t>
  </si>
  <si>
    <t>PB.80823</t>
  </si>
  <si>
    <t>SN 2/16</t>
  </si>
  <si>
    <t>Trạm CS Lai Hưng 119 Trạm 1</t>
  </si>
  <si>
    <t>Lai Hưng 119-1</t>
  </si>
  <si>
    <t xml:space="preserve"> No.1511290191</t>
  </si>
  <si>
    <t>Lai Hưng 119</t>
  </si>
  <si>
    <t>đàu đường Lai Hưng 119</t>
  </si>
  <si>
    <t>Trạm CS Lai Hưng 125 Trạm 1</t>
  </si>
  <si>
    <t>Lai Hưng 125-1</t>
  </si>
  <si>
    <t xml:space="preserve"> No.1511289244</t>
  </si>
  <si>
    <t>Lai Hưng 125</t>
  </si>
  <si>
    <t>HT đầu đường Lai Hưng 125</t>
  </si>
  <si>
    <t>Trạm CS đường QL 13 - ông Nguyễn Văn Thế</t>
  </si>
  <si>
    <t>Mỹ Phước 23</t>
  </si>
  <si>
    <t>PB.1249</t>
  </si>
  <si>
    <t>oto Tiến Phát</t>
  </si>
  <si>
    <t>Trạm CS Mỹ Phước 102</t>
  </si>
  <si>
    <t>Mỹ Phước 102</t>
  </si>
  <si>
    <t>PB.06433</t>
  </si>
  <si>
    <t>đầu đường Mỹ Phước 102</t>
  </si>
  <si>
    <t>Trạm CS Lai Hưng 125 Trạm 2</t>
  </si>
  <si>
    <t>Lai Hưng 125-2</t>
  </si>
  <si>
    <t xml:space="preserve"> No.1511225111</t>
  </si>
  <si>
    <t>HT 1/1 Lai Hưng 125</t>
  </si>
  <si>
    <t>Trạm CS QL13 nhà ông Niệm</t>
  </si>
  <si>
    <t>Mỹ Phước 17</t>
  </si>
  <si>
    <t>PB.88018</t>
  </si>
  <si>
    <t>đối diện SN 572</t>
  </si>
  <si>
    <t>Trạm CS QL13 nhà ông 4 Kiểm</t>
  </si>
  <si>
    <t>Mỹ Phước 13</t>
  </si>
  <si>
    <t>PB.80818</t>
  </si>
  <si>
    <t>SN 558</t>
  </si>
  <si>
    <t>Trạm CS nhà bà Bính - An Tuấn</t>
  </si>
  <si>
    <t>Mỹ Phước 11</t>
  </si>
  <si>
    <t xml:space="preserve"> No.251200073462</t>
  </si>
  <si>
    <t>SN 211</t>
  </si>
  <si>
    <t>Trạm CS Lai Hưng 119 Trạm 2</t>
  </si>
  <si>
    <t>Lai Hưng 119-2</t>
  </si>
  <si>
    <t xml:space="preserve"> No.1511288265</t>
  </si>
  <si>
    <t>TT 04</t>
  </si>
  <si>
    <t>Trạm CS đường Chà Vi nhà bà Ánh - nhà ông Lợi Hòa</t>
  </si>
  <si>
    <t>Mỹ Phước 83</t>
  </si>
  <si>
    <t xml:space="preserve"> No.18110173535</t>
  </si>
  <si>
    <t>đối diện SN 174</t>
  </si>
  <si>
    <t>1772 (1773)</t>
  </si>
  <si>
    <t>Trạm CS Mỹ Phước 59, 51, 63 nhà ông Thắng, nhà ông Điệp (Hùng)</t>
  </si>
  <si>
    <t>Mỹ Phước 59, 61, 63 ĐT 749A</t>
  </si>
  <si>
    <t xml:space="preserve"> No.1511022234</t>
  </si>
  <si>
    <t>SN 43/1</t>
  </si>
  <si>
    <t>Trạm CS Lai Hưng 119 Trạm 3</t>
  </si>
  <si>
    <t>Lai Hưng 119-3</t>
  </si>
  <si>
    <t xml:space="preserve"> No.1511230139</t>
  </si>
  <si>
    <t>TT 06</t>
  </si>
  <si>
    <t>Trạm CS giáp đường Chà Vi (ông 6 xe-suối chà vi)</t>
  </si>
  <si>
    <t>Mỹ Phước 85</t>
  </si>
  <si>
    <t xml:space="preserve"> No.1511084599</t>
  </si>
  <si>
    <t>đầu đường 85</t>
  </si>
  <si>
    <t>Trạm CS ông Ty cháo lòng</t>
  </si>
  <si>
    <t>Mỹ Phước 57 749A</t>
  </si>
  <si>
    <t xml:space="preserve"> No.221100309526</t>
  </si>
  <si>
    <t>SN 19/3A</t>
  </si>
  <si>
    <t>Trạm CS đường Chà Vi (nhà ông Út Nhuận)</t>
  </si>
  <si>
    <t>Mỹ Phước 79</t>
  </si>
  <si>
    <t>PB.81709</t>
  </si>
  <si>
    <t>đối diện SN 151/1</t>
  </si>
  <si>
    <t>Trạm CS Mỹ Phước 87</t>
  </si>
  <si>
    <t>Mỹ Phước 87</t>
  </si>
  <si>
    <t xml:space="preserve"> No.11790</t>
  </si>
  <si>
    <t>không có SN</t>
  </si>
  <si>
    <t>Trạm CS Lai Hưng 127 Trạm 1</t>
  </si>
  <si>
    <t>Lai Hưng 127-1</t>
  </si>
  <si>
    <t xml:space="preserve"> No.221100365149</t>
  </si>
  <si>
    <t>Lai Hưng 127</t>
  </si>
  <si>
    <t>HT đầu đường Lai Hưng 127</t>
  </si>
  <si>
    <t>Trạm CS Mỹ Phước 38 ông Tư Nghĩa</t>
  </si>
  <si>
    <t>Mỹ Phước 38 749A</t>
  </si>
  <si>
    <t xml:space="preserve"> No.1611082666</t>
  </si>
  <si>
    <t>trụ HT 2-1 CS01</t>
  </si>
  <si>
    <t>Trạm CS Lai Hưng 127 Trạm 2</t>
  </si>
  <si>
    <t>Lai Hưng 127-2</t>
  </si>
  <si>
    <t xml:space="preserve"> No.22408471</t>
  </si>
  <si>
    <t>TT đầu đường LH 127 giao với LH 93</t>
  </si>
  <si>
    <t>1776 (1775)</t>
  </si>
  <si>
    <t>Trạm CS ông năm Bá ông Dương Chí Tân</t>
  </si>
  <si>
    <t>Mỹ Phước 40</t>
  </si>
  <si>
    <t xml:space="preserve"> No.24120000936</t>
  </si>
  <si>
    <t>SN42</t>
  </si>
  <si>
    <t>Trạm CS nhà bà Sen nhà bà Ngàn</t>
  </si>
  <si>
    <t>Mỹ Phước 42 ĐT 749A</t>
  </si>
  <si>
    <t xml:space="preserve"> No.221100309345</t>
  </si>
  <si>
    <t>SN 114/8</t>
  </si>
  <si>
    <t>Trạm CS Lai Hưng 124</t>
  </si>
  <si>
    <t>Lai Hưng 124</t>
  </si>
  <si>
    <t xml:space="preserve"> No.221100065680</t>
  </si>
  <si>
    <t>HT số 1 đường LH 124</t>
  </si>
  <si>
    <t>Trạm CS Lai Hưng 115</t>
  </si>
  <si>
    <t>Lai Hưng 115</t>
  </si>
  <si>
    <t xml:space="preserve"> No.1611266905</t>
  </si>
  <si>
    <t>TT 02B ĐH 601</t>
  </si>
  <si>
    <t>Trạm CS nhà bà Bích ông sáu Phức</t>
  </si>
  <si>
    <t>Mỹ Phước 40 ĐT 749A</t>
  </si>
  <si>
    <t>PB.74045</t>
  </si>
  <si>
    <t>SN 68/6</t>
  </si>
  <si>
    <t>Trạm CS Lai Hưng 101</t>
  </si>
  <si>
    <t>Lai Hưng 101</t>
  </si>
  <si>
    <t>100.947.00</t>
  </si>
  <si>
    <t xml:space="preserve"> No.1511289146</t>
  </si>
  <si>
    <t>TT 17</t>
  </si>
  <si>
    <t>Trạm CS nhà ông Chinh</t>
  </si>
  <si>
    <t>Mỹ Phước 135 ĐT 749A</t>
  </si>
  <si>
    <t>PB.97680</t>
  </si>
  <si>
    <t>SN 200/1</t>
  </si>
  <si>
    <t>Trạm CS Lai Hưng 99</t>
  </si>
  <si>
    <t>Lai Hưng 99</t>
  </si>
  <si>
    <t xml:space="preserve"> No.25114326</t>
  </si>
  <si>
    <t xml:space="preserve">HT số 1 kế TT 13B Bến Tượng </t>
  </si>
  <si>
    <t>Trạm CS nhà ông Sáu Hiền</t>
  </si>
  <si>
    <t>giáng đường hàng vú sữa</t>
  </si>
  <si>
    <t xml:space="preserve"> No.76712</t>
  </si>
  <si>
    <t>SN 205</t>
  </si>
  <si>
    <t>Trạm CS Lai Hưng 97</t>
  </si>
  <si>
    <t>Lai Hưng 97</t>
  </si>
  <si>
    <t xml:space="preserve"> No.21058636</t>
  </si>
  <si>
    <t>HT kế TT 12 đường ĐH 601</t>
  </si>
  <si>
    <t>Trạm CS QL 13 nhà ông Lâm -Năm tỷ</t>
  </si>
  <si>
    <t>Mỹ Phước 06</t>
  </si>
  <si>
    <t xml:space="preserve"> No.18110008316</t>
  </si>
  <si>
    <t>TT06 SN 80/14</t>
  </si>
  <si>
    <t>Trạm CS Lai Hưng 144 Trạm 1</t>
  </si>
  <si>
    <t>Lai Hưng 144-1</t>
  </si>
  <si>
    <t xml:space="preserve"> No.1511289930</t>
  </si>
  <si>
    <t>Lai Hưng 144</t>
  </si>
  <si>
    <t>TT25</t>
  </si>
  <si>
    <t>Trạm CS đình Bến Tranh</t>
  </si>
  <si>
    <t>đường đình Bến Tranh</t>
  </si>
  <si>
    <t xml:space="preserve"> No.76710</t>
  </si>
  <si>
    <t>SN 32</t>
  </si>
  <si>
    <t>Trạm CS nhà ông Lê Văn Nước nhà ông Trọng</t>
  </si>
  <si>
    <t>Mỹ Phước 134 ngô quyền</t>
  </si>
  <si>
    <t>PB.99685</t>
  </si>
  <si>
    <t>trụ HT 2B-4 CS01</t>
  </si>
  <si>
    <t>Trạm CS đường QL 13 nhà ông 4 Mỹ - nhà ông 3 Thông</t>
  </si>
  <si>
    <t>Mỹ Phước 09</t>
  </si>
  <si>
    <t xml:space="preserve"> No.17210076569</t>
  </si>
  <si>
    <t>trụ HT 1D-1 đàu đường Mỹ Phước 09</t>
  </si>
  <si>
    <t>Trạm CS Ql 13 ông Công ông Duyên</t>
  </si>
  <si>
    <t>Mỹ Phước 08</t>
  </si>
  <si>
    <t>PB.100870</t>
  </si>
  <si>
    <t>HT 1B1</t>
  </si>
  <si>
    <t>Trạm CS Lai Hưng 144 Trạm 2</t>
  </si>
  <si>
    <t>Lai Hưng 144-2</t>
  </si>
  <si>
    <t xml:space="preserve"> No.221100364610</t>
  </si>
  <si>
    <t>TT 32B</t>
  </si>
  <si>
    <t>Trạm CS nhà ông 3 Lượng</t>
  </si>
  <si>
    <t>đường ông 3 Lượng</t>
  </si>
  <si>
    <t xml:space="preserve"> No.30819</t>
  </si>
  <si>
    <t>SN 576/4</t>
  </si>
  <si>
    <t>Trạm CS Lai Hưng 144 Trạm 3</t>
  </si>
  <si>
    <t>Lai Hưng 144-3</t>
  </si>
  <si>
    <t xml:space="preserve"> No.2111000286009</t>
  </si>
  <si>
    <t>TT 36B</t>
  </si>
  <si>
    <t>1785 (1786)</t>
  </si>
  <si>
    <t>Trạm CS ông Cao Văn Nghĩa bà Lê Thị Ngọc Hà</t>
  </si>
  <si>
    <t>Mỹ Phước 130 Ngô Quyền</t>
  </si>
  <si>
    <t>PB.94765</t>
  </si>
  <si>
    <t>SN 49</t>
  </si>
  <si>
    <t>Không đạt</t>
  </si>
  <si>
    <t>Trạm CS đầu đường 76</t>
  </si>
  <si>
    <t>cầu đường 76</t>
  </si>
  <si>
    <t xml:space="preserve"> No.14009</t>
  </si>
  <si>
    <t>đối diện SN 120</t>
  </si>
  <si>
    <t>Trạm CS QL 13 cây xăng Phát Lợi</t>
  </si>
  <si>
    <t>Mỹ Phước 39</t>
  </si>
  <si>
    <t>PB.04010080814</t>
  </si>
  <si>
    <t>SN 465/3</t>
  </si>
  <si>
    <t xml:space="preserve">Trạm CS nhà ông Sáu phố </t>
  </si>
  <si>
    <t>Mỹ Phước 110</t>
  </si>
  <si>
    <t>PB.04010094672</t>
  </si>
  <si>
    <t>SN 271</t>
  </si>
  <si>
    <t>Composite</t>
  </si>
  <si>
    <t>Trạm CS QL 13 nhà ông Trung - Lý Thanh Xuân</t>
  </si>
  <si>
    <t>Mỹ Phước 37</t>
  </si>
  <si>
    <t xml:space="preserve"> No.241200048007</t>
  </si>
  <si>
    <t>HT 1B3</t>
  </si>
  <si>
    <t>Trạm CS QL13 cty Nam Hưng</t>
  </si>
  <si>
    <t>Mỹ Phước 33</t>
  </si>
  <si>
    <t xml:space="preserve"> No.241200048378</t>
  </si>
  <si>
    <t>Trạm CS nhà bà Trương Thị Chúng</t>
  </si>
  <si>
    <t>Mỹ Phước 108</t>
  </si>
  <si>
    <t xml:space="preserve"> No.18110174271</t>
  </si>
  <si>
    <t>SN 261</t>
  </si>
  <si>
    <t>Trạm CS QL13 nhà bà Loan</t>
  </si>
  <si>
    <t>Mỹ Phước 31</t>
  </si>
  <si>
    <t xml:space="preserve"> No.1511031644</t>
  </si>
  <si>
    <t>SN 415/4</t>
  </si>
  <si>
    <t>Trạm CS Lai Hưng 34</t>
  </si>
  <si>
    <t>Lai Hưng 34</t>
  </si>
  <si>
    <t xml:space="preserve"> No.221100336723</t>
  </si>
  <si>
    <t>TT 07</t>
  </si>
  <si>
    <t>01 - 08</t>
  </si>
  <si>
    <t>Lai Hưng 35, 36, 38 chung trạm với Lai Hưng 34</t>
  </si>
  <si>
    <t>Trạm CS ĐH 620 (đường bến tượng) Trạm 1</t>
  </si>
  <si>
    <t>ĐH620-1</t>
  </si>
  <si>
    <t xml:space="preserve"> No.2321001446</t>
  </si>
  <si>
    <t>ĐH 620</t>
  </si>
  <si>
    <t>TT 01</t>
  </si>
  <si>
    <t>Trạm CS ĐH 620 (đường bến tượng) Trạm 2</t>
  </si>
  <si>
    <t>ĐH620-2</t>
  </si>
  <si>
    <t>Trạm CS Giáp Đường Hùng Vương (nhà ông Đức Hoàng) - Nhà ông Khiêm</t>
  </si>
  <si>
    <t>Mỹ Phước 151</t>
  </si>
  <si>
    <t>PB.04010095585</t>
  </si>
  <si>
    <t>trụ HT 1A4</t>
  </si>
  <si>
    <t>tủ điều khiển chỉ có CB, người dân đóng mở thủ công</t>
  </si>
  <si>
    <t>Trạm CS QL13 - DB4 ông Hùng</t>
  </si>
  <si>
    <t>Mỹ Phước 22</t>
  </si>
  <si>
    <t>PB.04010070959</t>
  </si>
  <si>
    <t>đầu đường MP 27</t>
  </si>
  <si>
    <t xml:space="preserve">Trạm CS ông Thủy </t>
  </si>
  <si>
    <t>Mỹ Phước 118</t>
  </si>
  <si>
    <t xml:space="preserve"> No.251200039769</t>
  </si>
  <si>
    <t>SN 46/1</t>
  </si>
  <si>
    <t>Trạm CS Lai Hưng 38</t>
  </si>
  <si>
    <t>Lai Hưng 38</t>
  </si>
  <si>
    <t xml:space="preserve"> No.21000592</t>
  </si>
  <si>
    <t>TT 12</t>
  </si>
  <si>
    <t>Trạm CS Lai Hưng 47</t>
  </si>
  <si>
    <t>Lai Hưng 47</t>
  </si>
  <si>
    <t xml:space="preserve"> No.21082032</t>
  </si>
  <si>
    <t>HT nằm giữa TT 05 và 06</t>
  </si>
  <si>
    <t>Trạm CS Lai Hưng 52</t>
  </si>
  <si>
    <t>Lai Hưng 52</t>
  </si>
  <si>
    <t xml:space="preserve"> No.21110509</t>
  </si>
  <si>
    <t>SN 210</t>
  </si>
  <si>
    <t>1794 (1795)</t>
  </si>
  <si>
    <t>Trạm CS nhà ông Sang nhà ông Đỗ Trọng Nhơn</t>
  </si>
  <si>
    <t>đường TC 3</t>
  </si>
  <si>
    <t xml:space="preserve"> No.18110007437</t>
  </si>
  <si>
    <t>SN 24/24A</t>
  </si>
  <si>
    <t>Trạm CS QL13 nhà ông Khanh - suối con Long Hung</t>
  </si>
  <si>
    <t>Mỹ Phước 04</t>
  </si>
  <si>
    <t>PB.04010080815</t>
  </si>
  <si>
    <t>HT 1B-5</t>
  </si>
  <si>
    <t>Trạm CS ĐH 607 bến Chà Vi</t>
  </si>
  <si>
    <t>ĐH 607 Chà Vi</t>
  </si>
  <si>
    <t xml:space="preserve"> No.25907015</t>
  </si>
  <si>
    <t>SN 149</t>
  </si>
  <si>
    <t>Trạm CS Lai Hưng 39</t>
  </si>
  <si>
    <t>Lai Hưng 39</t>
  </si>
  <si>
    <t xml:space="preserve"> No.221100045463</t>
  </si>
  <si>
    <t>HT 2-2 LH 38</t>
  </si>
  <si>
    <t>Trạm CS QL13 chín Giỏi - sáu Quang</t>
  </si>
  <si>
    <t>Mỹ Phước 12</t>
  </si>
  <si>
    <t>PB.04010099684</t>
  </si>
  <si>
    <t>HT 1A3</t>
  </si>
  <si>
    <t>Trạm CS Lai Hưng 56</t>
  </si>
  <si>
    <t>Lai Hưng 56</t>
  </si>
  <si>
    <t xml:space="preserve"> No.221100363223</t>
  </si>
  <si>
    <t>HT nằm giữa TT 07B và TT 08</t>
  </si>
  <si>
    <t>Trạm CS Giáp đường láng nhựa (nhà ông Lớn) - Đất bà Bậu</t>
  </si>
  <si>
    <t>Láng nhựa -đất bà bậu</t>
  </si>
  <si>
    <t xml:space="preserve"> No.241200025135</t>
  </si>
  <si>
    <t>đối diện SN 14/06</t>
  </si>
  <si>
    <t>Trạm CS ĐH 607 Bến Chà Vi Trạm 2</t>
  </si>
  <si>
    <t xml:space="preserve">ĐH 607 </t>
  </si>
  <si>
    <t xml:space="preserve"> No.2321001440</t>
  </si>
  <si>
    <t>trụ HT 15 46/18/05 bến chà vi</t>
  </si>
  <si>
    <t>Trạm CS QL13 nhà bà Phượng - ông Lộc Mai</t>
  </si>
  <si>
    <t>Mỹ Phước 18</t>
  </si>
  <si>
    <t>PB.04010080819</t>
  </si>
  <si>
    <t>SN 306/9</t>
  </si>
  <si>
    <t>Trạm CS Lai Hưng 58</t>
  </si>
  <si>
    <t>Lai Hưng 58-1</t>
  </si>
  <si>
    <t xml:space="preserve"> No.21089012</t>
  </si>
  <si>
    <t>Lai Hưng 58</t>
  </si>
  <si>
    <t>SN 24 tổ 2</t>
  </si>
  <si>
    <t>Trạm CS ĐH 617 Trạm 1</t>
  </si>
  <si>
    <t>ĐH617-1</t>
  </si>
  <si>
    <t xml:space="preserve"> No.21030007</t>
  </si>
  <si>
    <t>ĐH 617</t>
  </si>
  <si>
    <t>TTT 31</t>
  </si>
  <si>
    <t>Trạm CS ĐH 617 Trạm 2</t>
  </si>
  <si>
    <t>ĐH617-2</t>
  </si>
  <si>
    <t xml:space="preserve"> No.21080431</t>
  </si>
  <si>
    <t>THT 10H</t>
  </si>
  <si>
    <t>Trạm CS Lai Hưng 58 Trạm 2</t>
  </si>
  <si>
    <t>Lai Hưng 58-2</t>
  </si>
  <si>
    <t xml:space="preserve"> No.21088677</t>
  </si>
  <si>
    <t>HT thứ 3 đầu đường LH 58</t>
  </si>
  <si>
    <t>Trạm CS ĐH 617 Trạm 3</t>
  </si>
  <si>
    <t>ĐH617-3</t>
  </si>
  <si>
    <t xml:space="preserve"> No.21035094</t>
  </si>
  <si>
    <t>TTT không số</t>
  </si>
  <si>
    <t>Trạm CS Mỹ Phước 52 bến chà vi</t>
  </si>
  <si>
    <t>Mỹ Phước 52</t>
  </si>
  <si>
    <t>PB.04010021634</t>
  </si>
  <si>
    <t>SN 26 trụ HT CS01</t>
  </si>
  <si>
    <t>Trạm CS Lai Hưng 62</t>
  </si>
  <si>
    <t>Lai Hưng 62</t>
  </si>
  <si>
    <t xml:space="preserve"> No.2011526392</t>
  </si>
  <si>
    <t>HT đối diện nhà trọ Minh Hoài</t>
  </si>
  <si>
    <t>Trạm CS ĐH 617 Trạm 4</t>
  </si>
  <si>
    <t>ĐH617-4</t>
  </si>
  <si>
    <t xml:space="preserve"> No.22416854</t>
  </si>
  <si>
    <t>TTT 32</t>
  </si>
  <si>
    <t>Trạm CS Lai Hưng 63</t>
  </si>
  <si>
    <t>Lai Hưng 63</t>
  </si>
  <si>
    <t xml:space="preserve"> No.2011581182</t>
  </si>
  <si>
    <t>ngay trạm biến áp đầu đường LH 63</t>
  </si>
  <si>
    <t>Trạm CS nhà ông bảy nhờ</t>
  </si>
  <si>
    <t>Cây Da</t>
  </si>
  <si>
    <t xml:space="preserve"> No.18170174584</t>
  </si>
  <si>
    <t>SN 27/19</t>
  </si>
  <si>
    <t>Trạm CS Lai Hưng 40</t>
  </si>
  <si>
    <t>Lai Hưng 40</t>
  </si>
  <si>
    <t xml:space="preserve"> No.21004891</t>
  </si>
  <si>
    <t>trước SN 250</t>
  </si>
  <si>
    <t>Trạm CS nhà ông 7 Lỳ nhà Bà Chiến</t>
  </si>
  <si>
    <t>Mỹ Phước 01</t>
  </si>
  <si>
    <t>PB.04010031340</t>
  </si>
  <si>
    <t>trụ HT 33A10</t>
  </si>
  <si>
    <t>Trạm Cs Lai Hưng 42</t>
  </si>
  <si>
    <t>Lai Hưng 42</t>
  </si>
  <si>
    <t xml:space="preserve"> No.21085726</t>
  </si>
  <si>
    <t>SN 362</t>
  </si>
  <si>
    <t>Trạm CS ĐT 741B</t>
  </si>
  <si>
    <t>ĐT741B-1</t>
  </si>
  <si>
    <t>TBA 1x15KVA 18</t>
  </si>
  <si>
    <t>Trạm CS Lai Hưng 41</t>
  </si>
  <si>
    <t>Lai Hưng 41</t>
  </si>
  <si>
    <t>chung trạm với đường Lai Hưng 38 (1673)</t>
  </si>
  <si>
    <t>Trạm Cs ĐT 741B Trạm 1</t>
  </si>
  <si>
    <t>ĐT741B-2</t>
  </si>
  <si>
    <t xml:space="preserve"> No.2321001439</t>
  </si>
  <si>
    <t>TBA 1x15KVA 49</t>
  </si>
  <si>
    <t>Trạm CS Tân Hưng 61 Trạm 1</t>
  </si>
  <si>
    <t>Tân Hưng 61-1</t>
  </si>
  <si>
    <t xml:space="preserve"> No.1511178832</t>
  </si>
  <si>
    <t>Tân Hưng 61</t>
  </si>
  <si>
    <t>HT 1/3</t>
  </si>
  <si>
    <t>Trạm CS Tân Hưng 61 Trạm 2</t>
  </si>
  <si>
    <t>Tân Hưng 61-2</t>
  </si>
  <si>
    <t xml:space="preserve"> No.1511167168</t>
  </si>
  <si>
    <t>Trụ TT B TAH4/09 T017T</t>
  </si>
  <si>
    <t>Trạm CS ĐT 741B Trạm 2</t>
  </si>
  <si>
    <t>ĐT741B-3</t>
  </si>
  <si>
    <t>TBA 1x15KVA 77</t>
  </si>
  <si>
    <t>1652 1640 1642</t>
  </si>
  <si>
    <t>Trạm CS đường Tân Hưng 058</t>
  </si>
  <si>
    <t>Tân Hưng 58</t>
  </si>
  <si>
    <t xml:space="preserve"> No.1611082857</t>
  </si>
  <si>
    <t>trụ HT 03 - 18</t>
  </si>
  <si>
    <t>01 - 07</t>
  </si>
  <si>
    <t>Trạm Lai Hưng 28</t>
  </si>
  <si>
    <t>Lai Hưng 28</t>
  </si>
  <si>
    <t xml:space="preserve"> No.21053017</t>
  </si>
  <si>
    <t>TTT 97T giáp QL13</t>
  </si>
  <si>
    <t>Trạm CS Lai Hưng 29 Trạm 1</t>
  </si>
  <si>
    <t>Lai Hưng 29-1</t>
  </si>
  <si>
    <t xml:space="preserve"> No.16115919</t>
  </si>
  <si>
    <t>Lai Hưng 29</t>
  </si>
  <si>
    <t>TT 10</t>
  </si>
  <si>
    <t>Trạm CS Lai Hưng 29 Trạm 2</t>
  </si>
  <si>
    <t>Lai Hưng 29-2</t>
  </si>
  <si>
    <t xml:space="preserve"> No.1611597519</t>
  </si>
  <si>
    <t>TT 16</t>
  </si>
  <si>
    <t>1796 (1797)</t>
  </si>
  <si>
    <t>Trạm CS QL13 nhà ông Hừng - ông Hồ Hỏa Thiện</t>
  </si>
  <si>
    <t>Mỹ Phước 26</t>
  </si>
  <si>
    <t>PB.04010092236</t>
  </si>
  <si>
    <t>SN 598/36</t>
  </si>
  <si>
    <t>Trạm CS đường Bìa Lô 2, 3, 4 Trạm 1</t>
  </si>
  <si>
    <t>đường bìa lô 2, 3, 4-1</t>
  </si>
  <si>
    <t>PB.04040069605</t>
  </si>
  <si>
    <t>đường bìa lô 2, 3, 4</t>
  </si>
  <si>
    <t>trụ HT 31 - 1 - 13</t>
  </si>
  <si>
    <t>Trạm CS Lai Hưng 04</t>
  </si>
  <si>
    <t>Lai Hưng 04</t>
  </si>
  <si>
    <t xml:space="preserve"> No.1611596539</t>
  </si>
  <si>
    <t>TBA 06 cầu đôi</t>
  </si>
  <si>
    <t>Trạm CS đường D7 - D8</t>
  </si>
  <si>
    <t>D7, D8</t>
  </si>
  <si>
    <t xml:space="preserve"> No.241200047594</t>
  </si>
  <si>
    <t>nhà nghỉ D7</t>
  </si>
  <si>
    <t>Trạm CS đường Bìa Lô 2, 3, 4 Trạm 2</t>
  </si>
  <si>
    <t>đường bìa lô 2, 3, 4-2</t>
  </si>
  <si>
    <t xml:space="preserve"> No.1511187163</t>
  </si>
  <si>
    <t>trụ HT 4H-12</t>
  </si>
  <si>
    <t>Trạm CS Lai Hưng 06</t>
  </si>
  <si>
    <t>Lai Hưng 06-1</t>
  </si>
  <si>
    <t xml:space="preserve"> No.251200039422</t>
  </si>
  <si>
    <t>Lai Hưng 06</t>
  </si>
  <si>
    <t>HT 13 LH 06</t>
  </si>
  <si>
    <t>Trạm CS 01 nhà ông Tuấn nhà ông Thanh KP Long Hưng</t>
  </si>
  <si>
    <t>KP Long Hưng-1</t>
  </si>
  <si>
    <t xml:space="preserve"> No.18110057749</t>
  </si>
  <si>
    <t>KP Long Hưng</t>
  </si>
  <si>
    <t>SN 187/02</t>
  </si>
  <si>
    <t>Trạm CS 02 nhà ông Tuấn nhà ông Thanh KP Long Hưng</t>
  </si>
  <si>
    <t>KP Long Hưng-2</t>
  </si>
  <si>
    <t xml:space="preserve"> No.18110098531</t>
  </si>
  <si>
    <t>SN 50/08</t>
  </si>
  <si>
    <t>Trạm CS QL13 bà Út Xít - Hai Chiến</t>
  </si>
  <si>
    <t>Mỹ Phước 49</t>
  </si>
  <si>
    <t>PB.04010092254</t>
  </si>
  <si>
    <t>SN 573/1</t>
  </si>
  <si>
    <t>Trạm CS đường Bìa Lô 2, 3, 4 Trạm 3</t>
  </si>
  <si>
    <t>đường bìa lô 2, 3, 4-3</t>
  </si>
  <si>
    <t xml:space="preserve"> No.2011582307</t>
  </si>
  <si>
    <t>HT 44-4</t>
  </si>
  <si>
    <t>1655 1639</t>
  </si>
  <si>
    <t>Trạm CS Tân Hưng 63 Trạm 1</t>
  </si>
  <si>
    <t>Tân Hưng 63-1</t>
  </si>
  <si>
    <t xml:space="preserve"> No.1611082748</t>
  </si>
  <si>
    <t>Tân Hưng 63</t>
  </si>
  <si>
    <t>THT 4/1</t>
  </si>
  <si>
    <t>Trạm CS đường Bìa Lô 2, 3, 4 Trạm 4</t>
  </si>
  <si>
    <t>đường bìa lô 2, 3, 4-4</t>
  </si>
  <si>
    <t>PB.04010011349</t>
  </si>
  <si>
    <t>HT 03-2-7</t>
  </si>
  <si>
    <t>01- 03</t>
  </si>
  <si>
    <t>Trạm CS Lai Hưng 07 Trạm 1</t>
  </si>
  <si>
    <t>Lai Hưng 07-1</t>
  </si>
  <si>
    <t xml:space="preserve"> No.21088678</t>
  </si>
  <si>
    <t>Lai Hưng 07</t>
  </si>
  <si>
    <t>trước nhà số 176 cầu đôi</t>
  </si>
  <si>
    <t>1798 (1800)</t>
  </si>
  <si>
    <t>Trạm CS QL13 nhà ông Hải - Lê Thị Thắng</t>
  </si>
  <si>
    <t>Mỹ Phước 34</t>
  </si>
  <si>
    <t xml:space="preserve"> No.1511112075</t>
  </si>
  <si>
    <t>HT 1A1</t>
  </si>
  <si>
    <t>Trạm CS Lai Hưng 07 Trạm 2</t>
  </si>
  <si>
    <t>Lai Hưng 07-2</t>
  </si>
  <si>
    <t xml:space="preserve"> No.21088680</t>
  </si>
  <si>
    <t>trước nhà số 202 cầu đôi</t>
  </si>
  <si>
    <t>Trạm Cs Lai Hưng 08</t>
  </si>
  <si>
    <t>Lai Hưng 08</t>
  </si>
  <si>
    <t>chung trạm với trạm 2 đường Lai Hưng 07 (1660)</t>
  </si>
  <si>
    <t>Trạm CS nhà bà 9 Lê nhà ông Út Xuân</t>
  </si>
  <si>
    <t>KP1 KDC Vườn Tiên</t>
  </si>
  <si>
    <t>PB.04010096804</t>
  </si>
  <si>
    <t>SN 34</t>
  </si>
  <si>
    <t>Trạm CS đường Bìa Lô 2, 3, 4 Trạm 5</t>
  </si>
  <si>
    <t>đường bìa lô 2, 3, 4-5</t>
  </si>
  <si>
    <t>PB.04010032508</t>
  </si>
  <si>
    <t>HT 3-6-10</t>
  </si>
  <si>
    <t>1655 1640 1641</t>
  </si>
  <si>
    <t>Trạm CS Tân Hưng 63 Trạm 2</t>
  </si>
  <si>
    <t>Tân Hưng 63-2</t>
  </si>
  <si>
    <t xml:space="preserve"> No.1911429309</t>
  </si>
  <si>
    <t>01 - 09</t>
  </si>
  <si>
    <t>Trạm CS ĐH 611 Trạm 1</t>
  </si>
  <si>
    <t>ĐH611-1</t>
  </si>
  <si>
    <t xml:space="preserve"> No.21039351</t>
  </si>
  <si>
    <t>ĐH 611</t>
  </si>
  <si>
    <t>TT 01 ĐH 611</t>
  </si>
  <si>
    <t>Trạm CS đường Bìa Lô 2, 3, 4 Trạm 6</t>
  </si>
  <si>
    <t>đường bìa lô 2, 3, 4-6</t>
  </si>
  <si>
    <t xml:space="preserve"> No.151187154</t>
  </si>
  <si>
    <t>gần tiệm rửa xe Tư Đăng</t>
  </si>
  <si>
    <t>Trạm CS ĐH 611 Trạm 2</t>
  </si>
  <si>
    <t>ĐH611-2</t>
  </si>
  <si>
    <t xml:space="preserve"> No.21032847</t>
  </si>
  <si>
    <t>TT 15 ĐH 611</t>
  </si>
  <si>
    <t>Trạm CS đường Bìa Lô 2, 3, 4 Trạm 7</t>
  </si>
  <si>
    <t>đường bìa lô 2, 3, 4-7</t>
  </si>
  <si>
    <t xml:space="preserve"> No.1511188151</t>
  </si>
  <si>
    <t>HT 03-11-13</t>
  </si>
  <si>
    <t>Trạm CS Lai Hưng 06 Trạm 2</t>
  </si>
  <si>
    <t>Lai Hưng 06-2</t>
  </si>
  <si>
    <t xml:space="preserve"> No.251200039686</t>
  </si>
  <si>
    <t>HT đầu đường LH 06 (VP KP cầu đôi)</t>
  </si>
  <si>
    <t>Trạm CS đường Bìa Lô 2, 3, 4 Trạm 8</t>
  </si>
  <si>
    <t>đường bìa lô 2, 3, 4-8</t>
  </si>
  <si>
    <t xml:space="preserve"> No.1511285335</t>
  </si>
  <si>
    <t>HT 1/4</t>
  </si>
  <si>
    <t>Trạm CS Lai Hưng 63 Trạm 3</t>
  </si>
  <si>
    <t>Tân Hưng 63-3</t>
  </si>
  <si>
    <t xml:space="preserve"> No.1611025980</t>
  </si>
  <si>
    <t>THT 4/2</t>
  </si>
  <si>
    <t>Trạm CS đường Bìa Lô 2, 3, 4 Trạm 9</t>
  </si>
  <si>
    <t>đường bìa lô 2, 3, 4-9</t>
  </si>
  <si>
    <t xml:space="preserve"> No.1511288404</t>
  </si>
  <si>
    <t>HT 1/2</t>
  </si>
  <si>
    <t>Trạm CS ĐH 611 Trạm 3</t>
  </si>
  <si>
    <t>ĐH611-3</t>
  </si>
  <si>
    <t xml:space="preserve"> No.21000309</t>
  </si>
  <si>
    <t>TT 27 ĐH 611</t>
  </si>
  <si>
    <t>Trạm CS nội bộ chợ Mỹ Phước</t>
  </si>
  <si>
    <t xml:space="preserve">Hùng Vương </t>
  </si>
  <si>
    <t xml:space="preserve"> No.241200275421</t>
  </si>
  <si>
    <t>trước Bách Hóa Xanh</t>
  </si>
  <si>
    <t>1784 (1780 1781 1783)</t>
  </si>
  <si>
    <t>Trạm CS nội bộ chợ Mỹ Phước (tt)</t>
  </si>
  <si>
    <t>03 - 10</t>
  </si>
  <si>
    <t>1655 1644 1646 1648</t>
  </si>
  <si>
    <t>Trạm CS Tân Hưng 63 Trạm 4</t>
  </si>
  <si>
    <t>Tân Hưng 63-4</t>
  </si>
  <si>
    <t xml:space="preserve"> No.1611391689</t>
  </si>
  <si>
    <t>01 - 11</t>
  </si>
  <si>
    <t>Trạm CS ĐH 611 Trạm 4</t>
  </si>
  <si>
    <t>ĐH611-4</t>
  </si>
  <si>
    <t xml:space="preserve"> No.21083093</t>
  </si>
  <si>
    <t>TT 37 ĐH 611</t>
  </si>
  <si>
    <t>Trạm CS ĐH 611 Trạm 5</t>
  </si>
  <si>
    <t>ĐH611-5</t>
  </si>
  <si>
    <t xml:space="preserve"> No.21031133</t>
  </si>
  <si>
    <t>TT 02 ĐH 611</t>
  </si>
  <si>
    <t>Trạm CS Lai Hưng 17 Trạm 1</t>
  </si>
  <si>
    <t>Lai Hưng 17-1</t>
  </si>
  <si>
    <t xml:space="preserve"> No.251200039688</t>
  </si>
  <si>
    <t>Lai Hưng 17</t>
  </si>
  <si>
    <t>Kế TT 03 Lai Hưng 17</t>
  </si>
  <si>
    <t>1643 (1638)</t>
  </si>
  <si>
    <t>Trạm CS Tân Hưng 22</t>
  </si>
  <si>
    <t>DT 741B</t>
  </si>
  <si>
    <t>Trạm CS Lai Hưng 16 Trạm 2</t>
  </si>
  <si>
    <t>Lai Hưng 17-2</t>
  </si>
  <si>
    <t xml:space="preserve"> No.251200039689</t>
  </si>
  <si>
    <t>HT 19 Lai Hưng 17</t>
  </si>
  <si>
    <t>Trạm CS đường Bìa Lô 2, 3, 4 Trạm 10</t>
  </si>
  <si>
    <t>đường bìa lô 2, 3, 4-10</t>
  </si>
  <si>
    <t xml:space="preserve"> No.1911604765</t>
  </si>
  <si>
    <t>HT 23H-1/8</t>
  </si>
  <si>
    <t>1655 1649 1650</t>
  </si>
  <si>
    <t>Trạm CS Tân Hưng 63 Trạm 5</t>
  </si>
  <si>
    <t>Tân Hưng 63-5</t>
  </si>
  <si>
    <t xml:space="preserve"> No.21016193</t>
  </si>
  <si>
    <t>Trạm CS Lai hưng 19 Trạm 1</t>
  </si>
  <si>
    <t>Lai Hưng 19-1</t>
  </si>
  <si>
    <t xml:space="preserve"> No.211100272508</t>
  </si>
  <si>
    <t>Lai Hưng 19</t>
  </si>
  <si>
    <t>TT01 Lai hưng 19</t>
  </si>
  <si>
    <t>1653 1647</t>
  </si>
  <si>
    <t>Trạm CS đường Tân Hưng 60</t>
  </si>
  <si>
    <t>Tân Hưng 60</t>
  </si>
  <si>
    <t xml:space="preserve"> No.1911596390</t>
  </si>
  <si>
    <t>VP Ấp 1 Tân Hưng</t>
  </si>
  <si>
    <t>Trạm CS Tân Hưng 63 Trạm 6</t>
  </si>
  <si>
    <t>Tân Hưng 63-6</t>
  </si>
  <si>
    <t xml:space="preserve"> No.21072303</t>
  </si>
  <si>
    <t>Trạm CS Lai Hưng 19 Trạm 2</t>
  </si>
  <si>
    <t>Lai Hưng 19-2</t>
  </si>
  <si>
    <t xml:space="preserve"> No.22104988</t>
  </si>
  <si>
    <t>TT13 TBA 13 cầu đôi</t>
  </si>
  <si>
    <t>1638 1655 1651</t>
  </si>
  <si>
    <t>Trạm CS Lai Hưng 33</t>
  </si>
  <si>
    <t>Lai Hưng 33</t>
  </si>
  <si>
    <t xml:space="preserve"> No.1511224248</t>
  </si>
  <si>
    <t>TT T101P đầu đường LH 33</t>
  </si>
  <si>
    <t>Trạm CS Tân Hưng 27</t>
  </si>
  <si>
    <t>Tân Hưng 27</t>
  </si>
  <si>
    <t xml:space="preserve"> No.21039952</t>
  </si>
  <si>
    <t>THT 1/3</t>
  </si>
  <si>
    <t>Trạm CS Tân Hưng 72 (đã đổi thành 50)</t>
  </si>
  <si>
    <t>Tân Hưng 50</t>
  </si>
  <si>
    <t xml:space="preserve"> No.1511111088</t>
  </si>
  <si>
    <t>HT 15-8</t>
  </si>
  <si>
    <t>Trạm CS Lai Hưng 37</t>
  </si>
  <si>
    <t>Lai Hưng 37</t>
  </si>
  <si>
    <t xml:space="preserve"> No.2321001395</t>
  </si>
  <si>
    <t>TT 01 trước cây xăng 213</t>
  </si>
  <si>
    <t>Trạm CS DH 610 Trạm 1</t>
  </si>
  <si>
    <t>ĐH610-T1</t>
  </si>
  <si>
    <t xml:space="preserve"> No.1511288224</t>
  </si>
  <si>
    <t>ĐH 610</t>
  </si>
  <si>
    <t>Trụ HT 1/1</t>
  </si>
  <si>
    <t>Trạm CS Lai Hưng 51</t>
  </si>
  <si>
    <t>Lai Hưng 51</t>
  </si>
  <si>
    <t xml:space="preserve"> No.2321001411</t>
  </si>
  <si>
    <t>TT01 QL13</t>
  </si>
  <si>
    <t>Trạm CS DH 610 Trạm 2</t>
  </si>
  <si>
    <t>ĐH610-T2</t>
  </si>
  <si>
    <t xml:space="preserve"> No.21014704</t>
  </si>
  <si>
    <t>06H HT</t>
  </si>
  <si>
    <t>Trạm CS Lai Hưng 64 Trạm 1</t>
  </si>
  <si>
    <t>Lai Hưng 64-1</t>
  </si>
  <si>
    <t xml:space="preserve"> No.21090156</t>
  </si>
  <si>
    <t>Lai Hưng 64</t>
  </si>
  <si>
    <t>đối diện Lai Hưng 65</t>
  </si>
  <si>
    <t>Trạm CS Lai Hưng 25</t>
  </si>
  <si>
    <t>Lai Hưng 25</t>
  </si>
  <si>
    <t xml:space="preserve"> No.251200039416</t>
  </si>
  <si>
    <t>Trạm CS Lai Hưng 64 Trạm 2</t>
  </si>
  <si>
    <t>Lai Hưng 64-2</t>
  </si>
  <si>
    <t xml:space="preserve"> No.21110047199</t>
  </si>
  <si>
    <t>kế bên Lai Hưng 176</t>
  </si>
  <si>
    <t>Trạm CS Lai Hưng 71 Trạm 1</t>
  </si>
  <si>
    <t>Lai Hưng 71-1</t>
  </si>
  <si>
    <t xml:space="preserve"> No.211100047098</t>
  </si>
  <si>
    <t>Lai Hưng 71</t>
  </si>
  <si>
    <t>kế TT 06 Lai Hưng 71</t>
  </si>
  <si>
    <t>Trạm Cs Lai Hưng 71 Trạm 2</t>
  </si>
  <si>
    <t>Lai Hưng 71-2</t>
  </si>
  <si>
    <t xml:space="preserve"> No.211100047094</t>
  </si>
  <si>
    <t>Trạm CS Lai Hưng 73</t>
  </si>
  <si>
    <t>Lai Hưng 73</t>
  </si>
  <si>
    <t xml:space="preserve"> No.211100272564</t>
  </si>
  <si>
    <t>HT trước Sn 278</t>
  </si>
  <si>
    <t>Trạm CS Lai Hưng 68</t>
  </si>
  <si>
    <t>Lai Hưng 68</t>
  </si>
  <si>
    <t xml:space="preserve"> No.21080714</t>
  </si>
  <si>
    <t>HT 2/3 LH 68</t>
  </si>
  <si>
    <t>Trạm CS Lai Hưng</t>
  </si>
  <si>
    <t xml:space="preserve">Lai Hưng </t>
  </si>
  <si>
    <t xml:space="preserve"> No.21088028</t>
  </si>
  <si>
    <t>SN 226</t>
  </si>
  <si>
    <t>11.190849789020323, 106.62848841647288</t>
  </si>
  <si>
    <t>11.184112687793789, 106.62161166256375</t>
  </si>
  <si>
    <t>11.1437386, 106.5013043</t>
  </si>
  <si>
    <t>MÃ NO/PE</t>
  </si>
  <si>
    <t>chung tủ với Công trường 05 - T2</t>
  </si>
  <si>
    <t>chung tủ với trạm 2 đường Lai Hưng 07</t>
  </si>
  <si>
    <t xml:space="preserve">chung tủ với đường Lai Hưng 38 </t>
  </si>
  <si>
    <t>chung tủ với Trạm CS Lai Hưng 134</t>
  </si>
  <si>
    <t>chung tủ với TVT - đường 18 - T1</t>
  </si>
  <si>
    <t>chung tủ với Lai Uyên 31</t>
  </si>
  <si>
    <t>chung tủ Cây trường 7</t>
  </si>
  <si>
    <t>chung tủ Đ750 tủ 2</t>
  </si>
  <si>
    <t>chung tủ Cây trường 18</t>
  </si>
  <si>
    <t>chung tủ Cây trường 23</t>
  </si>
  <si>
    <t>chung tủ với Cây trường 31</t>
  </si>
  <si>
    <t>chung tủ với  Cây trường 41</t>
  </si>
  <si>
    <t>chung tủ Cây trường 69</t>
  </si>
  <si>
    <t>chung tủ Cây trường 47</t>
  </si>
  <si>
    <t>chung tủ vưới ĐT750-T4</t>
  </si>
  <si>
    <t>chung tủ với TVT đường 10 
1 vị trí 2 đèn</t>
  </si>
  <si>
    <t>chung tủ với TVT đường 8</t>
  </si>
  <si>
    <t>chung tủ với Trạm CS ĐT 741B Trạm 2</t>
  </si>
  <si>
    <t>ĐT 749C</t>
  </si>
  <si>
    <r>
      <t>Loại tủ (</t>
    </r>
    <r>
      <rPr>
        <b/>
        <u/>
        <sz val="13"/>
        <rFont val="Times New Roman"/>
        <family val="1"/>
      </rPr>
      <t>T</t>
    </r>
    <r>
      <rPr>
        <b/>
        <sz val="13"/>
        <rFont val="Times New Roman"/>
        <family val="1"/>
      </rPr>
      <t>hép/</t>
    </r>
    <r>
      <rPr>
        <b/>
        <u/>
        <sz val="13"/>
        <rFont val="Times New Roman"/>
        <family val="1"/>
      </rPr>
      <t xml:space="preserve">
C</t>
    </r>
    <r>
      <rPr>
        <b/>
        <sz val="13"/>
        <rFont val="Times New Roman"/>
        <family val="1"/>
      </rPr>
      <t>omposite)</t>
    </r>
  </si>
  <si>
    <t xml:space="preserve">PHÂN CẤP SƠ BỘ </t>
  </si>
  <si>
    <t>Định vị TĐK</t>
  </si>
  <si>
    <t>1511186022</t>
  </si>
  <si>
    <t>No1511113972</t>
  </si>
  <si>
    <t xml:space="preserve">MÃ PE </t>
  </si>
  <si>
    <t>STT</t>
  </si>
  <si>
    <t>Mã khách nhàng</t>
  </si>
  <si>
    <t>Tên khách hàng</t>
  </si>
  <si>
    <t>Địa chỉ hóa đơn</t>
  </si>
  <si>
    <t>Số công tơ</t>
  </si>
  <si>
    <t>Địa chỉ điểm đo</t>
  </si>
  <si>
    <t>Mã địa chính</t>
  </si>
  <si>
    <t>Chiếu sáng chính quy</t>
  </si>
  <si>
    <t>Nợ tiền điện</t>
  </si>
  <si>
    <t>Tiền điện còn nợ</t>
  </si>
  <si>
    <t>PB04040000251</t>
  </si>
  <si>
    <t>Phòng Quản lý đô thị thành phố Bến Cát</t>
  </si>
  <si>
    <t xml:space="preserve"> Khu phố 2, Phường Bến Cát, Thành phố Hồ Chí Minh, Việt Nam</t>
  </si>
  <si>
    <t>Trạm Thống Kê, Phường Bến Cát, Thành phố Hồ Chí Minh</t>
  </si>
  <si>
    <t>Phường Bến Cát</t>
  </si>
  <si>
    <t>Led Nổi</t>
  </si>
  <si>
    <t>PB04040035444</t>
  </si>
  <si>
    <t xml:space="preserve"> Khu phố 2, Phường Bến Cát, Thành phố Hồ Chí Minh</t>
  </si>
  <si>
    <t>Trạm KDC Lò Đường, Phường Bến Cát, Thành phố Hồ Chí Minh</t>
  </si>
  <si>
    <t>Đèn đường</t>
  </si>
  <si>
    <t>Led/Nổi</t>
  </si>
  <si>
    <t>PB04040019467</t>
  </si>
  <si>
    <t>Trạm Lò Đường, Phường Bến Cát, Thành phố Hồ Chí Minh</t>
  </si>
  <si>
    <t>HPS/Ngầm</t>
  </si>
  <si>
    <t>PB04040015442</t>
  </si>
  <si>
    <t>Trạm 1 KDC MP1, Phường Bến Cát, Thành phố Hồ Chí Minh</t>
  </si>
  <si>
    <t>PB04040018288</t>
  </si>
  <si>
    <t>Trạm 2 KTĐC MP2, Phường Bến Cát, Thành phố Hồ Chí Minh</t>
  </si>
  <si>
    <t>PB04040040305</t>
  </si>
  <si>
    <t>Trạm Chiếu Sáng Ấp Mới, Phường Bến Cát, Thành phố Hồ Chí Minh</t>
  </si>
  <si>
    <t>PB04040016649</t>
  </si>
  <si>
    <t>Trạm Chiếu Sáng CT2, Phường Bến Cát, Thành phố Hồ Chí Minh</t>
  </si>
  <si>
    <t>Led/Ngầm</t>
  </si>
  <si>
    <t>PB04040098381</t>
  </si>
  <si>
    <t>Trụ 07/II2+1-DT hh Nr Bến Tranh 1 Tuyến 471 Tổng Dù Trạm CS Cầu Đò 2 (I.15), Phường Bến Cát, Thành phố Hồ Chí Minh</t>
  </si>
  <si>
    <t>PB04040098379</t>
  </si>
  <si>
    <t>Trụ 08/PI T+1-DT hh Nr An Điền Thùng Thơ Tuyến 472 Chú Lường Trạm CS Cầu Đò 1 (I.15), Phường Bến Cát, Thành phố Hồ Chí Minh</t>
  </si>
  <si>
    <t>PB04040051514</t>
  </si>
  <si>
    <t>Trạm Chiếu Sáng Cống Bà Phủ, Phường Bến Cát, Thành phố Hồ Chí Minh</t>
  </si>
  <si>
    <t>NO 25901633</t>
  </si>
  <si>
    <t>PB04040007290</t>
  </si>
  <si>
    <t>Trạm Chiếu Sáng lộ 7B, Phường Bến Cát, Thành phố Hồ Chí Minh</t>
  </si>
  <si>
    <t>PB04040046588</t>
  </si>
  <si>
    <t>Khu phố 2, Phường Bến Cát, Thành phố Hồ Chí Minh</t>
  </si>
  <si>
    <t>PB04040007291</t>
  </si>
  <si>
    <t>Phòng Quản lý Đô thị Thị xã Bến Cát</t>
  </si>
  <si>
    <t>PB04040000825</t>
  </si>
  <si>
    <t>Trạm VP UBND, Phường Bến Cát, Thành phố Hồ Chí Minh</t>
  </si>
  <si>
    <t>PB04040064027</t>
  </si>
  <si>
    <t>PB04040012738</t>
  </si>
  <si>
    <t>PB04040097198</t>
  </si>
  <si>
    <t>Trụ 08 Trạm KDC Hàng Vú Sữa, Phường Bến Cát, Thành phố Hồ Chí Minh</t>
  </si>
  <si>
    <t>Chưa tìm ra tủ sử
 dụng điện kế</t>
  </si>
  <si>
    <t>PB04040081065</t>
  </si>
  <si>
    <t>Mỹ Phước, Phường Bến Cát, Thành phố Hồ Chí Minh</t>
  </si>
  <si>
    <t>đèn công viên
 tượng đài bến cát</t>
  </si>
  <si>
    <t>PB04040073205</t>
  </si>
  <si>
    <t>Trạm KDC Hàng vú Sữa, Phường Bến Cát, Thành phố Hồ Chí Minh</t>
  </si>
  <si>
    <t>PB04040073216</t>
  </si>
  <si>
    <t>Đèn pha chiếu sáng
quảng trường bến cát</t>
  </si>
  <si>
    <t>PB04040053485</t>
  </si>
  <si>
    <t>Trạm Cầu Quan, Phường Bến Cát, Thành phố Hồ Chí Minh</t>
  </si>
  <si>
    <t>PB04040090506</t>
  </si>
  <si>
    <t>Phòng Quản lý đô thị Bến Cát</t>
  </si>
  <si>
    <t xml:space="preserve"> Phường Mỹ PhướcTX.Bến Cát, Phường Bến Cát, Thành phố Hồ Chí Minh</t>
  </si>
  <si>
    <t>Trụ 1A1/1 Trạm 2 KDC MP3, Phường Bến Cát, Thành phố Hồ Chí Minh</t>
  </si>
  <si>
    <t>HPS/Nổi</t>
  </si>
  <si>
    <t>PB04040062734</t>
  </si>
  <si>
    <t>Trạm 3 KDC MP3, Phường Bến Cát, Thành phố Hồ Chí Minh</t>
  </si>
  <si>
    <t>PB04040005256</t>
  </si>
  <si>
    <t>Trạm Nguyễn Văn Lên, Phường Bến Cát, Thành phố Hồ Chí Minh</t>
  </si>
  <si>
    <t>PB04040015283</t>
  </si>
  <si>
    <t>PB04040005200</t>
  </si>
  <si>
    <t>Trạm Vật Tư, Phường Bến Cát, Thành phố Hồ Chí Minh</t>
  </si>
  <si>
    <t>PB04040069917</t>
  </si>
  <si>
    <t>Trạm TĐC Vườn Tiêu, Phường Bến Cát, Thành phố Hồ Chí Minh</t>
  </si>
  <si>
    <t>PB04040000252</t>
  </si>
  <si>
    <t>Trạm 163 Kiến An, Phường Bến Cát, Thành phố Hồ Chí Minh</t>
  </si>
  <si>
    <t>PB04040097197</t>
  </si>
  <si>
    <t>Tủ T2/MSB 2-4 Trạm 2 TTVH Bến Cát, Phường Bến Cát, Thành phố Hồ Chí Minh</t>
  </si>
  <si>
    <t>PB04040079705</t>
  </si>
  <si>
    <t>Đèn đa sắc
 vòng xoay bến cát</t>
  </si>
  <si>
    <t>PB04040080809</t>
  </si>
  <si>
    <t>UBND Phường Mỹ Phước</t>
  </si>
  <si>
    <t xml:space="preserve"> Trụ 1A- 2 Trạm 07 Bến Tranh, Phường Bến Cát, Thành phố Hồ Chí Minh</t>
  </si>
  <si>
    <t>Trụ 1A- 2 Trạm 07 Bến Tranh, Phường Bến Cát, Thành phố Hồ Chí Minh</t>
  </si>
  <si>
    <t>Không có điện kế (Loa phường)</t>
  </si>
  <si>
    <t>PB04040076710</t>
  </si>
  <si>
    <t xml:space="preserve"> phường Mỹ Phước, Thị, Phường Bến Cát, Thành phố Hồ Chí Minh</t>
  </si>
  <si>
    <t>PB04040076711</t>
  </si>
  <si>
    <t>PB04040095513</t>
  </si>
  <si>
    <t>UBND phường Mỹ Phước</t>
  </si>
  <si>
    <t xml:space="preserve"> Phường Mỹ Phước, Thị, Phường Bến Cát, Thành phố Hồ Chí Minh, Việt Nam</t>
  </si>
  <si>
    <t>Trụ 05 Trạm Bến Tranh 2, Phường Bến Cát, Thành phố Hồ Chí Minh</t>
  </si>
  <si>
    <t>Không có điện kế</t>
  </si>
  <si>
    <t>PB04040094586</t>
  </si>
  <si>
    <t>Trụ 1A-3 Trạm Thống Kê, Phường Bến Cát, Thành phố Hồ Chí Minh</t>
  </si>
  <si>
    <t>PB04040094066</t>
  </si>
  <si>
    <t xml:space="preserve"> Trụ 2.2-1 Trạm Thống Kê, Phường Bến Cát, Thành phố Hồ Chí Minh</t>
  </si>
  <si>
    <t>Trụ 2.2-1 Trạm Thống Kê, Phường Bến Cát, Thành phố Hồ Chí Minh</t>
  </si>
  <si>
    <t>Đèn compat dân lập (không có tủ đk)</t>
  </si>
  <si>
    <t>PB04040080810</t>
  </si>
  <si>
    <t xml:space="preserve"> Trụ 2A-1 Trạm Ngân Hàng Trạm Ngân Hàng, Phường Bến Cát, Thành phố Hồ Chí Minh</t>
  </si>
  <si>
    <t>Trụ 2A-1 Trạm KDC Lò Đường, Phường Bến Cát, Thành phố Hồ Chí Minh</t>
  </si>
  <si>
    <t>Không tìm thấy điện kế</t>
  </si>
  <si>
    <t>PB04040076223</t>
  </si>
  <si>
    <t>Văn phòng Khu Phố 2 Phường Mỹ Phước</t>
  </si>
  <si>
    <t xml:space="preserve"> Trụ 1A-2Trạm KDC Lò Đường, Phường Bến Cát, Thành phố Hồ Chí Minh</t>
  </si>
  <si>
    <t>Trụ 1A-2 Trạm KDC Lò Đường, Phường Bến Cát, Thành phố Hồ Chí Minh</t>
  </si>
  <si>
    <t>PB04040091639</t>
  </si>
  <si>
    <t xml:space="preserve"> Phường Mỹ PhướcThị, Phường Bến Cát, Thành phố Hồ Chí Minh</t>
  </si>
  <si>
    <t>Trụ 2A-3 Trạm KDC Lò Đường, Phường Bến Cát, Thành phố Hồ Chí Minh</t>
  </si>
  <si>
    <t>PB04040080818</t>
  </si>
  <si>
    <t xml:space="preserve"> Trụ 3-6 Trạm Lò Đường, Phường Bến Cát, Thành phố Hồ Chí Minh</t>
  </si>
  <si>
    <t>Trụ 3-6 Trạm Lò Đường, Phường Bến Cát, Thành phố Hồ Chí Minh</t>
  </si>
  <si>
    <t>PB04040080821</t>
  </si>
  <si>
    <t xml:space="preserve"> Quốc lộ 13,  Khu phố 4, Phường Bến Cát, Thành phố Hồ Chí Minh</t>
  </si>
  <si>
    <t>Trụ 1B2/2 Trạm Lò Đường, Phường Bến Cát, Thành phố Hồ Chí Minh</t>
  </si>
  <si>
    <t>PE19000001249</t>
  </si>
  <si>
    <t>Phòng Kinh tế, Hạ tầng và Đô thị phường Bến Cát</t>
  </si>
  <si>
    <t>Số 257, đường 30/4,  Khu Phố Mỹ Phước, Phường Bến Cát, Thành Phố Hồ Chí Minh</t>
  </si>
  <si>
    <t>Trụ 02 Trạm Lò Đường</t>
  </si>
  <si>
    <t>PB04040019527</t>
  </si>
  <si>
    <t>Công ty Cổ Phần Phát Triển Hạ Tầng Kỹ Thuật</t>
  </si>
  <si>
    <t xml:space="preserve"> Số 230 Đại lộ Bình Dương, Phường Phú Lợi, Thành phố Hồ Chí Minh, Việt Nam</t>
  </si>
  <si>
    <t>Số 230 Đại lộ Bình Dương, Phường Phú Lợi, Thành phố Hồ Chí Minh, Việt Nam</t>
  </si>
  <si>
    <t>Becamax IIC</t>
  </si>
  <si>
    <t>PB04040019725</t>
  </si>
  <si>
    <t>PB04040092252</t>
  </si>
  <si>
    <t xml:space="preserve"> Phường Bến Cát, Thành phố Hồ Chí Minh</t>
  </si>
  <si>
    <t>Trụ 1A-1 Trạm Bơm Đồi 29, Phường Bến Cát, Thành phố Hồ Chí Minh</t>
  </si>
  <si>
    <t>PB04040095518</t>
  </si>
  <si>
    <t>Trụ 08 Trạm Bơm Đồi 29, Phường Bến Cát, Thành phố Hồ Chí Minh</t>
  </si>
  <si>
    <t>PE19000001802</t>
  </si>
  <si>
    <t>Phòng Kinh tế, Hạ tầng và Đô thị Phường Bến Cát</t>
  </si>
  <si>
    <t xml:space="preserve"> Số 257,  đường 30/4,  Khu Phố Mỹ Phước, Phường Bến Cát, Thành phố Hồ Chí Minh</t>
  </si>
  <si>
    <t>Trụ 1A-4 Trạm Bơm Đồi 29, Phường Bến Cát, Thành phố Hồ Chí Minh</t>
  </si>
  <si>
    <t>PB04040095517</t>
  </si>
  <si>
    <t>Trụ 1B-2 Trạm 06B Đồi 29, Phường Bến Cát, Thành phố Hồ Chí Minh</t>
  </si>
  <si>
    <t>PB04040086060</t>
  </si>
  <si>
    <t>Số 257, đường 30/4, Khu Phố Mỹ Phước, Phường Bến Cát, Thành Phố Hồ Chí Minh</t>
  </si>
  <si>
    <t>Trụ 1-1 Trạm Thầy Khôi, Phường Bến Cát, Thành Phố Hồ Chí Minh</t>
  </si>
  <si>
    <t>PB04040082436</t>
  </si>
  <si>
    <t xml:space="preserve"> Trụ 02 Trạm Thầy Tri, Phường Bến Cát, Thành phố Hồ Chí Minh</t>
  </si>
  <si>
    <t>Trụ 02 Trạm Thầy Tri, Phường Bến Cát, Thành phố Hồ Chí Minh</t>
  </si>
  <si>
    <t>PB04040080823</t>
  </si>
  <si>
    <t xml:space="preserve"> Trụ 1-4 Trạm Thầy Tri, Phường Bến Cát, Thành phố Hồ Chí Minh</t>
  </si>
  <si>
    <t>Trụ 1-4 Trạm Thầy Tri, Phường Bến Cát, Thành phố Hồ Chí Minh</t>
  </si>
  <si>
    <t>PB04040095516</t>
  </si>
  <si>
    <t>Trụ 1E-1 Trạm Thầy Tri, Phường Bến Cát, Thành phố Hồ Chí Minh</t>
  </si>
  <si>
    <t>PB04040019528</t>
  </si>
  <si>
    <t>Phường Bến Cát, Thành Phố Hồ Chí Minh</t>
  </si>
  <si>
    <t>PB04040096805</t>
  </si>
  <si>
    <t>Tủ TA/7 -Trạm Vật Tư, Phường Bến Cát, Thành phố Hồ Chí Minh</t>
  </si>
  <si>
    <t>PB04040096472</t>
  </si>
  <si>
    <t xml:space="preserve">Tủ TA-6 Trạm Vật Tư, Phường Bến Cát, Thành phố Hồ Chí Minh </t>
  </si>
  <si>
    <t>PB04040095519</t>
  </si>
  <si>
    <t>Trụ 1D-2 Trạm 23 Chánh Phú Hòa, Phường Bến Cát, Thành phố Hồ Chí Minh</t>
  </si>
  <si>
    <t>PB04040092022</t>
  </si>
  <si>
    <t>Trụ 1C-1 Trạm 25 Chánh Phú Hòa (Ấp 3 MP C), Phường Bến Cát, Thành phố Hồ Chí Minh</t>
  </si>
  <si>
    <t>PB04040092238</t>
  </si>
  <si>
    <t>Trụ 1D-4 Trạm 25 Chánh Phú Hòa( Ấp 3 MPC), Phường Bến Cát, Thành phố Hồ Chí Minh</t>
  </si>
  <si>
    <t>PB04040099681</t>
  </si>
  <si>
    <t>Trụ 1A-6 Trạm 25 CPH (Ấp 3 Mỹ Phước C) (11°09'21.7"N 106°36'44.8"E), Phường Bến Cát, Thành phố Hồ Chí Minh</t>
  </si>
  <si>
    <t>PB04040076708</t>
  </si>
  <si>
    <t>Phường Bến Cát, Thành phố Hồ Chí Minh</t>
  </si>
  <si>
    <t>PB04040099678</t>
  </si>
  <si>
    <t>Trụ 1A-3 Trạm Đập Cây Chay (11°09'26.6"N 106°37'27.6"E), Phường Bến Cát, Thành phố Hồ Chí Minh</t>
  </si>
  <si>
    <t>PB04040070958</t>
  </si>
  <si>
    <t>PB04040099680</t>
  </si>
  <si>
    <t>Trụ 3-4 Trạm 46B Chánh Phú Hòa (11°09'12.7"N 106°37'18.6"E), Phường Bến Cát, Thành phố Hồ Chí Minh</t>
  </si>
  <si>
    <t>PB04040092237</t>
  </si>
  <si>
    <t>Trụ 57B Trạm 54 Chánh Phú Hòa ( Ấp 3 MPD), Phường Bến Cát, Thành phố Hồ Chí Minh</t>
  </si>
  <si>
    <t>PB04040098272</t>
  </si>
  <si>
    <t>Trụ 52b Trạm 54 Chánh Phú Hoà (11°08'57.8"N 106°37'28.0"E), Phường Bến Cát, Thành phố Hồ Chí Minh</t>
  </si>
  <si>
    <t xml:space="preserve">Đèn compat dân lập </t>
  </si>
  <si>
    <t>PB04040099679</t>
  </si>
  <si>
    <t>Trụ 1A-2 Trạm 54 CPH ( Ấp 3 MP D) (11°08'51.8"N 106°37'39.4"E), Phường Bến Cát, Thành phố Hồ Chí Minh</t>
  </si>
  <si>
    <t>PB04040080817</t>
  </si>
  <si>
    <t xml:space="preserve"> Trụ 1A- 4 Trạm 36 Chánh Phú Hòa (33CPH), Phường Bến Cát, Thành phố Hồ Chí Minh</t>
  </si>
  <si>
    <t>Trụ 1A- 4 Trạm 36 Chánh Phú Hòa (33CPH), Phường Bến Cát, Thành phố Hồ Chí Minh</t>
  </si>
  <si>
    <t>PB04040095520</t>
  </si>
  <si>
    <t>Trụ 1B-1 Trạm 36 Chánh Phú Hòa (33 CPH), Phường Bến Cát, Thành phố Hồ Chí Minh</t>
  </si>
  <si>
    <t>PB04040098273</t>
  </si>
  <si>
    <t>Trụ 33.1 Trạm 34 Chánh Phú Hoà (11°09'12.3"N 106°36'52.8"E), Phường Bến Cát, Thành phố Hồ Chí Minh</t>
  </si>
  <si>
    <t>PB04040095521</t>
  </si>
  <si>
    <t>Trụ 1-1 Trạm TTND P.Mỹ Phước (Đồng), Phường Bến Cát, Thành phố Hồ Chí Minh</t>
  </si>
  <si>
    <t>PB04040092255</t>
  </si>
  <si>
    <t>Trụ 1A-1 Trạm Ấp 6-1 Thới Hòa, Phường Bến Cát, Thành phố Hồ Chí Minh</t>
  </si>
  <si>
    <t>PB04040095523</t>
  </si>
  <si>
    <t>Trụ 14B.1 Trạm Ấp 6-1 Thới Hòa (14B Bến Ván), Phường Bến Cát, Thành phố Hồ Chí Minh</t>
  </si>
  <si>
    <t>PB04040074042</t>
  </si>
  <si>
    <t>PB04040086059</t>
  </si>
  <si>
    <t xml:space="preserve"> Phường Bến Cát, Thành Phố Hồ Chí Minh</t>
  </si>
  <si>
    <t>PB04040080820</t>
  </si>
  <si>
    <t xml:space="preserve"> Trụ 1D-3 Trạm Vường Tiêu, Phường Bến Cát, Thành phố Hồ Chí Minh</t>
  </si>
  <si>
    <t>Trụ 1D-3 Trạm Vường Tiêu, Phường Bến Cát, Thành phố Hồ Chí Minh</t>
  </si>
  <si>
    <t>PB04040080822</t>
  </si>
  <si>
    <t xml:space="preserve"> Trụ 3-7 Trạm Vườn Tiêu, Phường Bến Cát, Thành phố Hồ Chí Minh</t>
  </si>
  <si>
    <t>Trụ 3-7 Trạm Vườn Tiêu, Phường Bến Cát, Thành phố Hồ Chí Minh</t>
  </si>
  <si>
    <t>PB04040086061</t>
  </si>
  <si>
    <t>PB04040074045</t>
  </si>
  <si>
    <t>PB04040076709</t>
  </si>
  <si>
    <t>PB04040095515</t>
  </si>
  <si>
    <t>Trụ 1D-8 Trạm TĐC Vườn Tiêu, Phường Bến Cát, Thành phố Hồ Chí Minh</t>
  </si>
  <si>
    <t>PB04040095514</t>
  </si>
  <si>
    <t>Trụ 1B-2 Trạm TĐC Vườn Tiêu, Phường Bến Cát, Thành phố Hồ Chí Minh</t>
  </si>
  <si>
    <t>PB04040096804</t>
  </si>
  <si>
    <t>Trụ 1D-3 Trạm TĐC Vườn Tiêu, Phường Bến Cát, Thành phố Hồ Chí Minh</t>
  </si>
  <si>
    <t>Đèn compat tạm (xã hội hóa)</t>
  </si>
  <si>
    <t>PB04040098274</t>
  </si>
  <si>
    <t>Trụ 1C-5 Trạm TĐC Vườn Tiêu (11°09'20.7"N 106°34'44.0"E), Phường Bến Cát, Thành phố Hồ Chí Minh</t>
  </si>
  <si>
    <t>PB04040092254</t>
  </si>
  <si>
    <t>Trụ 1B-3 Trạm 2 Ấp 4 Mỹ Phước A, Phường Bến Cát, Thành phố Hồ Chí Minh</t>
  </si>
  <si>
    <t>PB04040080814</t>
  </si>
  <si>
    <t xml:space="preserve"> Trụ A3(8-2) Trạm Ấp 4 Mỹ Phước C, Phường Bến Cát, Thành phố Hồ Chí Minh</t>
  </si>
  <si>
    <t>Trụ A3(8-2) Trạm Ấp 4 Mỹ Phước C, Phường Bến Cát, Thành phố Hồ Chí Minh</t>
  </si>
  <si>
    <t>PB04040086055</t>
  </si>
  <si>
    <t>Trụ 1B-3 Trạm Ấp 4 Mỹ Phước C, Phường Bến Cát, Thành Phố Hồ Chí Minh</t>
  </si>
  <si>
    <t>PB04040019526</t>
  </si>
  <si>
    <t>PB04040080813</t>
  </si>
  <si>
    <t xml:space="preserve"> Trụ 1B-3 Trạm Ấp 4 Mỹ Phước C-1, Phường Bến Cát, Thành phố Hồ Chí Minh</t>
  </si>
  <si>
    <t>Trụ 1B-3 Trạm Ấp 4 Mỹ Phước C-1, Phường Bến Cát, Thành phố Hồ Chí Minh</t>
  </si>
  <si>
    <t>PB04040086056</t>
  </si>
  <si>
    <t>PB04040098275</t>
  </si>
  <si>
    <t>Trụ 160B/03b Trạm 02-TC3 Mỹ Phước (11°08'27.9"N 106°36'17.4"E), Phường Bến Cát, Thành phố Hồ Chí Minh</t>
  </si>
  <si>
    <t>PE19000001806</t>
  </si>
  <si>
    <t>Trụ 1A-1 Trạm Ấp 4 Mỹ Phước B, Phường Bến Cát, Thành phố Hồ Chí Minh</t>
  </si>
  <si>
    <t>PE19000001245</t>
  </si>
  <si>
    <t>Trụ 1A-1 Trạm ấp 4 Mỹ Phước B, Phường Bến Cát, Thành phố Hồ Chí Minh</t>
  </si>
  <si>
    <t>PB04040082305</t>
  </si>
  <si>
    <t>Công An Phường Mỹ Phước</t>
  </si>
  <si>
    <t xml:space="preserve"> KCN Mỹ Phước 1,  Đường D1,  Khu phố 4, Phường Bến Cát, Thành phố Hồ Chí Minh</t>
  </si>
  <si>
    <t>Trụ 06 Trạm 3 KTĐC Mỹ Phước 2, Phường Bến Cát, Thành phố Hồ Chí Minh</t>
  </si>
  <si>
    <t>PB04040092236</t>
  </si>
  <si>
    <t xml:space="preserve"> Phường Bến Cát, Thành phố Hồ Chí Minh </t>
  </si>
  <si>
    <t>Trụ 1C-1 Trạm Ấp 3 Mỹ Phước, Phường Bến Cát, Thành phố Hồ Chí Minh</t>
  </si>
  <si>
    <t>PB04040095522</t>
  </si>
  <si>
    <t>Trụ 1A-2 Trạm Ấp 3 Mỹ Phước 1, Phường Bến Cát, Thành phố Hồ Chí Minh</t>
  </si>
  <si>
    <t>PB04040032030</t>
  </si>
  <si>
    <t>PB04040070959</t>
  </si>
  <si>
    <t>PB04040076713</t>
  </si>
  <si>
    <t>PB04040068260</t>
  </si>
  <si>
    <t>Công ty Cổ Phần Xây dựng và Giao Thông Bình Dương</t>
  </si>
  <si>
    <t>Lô G Đường Đồng Khởi, Phường Bình Dương, Thành phố Hồ Chí Minh, Việt Nam.</t>
  </si>
  <si>
    <t>Mỹ Phước, Phường Bến Cát, Thành Phố Hồ Chí Minh</t>
  </si>
  <si>
    <t>PB04040068259</t>
  </si>
  <si>
    <t>Công ty Cổ Phần Xây Dựng và Giao Thông Bình Dương</t>
  </si>
  <si>
    <t>PB04040080819</t>
  </si>
  <si>
    <t xml:space="preserve"> Trụ 1A- 3 Trạm Tin lành, Phường Bến Cát, Thành phố Hồ Chí Minh</t>
  </si>
  <si>
    <t>Trụ 1A- 3 Trạm Tin lành, Phường Bến Cát, Thành phố Hồ Chí Minh</t>
  </si>
  <si>
    <t>PB04040049971</t>
  </si>
  <si>
    <t>Công An Tỉnh Bình Dương</t>
  </si>
  <si>
    <t xml:space="preserve"> Trạm Tin Lành, Phường Bến Cát, Thành phố Hồ Chí Minh</t>
  </si>
  <si>
    <t>Trụ 164 Trạm Tin Lành, Phường Bến Cát, Thành phố Hồ Chí Minh</t>
  </si>
  <si>
    <t>PB04040092019</t>
  </si>
  <si>
    <t>Trụ 1A4-2 Trạm Nguyễn Văn Lên, Phường Bến Cát, Thành phố Hồ Chí Minh</t>
  </si>
  <si>
    <t>Đèn dân sinh 
nghĩa trang</t>
  </si>
  <si>
    <t>PB04040099684</t>
  </si>
  <si>
    <t>Trụ 1A-3 Trạm Nguyễn Văn Lên (11°09'39.5"N 106°35'32.2"E), Phường Bến Cát, Thành phố Hồ Chí Minh</t>
  </si>
  <si>
    <t>PB04040100870</t>
  </si>
  <si>
    <t>Trụ 01B Trạm Nguyễn Văn Lên (11°09'46.4"N 106°35'32.6"E), Phường Bến Cát, Thành phố Hồ Chí Minh</t>
  </si>
  <si>
    <t>PB04040080811</t>
  </si>
  <si>
    <t xml:space="preserve"> Trụ 1-17 Trạm 9 ĐT Mỹ Phước 2, Phường Bến Cát, Thành phố Hồ Chí Minh</t>
  </si>
  <si>
    <t>Trụ 1-17 Trạm 9 ĐT Mỹ Phước 2, Phường Bến Cát, Thành phố Hồ Chí Minh</t>
  </si>
  <si>
    <t>Không có tủ điều khiển</t>
  </si>
  <si>
    <t>PB04040093673</t>
  </si>
  <si>
    <t>Phòng quản lý đô thị Bến Cát</t>
  </si>
  <si>
    <t>PB04040065806</t>
  </si>
  <si>
    <t>Trung Tâm Văn Hóa, Thể Thao và Truyền thanh Thành phố Bến Cát</t>
  </si>
  <si>
    <t>PB04040094765</t>
  </si>
  <si>
    <t>Trụ 2-3 Trạm KDC Hàng Vú Sữa, Phường Bến Cát, Thành phố Hồ Chí Minh</t>
  </si>
  <si>
    <t>PB04040076712</t>
  </si>
  <si>
    <t>PB04040094764</t>
  </si>
  <si>
    <t>Trụ 1-1 Trạm KDC Hàng Vú Sữa, Phường Bến Cát, Thành phố Hồ Chí Minh</t>
  </si>
  <si>
    <t>PB04040099685</t>
  </si>
  <si>
    <t>Trụ 2B-4 Trạm KDC Hàng Vú Sữa (11°08'53.3"N 106°35'31.0"E), Phường Bến Cát, Thành phố Hồ Chí Minh</t>
  </si>
  <si>
    <t>PB04040097680</t>
  </si>
  <si>
    <t>Quốc lộ 13,  Khu phố 4, Phường Bến Cát, Thành phố Hồ Chí Minh</t>
  </si>
  <si>
    <t>Tủ 2.4-4 Trạm Cầu Quan(11°09'13.0"N 106°35'16.8"E), Phường Bến Cát, Thành phố Hồ Chí Minh</t>
  </si>
  <si>
    <t>PE19000001248</t>
  </si>
  <si>
    <t>Trụ 2D-7 Trạm Cầu Quan, Phường Bến Cát, Thành phố Hồ Chí Minh</t>
  </si>
  <si>
    <t>PB04040101348</t>
  </si>
  <si>
    <t>Tủ T2.2-4 Trạm Cầu Quan (11°09'12.4"N 106°35'24.2"E), Phường Bến Cát, Thành phố Hồ Chí Minh</t>
  </si>
  <si>
    <t>PB04040101349</t>
  </si>
  <si>
    <t>Trụ 1B.2 Trạm Cầu Quan (11°09'15.0"N 106°35'18.7"E), Phường Bến Cát, Thành phố Hồ Chí Minh</t>
  </si>
  <si>
    <t>PB04040098068</t>
  </si>
  <si>
    <t>Trụ 1C-1 Trạm Cầu Quan (11°09'14.3"N 106°35'08.0"E), Phường Bến Cát, Thành phố Hồ Chí Minh</t>
  </si>
  <si>
    <t>PE19000001250</t>
  </si>
  <si>
    <t>Trụ 1D-2 Trạm Cầu Quan 2, Phường Bến Cát, Thành phố Hồ Chí Minh</t>
  </si>
  <si>
    <t>PE19000001252</t>
  </si>
  <si>
    <t>Tủ T2.2-4.2 Trạm Cầu Quan, Phường Bến Cát, Thành Phố Hồ Chí Minh</t>
  </si>
  <si>
    <t>PB04040092253</t>
  </si>
  <si>
    <t>Trụ 1A-1 Trạm Honda Hùng Phường Bến Cát, Thành phố Hồ Chí Minh</t>
  </si>
  <si>
    <t xml:space="preserve">Không có điện kế </t>
  </si>
  <si>
    <t>PB04040095585</t>
  </si>
  <si>
    <t>Trụ 1A-4 Trạm 163 Kiến An Phường Bến Cát, Thành phố Hồ Chí Minh</t>
  </si>
  <si>
    <t>PB04040080808</t>
  </si>
  <si>
    <t xml:space="preserve"> Trụ T1-B9 Trạm 1 KDC Đập Cây Chay, Phường Bến Cát, Thành phố Hồ Chí Minh</t>
  </si>
  <si>
    <t>Trụ T1-B9 Trạm 1 KDC Đập Cây Chay, Phường Bến Cát, Thành phố Hồ Chí Minh</t>
  </si>
  <si>
    <t>PB04040086062</t>
  </si>
  <si>
    <t>Trụ 1D-2 Trạm Chánh Phú Hòa 1, Phường Bến Cát, Thành Phố Hồ Chí Minh</t>
  </si>
  <si>
    <t>PE19000004311</t>
  </si>
  <si>
    <t>Ban Quản Lý Dự Án Đầu Tư Xây Dựng Khu Vực Bến Cát</t>
  </si>
  <si>
    <t>Khu phố Mỹ Phước,  Phường Bến Cát, Thành phố Hồ Chí Minh,Việt Nam</t>
  </si>
  <si>
    <t>Trụ 77 Trạm Chánh Phú Hòa 1A</t>
  </si>
  <si>
    <t>PB04040080816</t>
  </si>
  <si>
    <t xml:space="preserve"> Trụ 06 Trạm 09 Vĩnh Tường, Phường Bến Cát, Thành phố Hồ Chí Minh</t>
  </si>
  <si>
    <t>Trụ 06 Trạm 09 Vĩnh Tường, Phường Bến Cát, Thành phố Hồ Chí Minh</t>
  </si>
  <si>
    <t>PB04040080815</t>
  </si>
  <si>
    <t xml:space="preserve"> Trụ 1B-5 Trạm Lò Gạch, Phường Bến Cát, Thành phố Hồ Chí Minh</t>
  </si>
  <si>
    <t>Trụ 1B-5 Trạm Lò Gạch, Phường Bến Cát, Thành phố Hồ Chí Minh</t>
  </si>
  <si>
    <t>PE19000001246</t>
  </si>
  <si>
    <t>Trụ 02B Trạm 11A Mỹ Phước, Phường Bến Cát, Thành phố Hồ Chí Minh</t>
  </si>
  <si>
    <t>PB04040071449</t>
  </si>
  <si>
    <t>PB04040074044</t>
  </si>
  <si>
    <t>PB04040086058</t>
  </si>
  <si>
    <t>Trụ 1B-2 Trạm 02 Ấp Mới, Phường Bến Cát, Thành phố Hồ Chí Minh</t>
  </si>
  <si>
    <t>PB04040076707</t>
  </si>
  <si>
    <t>PB04040097067</t>
  </si>
  <si>
    <t>Trụ 1-6 Trạm Ấp Mới 2, Phường Bến Cát, Thành phố Hồ Chí Minh</t>
  </si>
  <si>
    <t>PB04040099682</t>
  </si>
  <si>
    <t>Trụ 1A-2 Trạm Ấp Mới 2 (11°09'45.6"N 106°36'15.4"E), Phường Bến Cát, Thành phố Hồ Chí Minh</t>
  </si>
  <si>
    <t>PB04040099683</t>
  </si>
  <si>
    <t>Trụ 1-17 Trạm Ấp Mới 2 (11°09'50.3"N 106°36'30.9"E), Phường Bến Cát, Thành phố Hồ Chí Minh</t>
  </si>
  <si>
    <t>PB04040071448</t>
  </si>
  <si>
    <t>PB04040074046</t>
  </si>
  <si>
    <t>PB04040052186</t>
  </si>
  <si>
    <t>VP Ban Nghi Lễ Cao Đài</t>
  </si>
  <si>
    <t xml:space="preserve"> Trụ 1D-5Trạm 11A Mỹ Phước, Phường Bến Cát, Thành phố Hồ Chí Minh</t>
  </si>
  <si>
    <t>Thị trấn Mỹ Phước, Phường Bến Cát, Thành phố Hồ Chí Minh</t>
  </si>
  <si>
    <t>PE19000001247</t>
  </si>
  <si>
    <t>Trụ 20 Trạm 26 Mỹ Phước, Phường Bến Cát, Thành phố Hồ Chí Minh</t>
  </si>
  <si>
    <t>PB04040086057</t>
  </si>
  <si>
    <t>Trụ 1D-3 Trạm Ấp Mới 3, Phường Bến Cát, Thành Phố Hồ Chí Minh</t>
  </si>
  <si>
    <t>PB04040074043</t>
  </si>
  <si>
    <t>PB04040091709</t>
  </si>
  <si>
    <t>Trụ 1A-2 Trạm 12 Ấp Mới, Phường Bến Cát, Thành Phố Hồ Chí Minh</t>
  </si>
  <si>
    <t>PE19000004309</t>
  </si>
  <si>
    <t>Trụ 106 Trạm Kho Lúa 1</t>
  </si>
  <si>
    <t>PE19000004310</t>
  </si>
  <si>
    <t>Trụ 20 Trạm 	Tây Nam</t>
  </si>
  <si>
    <t>PB04040095188</t>
  </si>
  <si>
    <t>Phòng Văn hóa, Khoa học và Thông tin thành phố Bến Cát</t>
  </si>
  <si>
    <t>Trụ 176b (2-1) Trạm 176 Rạch Bắp - Phú An, Phường Bến Cát, Thành phố Hồ Chí Minh</t>
  </si>
  <si>
    <t>PB04040012918</t>
  </si>
  <si>
    <t xml:space="preserve"> Số 230, Đại lộ Bình Dương, Phường Phú Lợi, Thành phố Hồ Chí Minh, Việt Nam</t>
  </si>
  <si>
    <t>Chiếu Sáng 143 (1X25)</t>
  </si>
  <si>
    <t>PB04040019689</t>
  </si>
  <si>
    <t>Chiếu Sáng 95 MP</t>
  </si>
  <si>
    <t>PB04040019687</t>
  </si>
  <si>
    <t>Chiếu Sáng 66 Cầu Tây</t>
  </si>
  <si>
    <t>PB04040019690</t>
  </si>
  <si>
    <t>Chiếu Sáng 110 MP</t>
  </si>
  <si>
    <t>PB04040012901</t>
  </si>
  <si>
    <t>PB04040019558</t>
  </si>
  <si>
    <t>Chiếu Sáng 36 Cầu Định</t>
  </si>
  <si>
    <t>PB04040014666</t>
  </si>
  <si>
    <t>Chiếu Sáng 09 BC-TS</t>
  </si>
  <si>
    <t>PB04040014665</t>
  </si>
  <si>
    <t>Chiếu Sáng 171</t>
  </si>
  <si>
    <t>PB04040019688</t>
  </si>
  <si>
    <t>Chiếu Sáng 80 Cầu Tây</t>
  </si>
  <si>
    <t>PB04040077200</t>
  </si>
  <si>
    <t>UBND xã An Tây</t>
  </si>
  <si>
    <t xml:space="preserve"> Ấp 2, Phường Bến Cát, Thành phố Hồ Chí Minh</t>
  </si>
  <si>
    <t>Trạm Chiếu sáng 4 DT 744, Phường Bến Cát, Thành phố Hồ Chí Minh</t>
  </si>
  <si>
    <t>PB04040077208</t>
  </si>
  <si>
    <t xml:space="preserve"> Ấp 2, Phường Tây Nam, Thành phố Hồ Chí Minh</t>
  </si>
  <si>
    <t>Trạm Chiếu sáng 5 DT 744, Phường Bến Cát, Thành phố Hồ Chí Minh</t>
  </si>
  <si>
    <t>PB04040077195</t>
  </si>
  <si>
    <t>Trạm Chiếu sáng 2 DT 744, Phường Bến Cát, Thành phố Hồ Chí Minh</t>
  </si>
  <si>
    <t>PB04040077197</t>
  </si>
  <si>
    <t>Trạm Chiếu sáng 3 DT 744, Phường Bến Cát, Thành phố Hồ Chí Minh</t>
  </si>
  <si>
    <t>PB04040077189</t>
  </si>
  <si>
    <t>Trạm Chiếu sáng 1 DT 744, Phường Bến Cát, Thành phố Hồ Chí Minh</t>
  </si>
  <si>
    <t>PB04090023096</t>
  </si>
  <si>
    <t>UBND xã Tân Hưng - Huyện Bàu Bàng</t>
  </si>
  <si>
    <t xml:space="preserve"> Ấp 3,  X.Tân Hưng,  H.Bàu Bàng, Phường Bến Cát, Thành phố Hồ Chí Minh</t>
  </si>
  <si>
    <t>Trụ 03-1, Phường Bến Cát, Thành phố Hồ Chí Minh</t>
  </si>
  <si>
    <t>Đèn Đường</t>
  </si>
  <si>
    <t>PB04090032507</t>
  </si>
  <si>
    <t>UBND xã Tân Hưng (CSCC tuyến đường bìa lô ấp 3, ấp 4 - Tủ 4)</t>
  </si>
  <si>
    <t xml:space="preserve"> Ấp 3, Phường Bến Cát, Thành phố Hồ Chí Minh</t>
  </si>
  <si>
    <t>Trụ 03-2/7-2, Phường Bến Cát, Thành phố Hồ Chí Minh</t>
  </si>
  <si>
    <t>PB04090023097</t>
  </si>
  <si>
    <t>HPS + Led/Nổi</t>
  </si>
  <si>
    <t>PB04090032508</t>
  </si>
  <si>
    <t>UBND xã Tân Hưng (CSCC tuyến đường bìa lô ấp 3, ấp 4 - Tủ 5)</t>
  </si>
  <si>
    <t>Trụ 03-6/10, Phường Bến Cát, Thành phố Hồ Chí Minh</t>
  </si>
  <si>
    <t>PB04090026687</t>
  </si>
  <si>
    <t>UBND Xã Tân Hưng - Đèn đường Ấp 3 Bàu Cà Tông</t>
  </si>
  <si>
    <t xml:space="preserve"> X.Tân Hưng,  H.Bàu Bàng, Phường Bến Cát, Thành phố Hồ Chí Minh</t>
  </si>
  <si>
    <t>Trụ 03B, Phường Bến Cát, Thành phố Hồ Chí Minh</t>
  </si>
  <si>
    <t xml:space="preserve">Đèn dân sinh 
</t>
  </si>
  <si>
    <t>PB04090016326</t>
  </si>
  <si>
    <t>Ủy Ban Nhân Dân Xã Tân Hưng</t>
  </si>
  <si>
    <t>Trạm 08 Cà Tông, Phường Bến Cát, Thành phố Hồ Chí Minh</t>
  </si>
  <si>
    <t>PB04090034471</t>
  </si>
  <si>
    <t>UBND xã Tân Hưng (Chiếu sáng đường 27)</t>
  </si>
  <si>
    <t>Trụ 10H, Phường Bến Cát, Thành phố Hồ Chí Minh</t>
  </si>
  <si>
    <t>PB04090032509</t>
  </si>
  <si>
    <t>UBND xã Tân Hưng (CSCC tuyến đường bìa lô ấp 3, ấp 4 - Tủ 6)</t>
  </si>
  <si>
    <t>Trụ 03H-1/3, Phường Bến Cát, Thành phố Hồ Chí Minh</t>
  </si>
  <si>
    <t>PB04090025679</t>
  </si>
  <si>
    <t>UBND Xã Tân Hưng - Đèn đường Ấp 1 trạm 49 Bà Tảo</t>
  </si>
  <si>
    <t xml:space="preserve"> Xã Tân Hưng,  H.Bàu Bàng, Phường Bến Cát, Thành phố Hồ Chí Minh</t>
  </si>
  <si>
    <t>Trụ 46H, Phường Bến Cát, Thành phố Hồ Chí Minh</t>
  </si>
  <si>
    <t>PB04090025678</t>
  </si>
  <si>
    <t>UBND Xã Tân Hưng - Đèn đường Ấp 1 trạm 35 Bà Tảo</t>
  </si>
  <si>
    <t>Trụ 35-13H, Phường Bến Cát, Thành phố Hồ Chí Minh</t>
  </si>
  <si>
    <t>PB04090023094</t>
  </si>
  <si>
    <t>PB04090032505</t>
  </si>
  <si>
    <t>UBND xã Tân Hưng (CSCC tuyến đường bìa lô ấp 3, ấp 4 - Tủ 2)</t>
  </si>
  <si>
    <t>Trụ 04H-12, Phường Bến Cát, Thành phố Hồ Chí Minh</t>
  </si>
  <si>
    <t>PB04090028719</t>
  </si>
  <si>
    <t>UBND Xã Tân Hưng - Đèn đường bìa lô ấp 2_Tủ 2</t>
  </si>
  <si>
    <t xml:space="preserve"> Bìa lô ấp 2, X.Tân Hưng,  H.Bàu Bàng, Phường Bến Cát, Thành phố Hồ Chí Minh</t>
  </si>
  <si>
    <t>Trụ 05H, Phường Bến Cát, Thành phố Hồ Chí Minh</t>
  </si>
  <si>
    <t>PB04090023099</t>
  </si>
  <si>
    <t>PB04090028718</t>
  </si>
  <si>
    <t>UBND Xã Tân Hưng - Đèn đường bìa lô ấp 2_Tủ 3</t>
  </si>
  <si>
    <t xml:space="preserve"> Bìa lô ấp 2,  X.Tân Hưng,  H.Bàu Bàng, Phường Bến Cát, Thành phố Hồ Chí Minh</t>
  </si>
  <si>
    <t>Trụ 03H-1/8, Phường Bến Cát, Thành phố Hồ Chí Minh</t>
  </si>
  <si>
    <t>PB04090023100</t>
  </si>
  <si>
    <t>Trụ 03H-1, Phường Bến Cát, Thành phố Hồ Chí Minh</t>
  </si>
  <si>
    <t>PB04090028720</t>
  </si>
  <si>
    <t>UBND Xã Tân Hưng - Đèn đường bìa lô ấp 2_Tủ 1</t>
  </si>
  <si>
    <t>Trụ 06H, Phường Bến Cát, Thành phố Hồ Chí Minh</t>
  </si>
  <si>
    <t>PB04090023098</t>
  </si>
  <si>
    <t>PB04090032510</t>
  </si>
  <si>
    <t>UBND xã Tân Hưng (CSCC tuyến đường bìa lô ấp 3, ấp 4 - Tủ 7)</t>
  </si>
  <si>
    <t>Trụ 03-16/5, Phường Bến Cát, Thành phố Hồ Chí Minh</t>
  </si>
  <si>
    <t>PB04090032504</t>
  </si>
  <si>
    <t>UBND xã Tân Hưng (CSCC tuyến đường bìa lô ấp 3, ấp 4 - Tủ 1)</t>
  </si>
  <si>
    <t>Trụ 03H-13, Phường Bến Cát, Thành phố Hồ Chí Minh</t>
  </si>
  <si>
    <t>PB04090025469</t>
  </si>
  <si>
    <t>UBND Xã Tân Hưng - Đèn đường Ấp 4 (Bà Nga)</t>
  </si>
  <si>
    <t>Trụ 05, Phường Bến Cát, Thành phố Hồ Chí Minh</t>
  </si>
  <si>
    <t>PB04090032511</t>
  </si>
  <si>
    <t>UBND xã Tân Hưng (CSCC tuyến đường Ông Thuận - xóm Tiền Giang - Tủ 8)</t>
  </si>
  <si>
    <t>Trụ 05H(1-3), Phường Bến Cát, Thành phố Hồ Chí Minh</t>
  </si>
  <si>
    <t>PB04090023095</t>
  </si>
  <si>
    <t>PB04090032506</t>
  </si>
  <si>
    <t>UBND xã Tân Hưng (CSCC tuyến đường bìa lô ấp 3, ấp 4 - Tủ 3)</t>
  </si>
  <si>
    <t>Trụ 04H-4, Phường Bến Cát, Thành phố Hồ Chí Minh</t>
  </si>
  <si>
    <t>PB04090032512</t>
  </si>
  <si>
    <t>UBND xã Tân Hưng (CSCC tuyến đường Ông Thuận - xóm Tiền Giang - Tủ 9)</t>
  </si>
  <si>
    <t>Trụ 20H(1-8), Phường Bến Cát, Thành phố Hồ Chí Minh</t>
  </si>
  <si>
    <t>PB04090037428</t>
  </si>
  <si>
    <t>UBND xã Lai Hưng - Đèn đường</t>
  </si>
  <si>
    <t xml:space="preserve"> Ấp Lai Khê,  X.Lai Hưng,  H.Bàu Bàng, Phường Bến Cát, Thành phố Hồ Chí Minh</t>
  </si>
  <si>
    <t>Trụ 12-1, Phường Bến Cát, Thành phố Hồ Chí Minh</t>
  </si>
  <si>
    <t>PB04090037426</t>
  </si>
  <si>
    <t>Trụ 17, Phường Bến Cát, Thành phố Hồ Chí Minh</t>
  </si>
  <si>
    <t>PB04090032547</t>
  </si>
  <si>
    <t>UBND xã Lai Hưng ( CSCC tuyến Bà Vui, Cô Hoài - Tủ 1)</t>
  </si>
  <si>
    <t>Trụ 03B-2, Phường Bến Cát, Thành phố Hồ Chí Minh</t>
  </si>
  <si>
    <t>PB04090037425</t>
  </si>
  <si>
    <t>Trụ 03B-1, Phường Bến Cát, Thành phố Hồ Chí Minh</t>
  </si>
  <si>
    <t>PE19000001524</t>
  </si>
  <si>
    <t>Trụ 1-8, Trạm 14 Bến Tượng - 35C/06/08</t>
  </si>
  <si>
    <t>PE19000001517</t>
  </si>
  <si>
    <t>Trụ 13B-1, Trạm 13B Bến Tượng</t>
  </si>
  <si>
    <t>PB04090029034</t>
  </si>
  <si>
    <t>UBND xã Lai Hưng - Đèn đường tổ 15, ấp Lai Khê_Tủ T01</t>
  </si>
  <si>
    <t>Trụ 07H (07), Phường Bến Cát, Thành phố Hồ Chí Minh</t>
  </si>
  <si>
    <t>PB04090037434</t>
  </si>
  <si>
    <t>Trụ 16, Phường Bến Cát, Thành phố Hồ Chí Minh</t>
  </si>
  <si>
    <t>PB04090024875</t>
  </si>
  <si>
    <t>UBND Xã Lai Hưng - Chiếu sáng ấp Cầu Đôi</t>
  </si>
  <si>
    <t xml:space="preserve"> Ấp Cầu Đôi,  X.Lai Hưng,  H.Bàu Bàng, Phường Bến Cát, Thành phố Hồ Chí Minh</t>
  </si>
  <si>
    <t>Trụ 04, Phường Bến Cát, Thành phố Hồ Chí Minh</t>
  </si>
  <si>
    <t>PB04090037433</t>
  </si>
  <si>
    <t>Trụ 10, Phường Bến Cát, Thành phố Hồ Chí Minh</t>
  </si>
  <si>
    <t>PB04090027213</t>
  </si>
  <si>
    <t>UBND Xã Lai Hưng - Đèn đường ấp Cầu Đôi (Tủ 02)</t>
  </si>
  <si>
    <t xml:space="preserve"> X.Lai Hưng,  H.Bàu Bàng, Phường Bến Cát, Thành phố Hồ Chí Minh</t>
  </si>
  <si>
    <t>Trụ 40-34 (13H), Phường Bến Cát, Thành phố Hồ Chí Minh</t>
  </si>
  <si>
    <t>PB04090029039</t>
  </si>
  <si>
    <t>UBND xã Lai Hưng - Đèn đường ấp Bến Tượng_Tủ T01</t>
  </si>
  <si>
    <t xml:space="preserve"> Ấp Bến Tượng,  X.Lai Hưng,  H.Bàu Bàng, Phường Bến Cát, Thành phố Hồ Chí Minh</t>
  </si>
  <si>
    <t>Trụ 06B-22, Phường Bến Cát, Thành phố Hồ Chí Minh</t>
  </si>
  <si>
    <t>PB04090027207</t>
  </si>
  <si>
    <t>UBND Xã Lai Hưng - Đèn đường ấp Bến Tượng (Tủ T01-Trạm 6B Ông Khương)</t>
  </si>
  <si>
    <t>Trụ 06B-1, Phường Bến Cát, Thành phố Hồ Chí Minh</t>
  </si>
  <si>
    <t>PB04090032550</t>
  </si>
  <si>
    <t>UBND xã Lai Hưng (CSCC tuyến Ông Hoàng Bến Tượng - Tủ 2)</t>
  </si>
  <si>
    <t>Trụ 31HA-11, Phường Bến Cát, Thành phố Hồ Chí Minh</t>
  </si>
  <si>
    <t>PB04090032548</t>
  </si>
  <si>
    <t>UBND xã Lai Hưng ( CSCC tuyến Bà Vui, Cô Hoài - Tủ 2)</t>
  </si>
  <si>
    <t>Trụ 33-17, Phường Bến Cát, Thành phố Hồ Chí Minh</t>
  </si>
  <si>
    <t>PB04090037431</t>
  </si>
  <si>
    <t>Trụ 1-1 (32H), Phường Bến Cát, Thành phố Hồ Chí Minh</t>
  </si>
  <si>
    <t>PB04090037430</t>
  </si>
  <si>
    <t>Trụ 26, Phường Bến Cát, Thành phố Hồ Chí Minh</t>
  </si>
  <si>
    <t>PB04090023354</t>
  </si>
  <si>
    <t>VP ấp Bến Tượng - UBND xã Lai Hưng - Huyện Bàu Bàng</t>
  </si>
  <si>
    <t>Trụ 02A, Phường Bến Cát, Thành phố Hồ Chí Minh</t>
  </si>
  <si>
    <t>PB04090032549</t>
  </si>
  <si>
    <t>UBND xã Lai Hưng (CSCC tuyến Ông Hoàng Bến Tượng - Tủ 1)</t>
  </si>
  <si>
    <t>Trụ 02H-2, Phường Bến Cát, Thành phố Hồ Chí Minh</t>
  </si>
  <si>
    <t>PB04090037423</t>
  </si>
  <si>
    <t>Trụ 1-1 (02H), Phường Bến Cát, Thành phố Hồ Chí Minh</t>
  </si>
  <si>
    <t>PB04090036277</t>
  </si>
  <si>
    <t>UBND Phường Mỹ Phước - Đèn đường Chà Vi</t>
  </si>
  <si>
    <t xml:space="preserve"> Ấp 4 -, Phường Bến Cát, Thành phố Hồ Chí Minh, Việt Nam</t>
  </si>
  <si>
    <t>Trụ 33H, Phường Bến Cát, Thành phố Hồ Chí Minh</t>
  </si>
  <si>
    <t>PB04090032694</t>
  </si>
  <si>
    <t>UBND Xã Lai Hưng - Đèn đường</t>
  </si>
  <si>
    <t>Trụ 08, Phường Bến Cát, Thành phố Hồ Chí Minh</t>
  </si>
  <si>
    <t>PB04090029037</t>
  </si>
  <si>
    <t>Trụ 09H, Phường Bến Cát, Thành phố Hồ Chí Minh</t>
  </si>
  <si>
    <t>PB04090037429</t>
  </si>
  <si>
    <t>Trụ 1-13 (13H), Phường Bến Cát, Thành phố Hồ Chí Minh</t>
  </si>
  <si>
    <t>PB04090032551</t>
  </si>
  <si>
    <t>UBND xã Lai Hưng (CSCC tuyến Ông Hoàng Bến Tượng - Tủ 3)</t>
  </si>
  <si>
    <t>Trụ 35H-11, Phường Bến Cát, Thành phố Hồ Chí Minh</t>
  </si>
  <si>
    <t>PB04090037432</t>
  </si>
  <si>
    <t>Trụ 36B, Phường Bến Cát, Thành phố Hồ Chí Minh</t>
  </si>
  <si>
    <t>PB04090027211</t>
  </si>
  <si>
    <t>UBND Xã Lai Hưng - Đèn đường ấp Bến Tượng (Tủ 04)</t>
  </si>
  <si>
    <t>Trụ 21H, Phường Bến Cát, Thành phố Hồ Chí Minh</t>
  </si>
  <si>
    <t>PB04090027209</t>
  </si>
  <si>
    <t>UBND Xã Lai Hưng - Đèn đường ấp Bến Tượng (Tủ T02)</t>
  </si>
  <si>
    <t>Trụ 27H, Phường Bến Cát, Thành phố Hồ Chí Minh</t>
  </si>
  <si>
    <t>PB04090027208</t>
  </si>
  <si>
    <t>UBND Xã Lai Hưng - Đèn đường ấp Bến Tượng (Tủ T02-Trạm 6B Ông Khương)</t>
  </si>
  <si>
    <t>PB04090023114</t>
  </si>
  <si>
    <t>UBND xã Lai Hưng - Huyện Bàu Bàng</t>
  </si>
  <si>
    <t xml:space="preserve"> Phường Bến Cát, Thành Phố Hồ Chí Minh,Việt Nam</t>
  </si>
  <si>
    <t>Trụ 09H, trạm 10 Cầu Đôi 5</t>
  </si>
  <si>
    <t>PB04090039579</t>
  </si>
  <si>
    <t>UBND xã Lai Hưng - Đèn đường Ấp Cầu Đôi</t>
  </si>
  <si>
    <t>Ấp Cầu Đôi, Phường Bến Cát, Thành Phố Hồ Chí Minh</t>
  </si>
  <si>
    <t>Trụ 02, trạm 10 Cầu Đôi 5</t>
  </si>
  <si>
    <t>PB04090034460</t>
  </si>
  <si>
    <t>UBND xã Lai Hưng (Đèn đường tủ 3)</t>
  </si>
  <si>
    <t>Trụ 25-16, Phường Bến Cát, Thành phố Hồ Chí Minh</t>
  </si>
  <si>
    <t>PB04090023113</t>
  </si>
  <si>
    <t xml:space="preserve"> Xã Lai Hưng, Phường Bến Cát, Thành phố Hồ Chí Minh</t>
  </si>
  <si>
    <t>PB04090024890</t>
  </si>
  <si>
    <t>UBND Xã Lai Hưng- Chiếu sáng đèn đường ấp Cầu Đôi</t>
  </si>
  <si>
    <t>Trụ 27-3, Phường Bến Cát, Thành phố Hồ Chí Minh</t>
  </si>
  <si>
    <t>PE19000001515</t>
  </si>
  <si>
    <t>Trụ 25H-1, Trạm 25 Cầu Đôi 6</t>
  </si>
  <si>
    <t>PB04090023110</t>
  </si>
  <si>
    <t>Trụ 36H, Phường Bến Cát, Thành phố Hồ Chí Minh</t>
  </si>
  <si>
    <t>PE19000001523</t>
  </si>
  <si>
    <t>Trụ 40-8(03H), Trạm 40 Cầu Đôi</t>
  </si>
  <si>
    <t>PB04090027212</t>
  </si>
  <si>
    <t>UBND Xã Lai Hưng - Đèn đường ấp Cầu Đôi (Tủ 01)</t>
  </si>
  <si>
    <t>Trụ 01, Phường Bến Cát, Thành phố Hồ Chí Minh</t>
  </si>
  <si>
    <t>PB04090029243</t>
  </si>
  <si>
    <t>UBND Phường Chánh Phú Hòa - Đèn đường Suối Khoai Bến Tượng (CS Tủ 1)</t>
  </si>
  <si>
    <t xml:space="preserve"> KP.4,  P.Chánh Phú Hòa,  TX.Bến Cát,  TP.Thủ Dầu Một, Phường Bến Cát, Thành phố Hồ Chí Minh</t>
  </si>
  <si>
    <t>Trụ 22-2, Phường Bến Cát, Thành phố Hồ Chí Minh</t>
  </si>
  <si>
    <t>PE19000001516</t>
  </si>
  <si>
    <t>Trụ 08H-2, Trạm 13 Ông Khương</t>
  </si>
  <si>
    <t>PE19000001520</t>
  </si>
  <si>
    <t>Trụ 08H-25, Trạm 13 Ông Khương</t>
  </si>
  <si>
    <t>PB04090029038</t>
  </si>
  <si>
    <t>UBND xã Lai Hưng - Đèn đường ấp Bến Tượng_Tủ T02</t>
  </si>
  <si>
    <t>Trụ 13B-13, Phường Bến Cát, Thành phố Hồ Chí Minh</t>
  </si>
  <si>
    <t>PB04090027206</t>
  </si>
  <si>
    <t>UBND Xã Lai Hưng - Đèn đường ấp Bến Tượng (Tủ T01- trạm Ông Khương 2)</t>
  </si>
  <si>
    <t>Trụ 14, Phường Bến Cát, Thành phố Hồ Chí Minh</t>
  </si>
  <si>
    <t>PB04090029244</t>
  </si>
  <si>
    <t>UBND Phường Chánh Phú Hòa - Đèn đường Suối Khoai Bến Tượng (CS Tủ 2)</t>
  </si>
  <si>
    <t>PB04090037424</t>
  </si>
  <si>
    <t>Trụ 05-2, Phường Bến Cát, Thành phố Hồ Chí Minh</t>
  </si>
  <si>
    <t>PB04090023112</t>
  </si>
  <si>
    <t>Trụ 14H, Phường Bến Cát, Thành phố Hồ Chí Minh</t>
  </si>
  <si>
    <t>PB04090034459</t>
  </si>
  <si>
    <t>UBND xã Lai Hưng (Đèn đường tủ 2)</t>
  </si>
  <si>
    <t>Trụ 14-08, Phường Bến Cát, Thành phố Hồ Chí Minh</t>
  </si>
  <si>
    <t>PB04090034457</t>
  </si>
  <si>
    <t>UBND xã Lai Hưng (Đèn đường tủ 1)</t>
  </si>
  <si>
    <t>Trụ 10H-14, Phường Bến Cát, Thành phố Hồ Chí Minh</t>
  </si>
  <si>
    <t>PE19000001521</t>
  </si>
  <si>
    <t>Trụ 11-1, Trạm 11 CẦU ĐÔI</t>
  </si>
  <si>
    <t>PE19000001525</t>
  </si>
  <si>
    <t>Trụ 18H-1, Trạm 20 CẦU ĐÔI</t>
  </si>
  <si>
    <t>PB04090029035</t>
  </si>
  <si>
    <t>UBND xã Lai Hưng - Đèn đường ấp Cầu Sắt_Tủ T02</t>
  </si>
  <si>
    <t xml:space="preserve"> Ấp Cầu Sắt,  X.Lai Hưng,  H.Bàu Bàng, Phường Bến Cát, Thành phố Hồ Chí Minh</t>
  </si>
  <si>
    <t>Trụ 16-5, Phường Bến Cát, Thành phố Hồ Chí Minh</t>
  </si>
  <si>
    <t>PB04090032545</t>
  </si>
  <si>
    <t>UBND xã Lai Hưng (CSCC tuyến Bà Dung, Ông Tụ ấp Cầu Sắt - Tủ 1)</t>
  </si>
  <si>
    <t>Trụ 16-2, Phường Bến Cát, Thành phố Hồ Chí Minh</t>
  </si>
  <si>
    <t>PB04090022906</t>
  </si>
  <si>
    <t>UBND xã Lai Hưng</t>
  </si>
  <si>
    <t>PB04090034463</t>
  </si>
  <si>
    <t>UBND xã Lai Hưng (Đèn đường tủ 5)</t>
  </si>
  <si>
    <t>Trụ 12-6, Phường Bến Cát, Thành phố Hồ Chí Minh</t>
  </si>
  <si>
    <t>PB04090027214</t>
  </si>
  <si>
    <t>UBND Xã Lai Hưng - Đèn đường ấp Cầu Sắt tuyến đường Trạm Gia Súc Lớn (Tủ 01)</t>
  </si>
  <si>
    <t>Trụ 32, Phường Bến Cát, Thành phố Hồ Chí Minh</t>
  </si>
  <si>
    <t>PB04090022907</t>
  </si>
  <si>
    <t>Trụ 27-7, Phường Bến Cát, Thành phố Hồ Chí Minh</t>
  </si>
  <si>
    <t>PB04090024939</t>
  </si>
  <si>
    <t>UBND Xã Lai Hưng - Đèn đường Gia Súc Lớn</t>
  </si>
  <si>
    <t>Trụ 27-9, Phường Bến Cát, Thành phố Hồ Chí Minh</t>
  </si>
  <si>
    <t>PB04090024941</t>
  </si>
  <si>
    <t>UBND Xã Lai Hưng - Đèn đường Hồ Từ Vân 3</t>
  </si>
  <si>
    <t xml:space="preserve"> Xã Lai Hưng,  H.Bàu Bàng, Phường Bến Cát, Thành phố Hồ Chí Minh</t>
  </si>
  <si>
    <t>Trụ 22-6, Phường Bến Cát, Thành phố Hồ Chí Minh</t>
  </si>
  <si>
    <t>PB04090024942</t>
  </si>
  <si>
    <t>UBND Xã Lai Hưng - Đèn đường 25 Hồ Từ Vân</t>
  </si>
  <si>
    <t>Trụ 04H-14, Phường Bến Cát, Thành phố Hồ Chí Minh</t>
  </si>
  <si>
    <t>PB04090024940</t>
  </si>
  <si>
    <t>UBND Xã Lai Hưng - Đèn đường Hồ Từ Vân 4</t>
  </si>
  <si>
    <t>PB04090029036</t>
  </si>
  <si>
    <t>UBND xã Lai Hưng - Đèn đường ấp Cầu Sắt_Tủ T03</t>
  </si>
  <si>
    <t>Tru 09-2, Phường Bến Cát, Thành phố Hồ Chí Minh</t>
  </si>
  <si>
    <t>PB04090024944</t>
  </si>
  <si>
    <t>UBND Xã Lai Hưng - Đèn đường Hồ Từ Vân 5</t>
  </si>
  <si>
    <t>PB04090024943</t>
  </si>
  <si>
    <t>UBND Xã Lai Hưng- Đèn đường Ao Hồ 2</t>
  </si>
  <si>
    <t>Trụ 11H, trạm 10 Hồ Từ Vân 27</t>
  </si>
  <si>
    <t>PB04090032546</t>
  </si>
  <si>
    <t>UBND xã Lai Hưng (CSCC tuyến QL13,Trường THCS Lai Hưng A -Tủ 1)</t>
  </si>
  <si>
    <t>Trụ 142H(1-2), Phường Bến Cát, Thành phố Hồ Chí Minh</t>
  </si>
  <si>
    <t>PB04090023355</t>
  </si>
  <si>
    <t>Ủy ban nhân dân xã Lai Hưng - Huyện Bàu Bàng (VP ấp Lai Khê)</t>
  </si>
  <si>
    <t>Trụ 1587-14, Phường Bến Cát, Thành phố Hồ Chí Minh</t>
  </si>
  <si>
    <t>PB04090011534</t>
  </si>
  <si>
    <t>Cty CP Phát Triển Hạ Tầng Kỹ Thuật</t>
  </si>
  <si>
    <t>PB04090035365</t>
  </si>
  <si>
    <t>UBND Phường Mỹ Phước - Đèn đường</t>
  </si>
  <si>
    <t xml:space="preserve"> KP.4,  P.Mỹ Phước,  TX.Bến Cát, Phường Bến Cát, Thành phố Hồ Chí Minh</t>
  </si>
  <si>
    <t>Trụ 199-40 (239-40), Phường Bến Cát, Thành phố Hồ Chí Minh</t>
  </si>
  <si>
    <t>PE19000001522</t>
  </si>
  <si>
    <t>Trụ 192-1, Trạm 189 Đồng Sổ</t>
  </si>
  <si>
    <t>PB04090012841</t>
  </si>
  <si>
    <t>Công Ty Cổ phần Phát tiển Hạ Tầng Kỹ Thuật</t>
  </si>
  <si>
    <t>PB04090029040</t>
  </si>
  <si>
    <t>UBND xã Lai Hưng - Đèn đường ấp Lai Khê_Tủ T02</t>
  </si>
  <si>
    <t>Trụ 05-1/8 (07H), Phường Bến Cát, Thành phố Hồ Chí Minh</t>
  </si>
  <si>
    <t>PB04090034462</t>
  </si>
  <si>
    <t>UBND xã Lai Hưng (Đèn đường tủ 4)</t>
  </si>
  <si>
    <t>Trụ 1-1 (12H), Phường Bến Cát, Thành phố Hồ Chí Minh</t>
  </si>
  <si>
    <t>PB04090022908</t>
  </si>
  <si>
    <t>PB04090024898</t>
  </si>
  <si>
    <t>UBND Xã Lai Hưng - Đèn Đường Ấp Lai Khê</t>
  </si>
  <si>
    <t>PB04090024876</t>
  </si>
  <si>
    <t>Ủy Ban Nhân Dân Xã Lai Hưng -  Chiếu sáng đèn đường ấp Cầu Sắt</t>
  </si>
  <si>
    <t>Trụ 04-1H, Phường Bến Cát, Thành phố Hồ Chí Minh</t>
  </si>
  <si>
    <t>PB04090023115</t>
  </si>
  <si>
    <t>Trụ 01H-11, Phường Bến Cát, Thành phố Hồ Chí Minh</t>
  </si>
  <si>
    <t>PB04090024889</t>
  </si>
  <si>
    <t>Ủy Ban Nhân Dân Xã Lai Hưng- Chiếu sáng đèn đường ấp Cầu Sắt</t>
  </si>
  <si>
    <t>Trụ 02H-3, Phường Bến Cát, Thành phố Hồ Chí Minh</t>
  </si>
  <si>
    <t>PB04090016715</t>
  </si>
  <si>
    <t>UBND Xã Lai Hưng</t>
  </si>
  <si>
    <t xml:space="preserve"> Ấp Lai Khê, X.Lai Hưng,  H.Bàu Bàng, Phường Bến Cát, Thành phố Hồ Chí Minh</t>
  </si>
  <si>
    <t>Trạm 11 Cao Su Lai Khê, Phường Bến Cát, Thành phố Hồ Chí Minh</t>
  </si>
  <si>
    <t>PB04090024881</t>
  </si>
  <si>
    <t>UBND Xã Lai Hưng - Chiếu sáng đèn đường ấp Cầu Sắt</t>
  </si>
  <si>
    <t>PB04090023111</t>
  </si>
  <si>
    <t>Ủy ban nhân dân xã Lai Hưng - huyện Bàu Bàng</t>
  </si>
  <si>
    <t>Trụ 01/H, Phường Bến Cát, Thành phố Hồ Chí Minh</t>
  </si>
  <si>
    <t>PB04090037435</t>
  </si>
  <si>
    <t>Trụ 2-1 (103H), Phường Bến Cát, Thành phố Hồ Chí Minh</t>
  </si>
  <si>
    <t>PB04090032513</t>
  </si>
  <si>
    <t>UBND xã Tân Hưng (CSCC tuyến đường Tân Hưng 50 - Tủ 10)</t>
  </si>
  <si>
    <t>Trụ 15-8, Phường Bến Cát, Thành phố Hồ Chí Minh</t>
  </si>
  <si>
    <t>PB04090027182</t>
  </si>
  <si>
    <t>UBND Xã Long Nguyên - Đèn đường LN – An Lập (Tủ 01)</t>
  </si>
  <si>
    <t xml:space="preserve"> X.Long Nguyên,  H.Bàu Bàng, Phường Bến Cát, Thành phố Hồ Chí Minh</t>
  </si>
  <si>
    <t>Trụ 26H, Phường Bến Cát, Thành phố Hồ Chí Minh</t>
  </si>
  <si>
    <t>PB04090010363</t>
  </si>
  <si>
    <t>UBND Xã Tân Hưng - Chiếu Sáng</t>
  </si>
  <si>
    <t xml:space="preserve"> X.Tân Hưng,  H.Bàu Bàng, Phường Bến Cát, Thành phố Hồ Chí Minh</t>
  </si>
  <si>
    <t>PB04090012785</t>
  </si>
  <si>
    <t>PB04090014587</t>
  </si>
  <si>
    <t>UBND Xã Lai Hưng - HT Chiếu Sáng</t>
  </si>
  <si>
    <t>PB04090014585</t>
  </si>
  <si>
    <t>PB04090007937</t>
  </si>
  <si>
    <t>UBND Xã Tân Hưng - Đèn Đường</t>
  </si>
  <si>
    <t>PB04090012784</t>
  </si>
  <si>
    <t>PB04090010364</t>
  </si>
  <si>
    <t>PB04090037629</t>
  </si>
  <si>
    <t>Công Ty Cổ Phần Phát Triển Hạ Tầng Kỹ Thuật</t>
  </si>
  <si>
    <t>PB04090037630</t>
  </si>
  <si>
    <t>PB04090037631</t>
  </si>
  <si>
    <t>PB04090037632</t>
  </si>
  <si>
    <t>PB04090037634</t>
  </si>
  <si>
    <t>PB04090037633</t>
  </si>
  <si>
    <t>PB04090023888</t>
  </si>
  <si>
    <t>PB04090023889</t>
  </si>
  <si>
    <t>PB04040096978</t>
  </si>
  <si>
    <t>Tủ T2/1-1 Trạm Cầu Quan, Phường Bến Cát, Thành phố Hồ Chí Minh</t>
  </si>
  <si>
    <t>PB04040034970</t>
  </si>
  <si>
    <t>Phòng Văn hóa - Xã hội Phường Bến Cát</t>
  </si>
  <si>
    <t xml:space="preserve"> Khu phố Mỹ Phước, Phường Bến Cát, Thành phố Hồ Chí Minh, Việt Nam</t>
  </si>
  <si>
    <t>Trạm Chiếu Sáng Nghĩa Trang BC (1x25), Phường Bến Cát, Thành phố Hồ Chí Minh</t>
  </si>
  <si>
    <t>PB04040095186</t>
  </si>
  <si>
    <t>Khu phố Mỹ Phước, Phường Bến Cát,Thành Phố Hồ Chí Minh,Việt Nam</t>
  </si>
  <si>
    <t>Trụ 168 Trạm Ngân Hàng</t>
  </si>
  <si>
    <t>PB04040095187</t>
  </si>
  <si>
    <t>Tủ TA-2 Trạm Vật Tư, Phường Bến Cát, Thành phố Hồ Chí Minh</t>
  </si>
  <si>
    <t>Đèn trang trí cổng chào</t>
  </si>
  <si>
    <t>PB04040095190</t>
  </si>
  <si>
    <t xml:space="preserve"> Khu phố Mỹ Phước, Phường Bến Cát, Thành Phố Hồ Chí Minh, Việt Nam</t>
  </si>
  <si>
    <t>Trụ 1-1 Trạm VP UBND, Phường Bến Cát, Thành phố Hồ Chí Minh</t>
  </si>
  <si>
    <t>PB04040095633</t>
  </si>
  <si>
    <t>Trụ 1-1 Trạm Thầy Tri, Phường Bến Cát, Thành phố Hồ Chí Minh</t>
  </si>
  <si>
    <t>Không có tủ điều khiển ( phường văn hóa )</t>
  </si>
  <si>
    <t>PB04040097172</t>
  </si>
  <si>
    <t xml:space="preserve"> Khu phố Long Hưng, Phường Bến Cát, Thành phố Hồ Chí Minh, Việt Nam</t>
  </si>
  <si>
    <t>Trụ 25b Trạm 26 Mỹ Phước, Phường Bến Cát, Thành phố Hồ Chí Minh</t>
  </si>
  <si>
    <t>PB04040088680</t>
  </si>
  <si>
    <t>Phòng quản lý đô thị thị xã Bến Cát</t>
  </si>
  <si>
    <t>Tủ T1/MSB 1-1 Trạm 1 Trung tâm văn hóa Bến Cát, Phường Bến Cát, Thành phố Hồ Chí Minh</t>
  </si>
  <si>
    <t>PB04040093645</t>
  </si>
  <si>
    <t>LED/Nổi</t>
  </si>
  <si>
    <t>PB04040095192</t>
  </si>
  <si>
    <t>Trụ 01 Trạm KDC Hàng Vú Sữa, Phường Bến Cát, Thành phố Hồ Chí Minh</t>
  </si>
  <si>
    <t>PB04090025687</t>
  </si>
  <si>
    <t>UBND xã Tân Hưng - CT chiếu sáng tuyến đường ấp 3 bìa lô</t>
  </si>
  <si>
    <t xml:space="preserve"> Ấp 3 - xã Tân hưng, Phường Bến Cát, TP Hồ Chí Minh, Việt Nam</t>
  </si>
  <si>
    <t>Trụ 49, trạm 48 Tân Hưng</t>
  </si>
  <si>
    <t>PB04090029097</t>
  </si>
  <si>
    <t>UBND xã Tân Hưng - CT chiếu sáng tuyến đường liên ô ấp 3</t>
  </si>
  <si>
    <t>Trụ 49H, Phường Bến Cát, Thành phố Hồ Chí Minh</t>
  </si>
  <si>
    <t>PB04090038136</t>
  </si>
  <si>
    <t>Ban Quản lý dự án đầu tư xây dựng khu vực Bàu Bàng</t>
  </si>
  <si>
    <t xml:space="preserve"> Trung tâm phục vụ hành chính công, Đường N17-5A, ấp Đồng Sổ, Xã Bàu Bàng, Thành phố Hồ Chí Minh</t>
  </si>
  <si>
    <t>Trụ 27 NR 27 Chiếu Sáng Đường Tạo Lực-CSM3/18, Xã Bàu Bàng, Thành phố Hồ Chí Minh</t>
  </si>
  <si>
    <t>Xã Bàu Bàng</t>
  </si>
  <si>
    <t>Trụ STK, LED</t>
  </si>
  <si>
    <t>( có cả hệ thống đèn THGT )</t>
  </si>
  <si>
    <t>PB04090038134</t>
  </si>
  <si>
    <t>Trụ 04 NR 04 Chiếu Sáng Đường Tạo Lực-CSM3/18, Xã Bàu Bàng, Thành phố Hồ Chí Minh</t>
  </si>
  <si>
    <t>PB04090038125</t>
  </si>
  <si>
    <t>Trung tâm phục vụ hành chính công, Đường N17-5A, ấp Đồng Sổ, Xã Bàu Bàng, Thành phố Hồ Chí Minh</t>
  </si>
  <si>
    <t>Trụ 05 NR 05 Chiếu Sáng Đường Tạo Lực-CT179C</t>
  </si>
  <si>
    <t>PB04090038132</t>
  </si>
  <si>
    <t>Trụ 54 NR 54 Chiếu Sáng Đường Tạo Lực-CT179C, Xã Bàu Bàng, Thành phố Hồ Chí Minh</t>
  </si>
  <si>
    <t>PB04090038140</t>
  </si>
  <si>
    <t>Trụ 78 NR 78 Chiếu Sáng Đường Tạo Lực-CSM3/18, Xã Bàu Bàng, Thành phố Hồ Chí Minh</t>
  </si>
  <si>
    <t>PB04090038142</t>
  </si>
  <si>
    <t>Trụ 101 NR 101 Chiếu Sáng Đường Tạo Lực-CSM3/18, Xã Bàu Bàng, Thành phố Hồ Chí Minh</t>
  </si>
  <si>
    <t>PB04090023079</t>
  </si>
  <si>
    <t>UBND xã Lai Uyên - Huyện Bàu Bàng</t>
  </si>
  <si>
    <t xml:space="preserve"> KP.Xà Mách,  TT.Lai Uyên,  H.Bàu Bàng, Xã Bàu Bàng, Thành phố Hồ Chí Minh</t>
  </si>
  <si>
    <t>Trụ 12H, Xã Bàu Bàng, Thành phố Hồ Chí Minh</t>
  </si>
  <si>
    <t>Trụ BTLT , HPS</t>
  </si>
  <si>
    <t>x</t>
  </si>
  <si>
    <t>PB04090027231</t>
  </si>
  <si>
    <t>UBND thị trấn Lai Uyên – Đèn đường KP Cây Sắn tuyến đường Chợ Than (Tủ 02)</t>
  </si>
  <si>
    <t>Trụ 12-9, Xã Bàu Bàng, Thành phố Hồ Chí Minh</t>
  </si>
  <si>
    <t>Trụ BTLT , LED</t>
  </si>
  <si>
    <t>PB04090032532</t>
  </si>
  <si>
    <t>UBND Thị Trấn Lai Uyên (CSCC đường 80)</t>
  </si>
  <si>
    <t>Trụ 26H-2, Xã Bàu Bàng, Thành phố Hồ Chí Minh</t>
  </si>
  <si>
    <t>PB04090023078</t>
  </si>
  <si>
    <t>Trụ 22H, Xã Bàu Bàng, Thành phố Hồ Chí Minh</t>
  </si>
  <si>
    <t>PB04090034287</t>
  </si>
  <si>
    <t>UBND thị trấn Lai Uyên (Chiếu sáng tuyến đường ĐT749C tủ 2)</t>
  </si>
  <si>
    <t xml:space="preserve"> Tuyến đường DT749C, KP.Bàu Bàng,  TT.Lai Uyên,  H.Bàu Bàng, Xã Bàu Bàng, Thành phố Hồ Chí Minh</t>
  </si>
  <si>
    <t>Trụ 34H, Xã Bàu Bàng, Thành phố Hồ Chí Minh</t>
  </si>
  <si>
    <t>PB04090034286</t>
  </si>
  <si>
    <t>UBND thị trấn Lai Uyên (Chiếu sáng tuyến đường ĐT749C tủ 1)</t>
  </si>
  <si>
    <t>Tuyến đường ĐT749C, Kp Bàu Bàng, Xã Bàu Bàng, Thành Phố Hồ Chí Minh</t>
  </si>
  <si>
    <t>Trụ 34H, trạm 34 Chiến Thắng 91</t>
  </si>
  <si>
    <t>PB04090032534</t>
  </si>
  <si>
    <t>UBND Thị Trấn Lai Uyên (CSCC đường 83)</t>
  </si>
  <si>
    <t>Trụ 23, Xã Bàu Bàng, Thành phố Hồ Chí Minh</t>
  </si>
  <si>
    <t>PE19000004500</t>
  </si>
  <si>
    <t>Phòng Kinh tế xã Bàu Bàng - TP.HCM - Đèn Đường 121</t>
  </si>
  <si>
    <t>Khu phố Đồng Sổ, Xã Bàu Bàng, Thành phố Hồ Chí Minh</t>
  </si>
  <si>
    <t>Trụ 1-1(14H) Trạm 14 Chiến Thắng 91</t>
  </si>
  <si>
    <t>PB04090025902</t>
  </si>
  <si>
    <t>UBND Xã Lai Uyên - Chiếu sáng ấp Bàu Bàng</t>
  </si>
  <si>
    <t xml:space="preserve"> Xã Lai Uyên,  H.Bàu Bàng, Xã Bàu Bàng, Thành phố Hồ Chí Minh</t>
  </si>
  <si>
    <t>Trụ 26, Xã Bàu Bàng, Thành phố Hồ Chí Minh</t>
  </si>
  <si>
    <t>PB04090032533</t>
  </si>
  <si>
    <t>UBND Thị Trấn Lai Uyên (CSCC đường 82)</t>
  </si>
  <si>
    <t>PE19000004499</t>
  </si>
  <si>
    <t>Phòng Kinh tế xã Bàu Bàng - TP.HCM - Đèn Đường 111</t>
  </si>
  <si>
    <t>Trụ 1-2(29H) trạm 28 Chiến Thắng 91</t>
  </si>
  <si>
    <t>PE19000004498</t>
  </si>
  <si>
    <t>Phòng Kinh tế xã Bàu Bàng - TP.HCM - Đèn Đường 106</t>
  </si>
  <si>
    <t>Trụ 2-1 trạm 06 Chiến Thắng 91</t>
  </si>
  <si>
    <t>PB04090032544</t>
  </si>
  <si>
    <t>UBND Thị Trấn Lai Uyên (CSCC đường Bà 3 Tánh đi 10 Tân - Tủ 2)</t>
  </si>
  <si>
    <t>Trụ 01AH-1, Xã Bàu Bàng, Thành phố Hồ Chí Minh</t>
  </si>
  <si>
    <t>PB04090029015</t>
  </si>
  <si>
    <t>UBND TT Lai Uyên - Đèn đường tổ 1, KP.Đồng Sổ_Tủ T01</t>
  </si>
  <si>
    <t xml:space="preserve"> KP.Đồng Sổ,  TT.Lai Uyên,  H.Bàu Bàng, Xã Bàu Bàng, Thành phố Hồ Chí Minh</t>
  </si>
  <si>
    <t>Trụ 70B-5/16, Xã Bàu Bàng, Thành phố Hồ Chí Minh</t>
  </si>
  <si>
    <t>PB04090034476</t>
  </si>
  <si>
    <t>UBND thị trấn Lai Uyên (Chiếu sáng đường số 86)</t>
  </si>
  <si>
    <t>Trụ 71HB-3, Xã Bàu Bàng, Thành phố Hồ Chí Minh</t>
  </si>
  <si>
    <t>PB04090027230</t>
  </si>
  <si>
    <t>UBND thị trấn Lai Uyên – Đèn đường KP Cây Sắn tuyến đường Chợ Than (Tủ 01)</t>
  </si>
  <si>
    <t>Trụ 130B-7, Xã Bàu Bàng, Thành phố Hồ Chí Minh</t>
  </si>
  <si>
    <t>PB04090027232</t>
  </si>
  <si>
    <t>UBND thị trấn Lai Uyên – Đèn đường KP Cây Sắn tuyến đường Chợ Than (Tủ 03)</t>
  </si>
  <si>
    <t>Trụ 123HB-13, Xã Bàu Bàng, Thành phố Hồ Chí Minh</t>
  </si>
  <si>
    <t>PB04090029021</t>
  </si>
  <si>
    <t>UBND TT Lai Uyên - Đèn đường KP.Cây Sắn_Tủ T03</t>
  </si>
  <si>
    <t xml:space="preserve"> KP.Cây Sắn,  TT.Lai Uyên,  H.Bàu Bàng, Xã Bàu Bàng, Thành phố Hồ Chí Minh</t>
  </si>
  <si>
    <t>Trụ 190B-6, Xã Bàu Bàng, Thành phố Hồ Chí Minh</t>
  </si>
  <si>
    <t>PB04090032529</t>
  </si>
  <si>
    <t>UBND Thị Trấn Lai Uyên (CSCC đường 51)</t>
  </si>
  <si>
    <t>Trụ 183, Xã Bàu Bàng, Thành phố Hồ Chí Minh</t>
  </si>
  <si>
    <t>PB04090034477</t>
  </si>
  <si>
    <t>UBND thị trấn Lai Uyên (Chiếu sáng đường số 97)</t>
  </si>
  <si>
    <t>Trụ 137-2/18, Xã Bàu Bàng, Thành phố Hồ Chí Minh</t>
  </si>
  <si>
    <t>PB04090034561</t>
  </si>
  <si>
    <t>UBND thị trấn Lai Uyên (Chiếu sáng đường số 50 tủ 3)</t>
  </si>
  <si>
    <t>Trụ 189-10 (137-2/24-9), Xã Bàu Bàng, Thành phố Hồ Chí Minh</t>
  </si>
  <si>
    <t>PE19000004487</t>
  </si>
  <si>
    <t>Phòng Kinh tế xã Bàu Bàng - TP.HCM - Đèn Đường 73 tủ 3</t>
  </si>
  <si>
    <t>Trụ 2-5 trạm 39 Tiền Giang</t>
  </si>
  <si>
    <t>PB04090032540</t>
  </si>
  <si>
    <t>UBND Thị Trấn Lai Uyên (CSCC đường 71 - Tủ 2)</t>
  </si>
  <si>
    <t>Trụ 16-2, Xã Bàu Bàng, Thành phố Hồ Chí Minh</t>
  </si>
  <si>
    <t>PB04090029012</t>
  </si>
  <si>
    <t>UBND TT Lai Uyên - Đèn đường xóm Tiền Giang, KP.Bến Lớn_Tủ 01</t>
  </si>
  <si>
    <t xml:space="preserve"> KP.Bến Lớn,  TT.Lai Uyên,  H.Bàu Bàng, Xã Bàu Bàng, Thành phố Hồ Chí Minh</t>
  </si>
  <si>
    <t>Trụ 06, Xã Bàu Bàng, Thành phố Hồ Chí Minh</t>
  </si>
  <si>
    <t>PB04090029013</t>
  </si>
  <si>
    <t>UBND TT Lai Uyên - Đèn đường xóm Tiền Giang, KP.Bến Lớn_Tủ 02</t>
  </si>
  <si>
    <t>Trụ 13, Xã Bàu Bàng, Thành phố Hồ Chí Minh</t>
  </si>
  <si>
    <t>PB04090024993</t>
  </si>
  <si>
    <t>UBND thị trấn Lai Uyên_Đèn đường Khu phố Bàu Hốt</t>
  </si>
  <si>
    <t xml:space="preserve"> TT.Lai Uyên,  H.Bàu Bàng, Xã Bàu Bàng, Thành phố Hồ Chí Minh</t>
  </si>
  <si>
    <t>Trụ 14-3, Xã Bàu Bàng, Thành phố Hồ Chí Minh</t>
  </si>
  <si>
    <t>PB04090024996</t>
  </si>
  <si>
    <t>UBND thị trấn Lai Uyên_Đèn đường khu phố Cây Sắn</t>
  </si>
  <si>
    <t>Trụ 12-3, Xã Bàu Bàng, Thành phố Hồ Chí Minh</t>
  </si>
  <si>
    <t>PB04090032539</t>
  </si>
  <si>
    <t>UBND Thị Trấn Lai Uyên (CSCC đường 71 - Tủ 1)</t>
  </si>
  <si>
    <t>Trụ 12-2, Xã Bàu Bàng, Thành phố Hồ Chí Minh</t>
  </si>
  <si>
    <t>PE19000004484</t>
  </si>
  <si>
    <t>Phòng Kinh tế xã Bàu Bàng - TP.HCM - Đèn Đường 72</t>
  </si>
  <si>
    <t>Trụ 1-8 trạm 01 Cầu Sà Mách 2/20B</t>
  </si>
  <si>
    <t>PE19000004485</t>
  </si>
  <si>
    <t>Phòng Kinh tế xã Bàu Bàng - TP.HCM - Đèn Đường 73 tủ 1</t>
  </si>
  <si>
    <t>Trụ 1-1 trạm 08 Tiền Giang 24</t>
  </si>
  <si>
    <t>PE19000004486</t>
  </si>
  <si>
    <t>Phòng Kinh tế xã Bàu Bàng - TP.HCM - Đèn Đường 73 tủ 2</t>
  </si>
  <si>
    <t>Trụ 24 trạm 23 Tiền Giang</t>
  </si>
  <si>
    <t>PB04090029014</t>
  </si>
  <si>
    <t>UBND TT Lai Uyên - Đèn đường xóm Tiền Giang, KP.Bến Lớn_Tủ 03</t>
  </si>
  <si>
    <t>Trụ 18H, Xã Bàu Bàng, Thành phố Hồ Chí Minh</t>
  </si>
  <si>
    <t>PB04090034563</t>
  </si>
  <si>
    <t>UBND thị trấn Lai Uyên (Chiếu sáng đường số 53 tủ 4)</t>
  </si>
  <si>
    <t>Trụ 08-1, Xã Bàu Bàng, Thành phố Hồ Chí Minh</t>
  </si>
  <si>
    <t>PB04090027244</t>
  </si>
  <si>
    <t>UBND thị trấn Lai Uyên – Đèn đường KP Bến Lớn tuyến đường Bà Tư Nhặt (Tủ 02)</t>
  </si>
  <si>
    <t>Trụ 16H, Xã Bàu Bàng, Thành phố Hồ Chí Minh</t>
  </si>
  <si>
    <t>PE19000004496</t>
  </si>
  <si>
    <t>Phòng Kinh tế xã Bàu Bàng - TP.HCM - Đèn Đường 102</t>
  </si>
  <si>
    <t>Trụ 20 trạm 28 Đồng Chèo</t>
  </si>
  <si>
    <t>PB04090027246</t>
  </si>
  <si>
    <t>UBND thị trấn Lai Uyên – Đèn đường KP Đồng Chèo (Tủ 01)</t>
  </si>
  <si>
    <t>Trụ 24H, Xã Bàu Bàng, Thành phố Hồ Chí Minh</t>
  </si>
  <si>
    <t>PB04090032536</t>
  </si>
  <si>
    <t>UBND Thị Trấn Lai Uyên (CSCC đường Bà 10 Tân đi NTCS Tân Hưng - Tủ 1)</t>
  </si>
  <si>
    <t>Trụ 28H(1-1), Xã Bàu Bàng, Thành phố Hồ Chí Minh</t>
  </si>
  <si>
    <t>PE19000004497</t>
  </si>
  <si>
    <t>Phòng Kinh tế xã Bàu Bàng - TP.HCM - Đèn Đường 103</t>
  </si>
  <si>
    <t>Trụ 02 trạm 07 Đồng Chèo 26</t>
  </si>
  <si>
    <t>PB04090025102</t>
  </si>
  <si>
    <t>UBND Xã Lai Uyên_Đèn đường ấp Đồng Chèo</t>
  </si>
  <si>
    <t xml:space="preserve"> X.Lai uyên,  H.Bàu Bàng, Xã Bàu Bàng, Thành phố Hồ Chí Minh</t>
  </si>
  <si>
    <t>Trụ 15H (1-9), Xã Bàu Bàng, Thành phố Hồ Chí Minh</t>
  </si>
  <si>
    <t>PB04090032543</t>
  </si>
  <si>
    <t>UBND Thị Trấn Lai Uyên (CSCC đường Bà 3 Tánh đi 10 Tân - Tủ 1)</t>
  </si>
  <si>
    <t>Trụ 07H(1-1), Xã Bàu Bàng, Thành phố Hồ Chí Minh</t>
  </si>
  <si>
    <t>PE19000004495</t>
  </si>
  <si>
    <t xml:space="preserve">Phòng Kinh tế xã Bàu Bàng - TP.HCM - Đèn Đường </t>
  </si>
  <si>
    <t>Trụ 12 trạm 13 Đồng Chèo</t>
  </si>
  <si>
    <t>PE19000004488</t>
  </si>
  <si>
    <t>Phòng Kinh tế xã Bàu Bàng - TP.HCM - Đèn Đường 79</t>
  </si>
  <si>
    <t>Trụ 1A1 (16-1) trạm 13 Đồng Chèo</t>
  </si>
  <si>
    <t>PB04090025371</t>
  </si>
  <si>
    <t>UBND Xã Lai Uyên - Đèn đường ấp Đồng Chèo (T4)</t>
  </si>
  <si>
    <t xml:space="preserve"> Ấp Đồng Chèo,  X.Lai Uyên,  H.Bàu Bàng, Xã Bàu Bàng, Thành phố Hồ Chí Minh</t>
  </si>
  <si>
    <t>Trụ 11, Xã Bàu Bàng, Thành phố Hồ Chí Minh</t>
  </si>
  <si>
    <t>PB04090027245</t>
  </si>
  <si>
    <t>UBND thị trấn Lai Uyên – Đèn đường KP Đồng Chèo (Tủ 02)</t>
  </si>
  <si>
    <t>PB04090032535</t>
  </si>
  <si>
    <t>UBND Thị Trấn Lai Uyên (CSCC đường Lai Uyên 67 - Tủ 1)</t>
  </si>
  <si>
    <t>Trụ 27, Xã Bàu Bàng, Thành phố Hồ Chí Minh</t>
  </si>
  <si>
    <t>PB04090034564</t>
  </si>
  <si>
    <t>UBND thị trấn Lai Uyên (Chiếu sáng đường số 66 tủ 5)</t>
  </si>
  <si>
    <t>Trụ 1-7 (31H), Xã Bàu Bàng, Thành phố Hồ Chí Minh</t>
  </si>
  <si>
    <t>PB04090025905</t>
  </si>
  <si>
    <t>UBND Xã Lai Uyên - Chiếu sáng ấp Đồng Chèo</t>
  </si>
  <si>
    <t>Trụ 39H, Xã Bàu Bàng, Thành phố Hồ Chí Minh</t>
  </si>
  <si>
    <t>PB04090032537</t>
  </si>
  <si>
    <t>UBND Thị Trấn Lai Uyên (CSCC đường Bà 10 Tân đi NTCS Tân Hưng - Tủ 2)</t>
  </si>
  <si>
    <t>Trụ 42H(2-1), Xã Bàu Bàng, Thành phố Hồ Chí Minh</t>
  </si>
  <si>
    <t>PB04090032541</t>
  </si>
  <si>
    <t>UBND Thị Trấn Lai Uyên (CSCC đường 71 - Tủ 3)</t>
  </si>
  <si>
    <t>Trụ 38H, Xã Bàu Bàng, Thành phố Hồ Chí Minh</t>
  </si>
  <si>
    <t>PB04090025909</t>
  </si>
  <si>
    <t>Trụ 62H, Xã Bàu Bàng, Thành phố Hồ Chí Minh</t>
  </si>
  <si>
    <t>PB04090032538</t>
  </si>
  <si>
    <t>UBND Thị Trấn Lai Uyên (CSCC đường Bà 10 Tân đi NTCS Tân Hưng - Tủ 3)</t>
  </si>
  <si>
    <t>Trụ 52H, Xã Bàu Bàng, Thành phố Hồ Chí Minh</t>
  </si>
  <si>
    <t>PB04090034474</t>
  </si>
  <si>
    <t>UBND thị trấn Lai Uyên (Chiếu sáng đường số 80)</t>
  </si>
  <si>
    <t xml:space="preserve"> KP.Đồng Chèo,  TT.Lai Uyên,  H.Bàu Bàng, Xã Bàu Bàng, Thành phố Hồ Chí Minh</t>
  </si>
  <si>
    <t>Trụ 1-1 (15H), Xã Bàu Bàng, Thành phố Hồ Chí Minh</t>
  </si>
  <si>
    <t>PB04090027239</t>
  </si>
  <si>
    <t>UBND thị trấn Lai Uyên – Đèn đường KP Bến Lớn tuyến đường ông Chỉ - ông Hiệp (Tủ 01)</t>
  </si>
  <si>
    <t>Trụ 21-10, Xã Bàu Bàng, Thành phố Hồ Chí Minh</t>
  </si>
  <si>
    <t>PB04090027241</t>
  </si>
  <si>
    <t>UBND thị trấn Lai Uyên – Đèn đường KP Bến Lớn tuyến đường ông Chỉ - ông Hiệp (Tủ 02)</t>
  </si>
  <si>
    <t>Trụ 07, Xã Bàu Bàng, Thành phố Hồ Chí Minh</t>
  </si>
  <si>
    <t>PB04090027238</t>
  </si>
  <si>
    <t>UBND thị trấn Lai Uyên – Đèn đường KP Bến Lớn (Tủ 01)</t>
  </si>
  <si>
    <t>Trụ 11-20, Xã Bàu Bàng, Thành phố Hồ Chí Minh</t>
  </si>
  <si>
    <t>PB04090032542</t>
  </si>
  <si>
    <t>UBND Thị Trấn Lai Uyên (CSCC đường Lai Uyên 65 - Tủ 1)</t>
  </si>
  <si>
    <t>PE19000004483</t>
  </si>
  <si>
    <t>Phòng Kinh tế xã Bàu Bàng - TP.HCM - Đèn Đường 63</t>
  </si>
  <si>
    <t>Trụ 1-6 trạm 10 Ông Thành)</t>
  </si>
  <si>
    <t>PB04090032530</t>
  </si>
  <si>
    <t>UBND Thị Trấn Lai Uyên (CSCC đường Lai Uyên 63)</t>
  </si>
  <si>
    <t>Trụ 10H(1-1), Xã Bàu Bàng, Thành phố Hồ Chí Minh</t>
  </si>
  <si>
    <t>PB04090024990</t>
  </si>
  <si>
    <t>UBND Thị trấn Lai Uyên_Đèn đường ấp Xà Mách</t>
  </si>
  <si>
    <t>Trụ 153H-14, Xã Bàu Bàng, Thành phố Hồ Chí Minh</t>
  </si>
  <si>
    <t>PB04090023077</t>
  </si>
  <si>
    <t>UBND thị trấn Lai Uyên - huyện Bàu Bàng</t>
  </si>
  <si>
    <t>Trụ 151HB, Xã Bàu Bàng, Thành phố Hồ Chí Minh</t>
  </si>
  <si>
    <t>PB04090023075</t>
  </si>
  <si>
    <t>Trụ 149HB, Xã Bàu Bàng, Thành phố Hồ Chí Minh</t>
  </si>
  <si>
    <t>PE19000004462</t>
  </si>
  <si>
    <t>Phòng Kinh tế xã Bàu Bàng - TP.HCM - Đèn Đường 30</t>
  </si>
  <si>
    <t>Trụ 05 trạm 06 Xà Mách 05</t>
  </si>
  <si>
    <t>PB04090034473</t>
  </si>
  <si>
    <t>UBND thị trấn Lai Uyên (Chiếu sáng đường số 22)</t>
  </si>
  <si>
    <t xml:space="preserve"> KP.Bàu Hốt,  TT.Lai Uyên,  H.Bàu Bàng, Xã Bàu Bàng, Thành phố Hồ Chí Minh</t>
  </si>
  <si>
    <t>Trụ 02AH-3, Xã Bàu Bàng, Thành phố Hồ Chí Minh</t>
  </si>
  <si>
    <t>PB04090024997</t>
  </si>
  <si>
    <t>UBND thị trấn Lai Uyên_Đèn đường khu phố Bàu Lòng</t>
  </si>
  <si>
    <t>Trụ 05H-2, Xã Bàu Bàng, Thành phố Hồ Chí Minh</t>
  </si>
  <si>
    <t>PB04090023084</t>
  </si>
  <si>
    <t>Trụ 167-1/13, Xã Bàu Bàng, Thành phố Hồ Chí Minh</t>
  </si>
  <si>
    <t>PB04090034472</t>
  </si>
  <si>
    <t>UBND thị trấn Lai Uyên (Chiếu sáng đường số 21)</t>
  </si>
  <si>
    <t>Trụ 20H-2, Xã Bàu Bàng, Thành phố Hồ Chí Minh</t>
  </si>
  <si>
    <t>PE19000004460</t>
  </si>
  <si>
    <t>Phòng Kinh tế xã Bàu Bàng - TP.HCM - Đèn Đường 20 tủ 2</t>
  </si>
  <si>
    <t>Trụ 16 trạm 04 Bàu Hốt</t>
  </si>
  <si>
    <t>PB04090029247</t>
  </si>
  <si>
    <t>UBND Thị Trấn Lai Uyên - Đèn đường KP.Bàu Lòng ( Tủ ĐK 03 )</t>
  </si>
  <si>
    <t xml:space="preserve"> Tuyến Việt Trường Hải - nhà Ông Quý, KP.Bàu Lòng,  TT.Lai Uyên,  H.Bàu Bàng, Xã Bàu Bàng, Thành phố Hồ Chí Minh</t>
  </si>
  <si>
    <t>Trụ 11-12, Xã Bàu Bàng, Thành phố Hồ Chí Minh</t>
  </si>
  <si>
    <t/>
  </si>
  <si>
    <t>PB04090023072</t>
  </si>
  <si>
    <t>PE19000004502</t>
  </si>
  <si>
    <t>Phòng Kinh tế xã Bàu Bàng - TP.HCM - Đèn Đường 18</t>
  </si>
  <si>
    <t>Trụ 2-1 trạm 20 Bàu Lòng</t>
  </si>
  <si>
    <t>PB04090004498</t>
  </si>
  <si>
    <t>Đèn Dương Lai Uyên 1 - UBND thị trấn Lai Uyên</t>
  </si>
  <si>
    <t>Trụ 134, Xã Bàu Bàng, Thành phố Hồ Chí Minh</t>
  </si>
  <si>
    <t>PB04090027444</t>
  </si>
  <si>
    <t>UBND thị trấn Lai Uyên – Đèn đường KP Bàu Lòng tuyến Tổ 10 &amp; Tổ 6 (Tủ 02)</t>
  </si>
  <si>
    <t>Trụ 142-1/1-26, Xã Bàu Bàng, Thành phố Hồ Chí Minh</t>
  </si>
  <si>
    <t>PB04090027445</t>
  </si>
  <si>
    <t>UBND thị trấn Lai Uyên – Đèn đường KP Bàu Lòng tuyến Tổ 10 &amp; Tổ 6 (Tủ 01)</t>
  </si>
  <si>
    <t>Trụ 141B-12, Xã Bàu Bàng, Thành phố Hồ Chí Minh</t>
  </si>
  <si>
    <t>PB04090024871</t>
  </si>
  <si>
    <t>UBND xã Lai Uyên - Chiếu sáng đèn đường ấp Bàu Hốt</t>
  </si>
  <si>
    <t>Trụ 07H, Xã Bàu Bàng, Thành phố Hồ Chí Minh</t>
  </si>
  <si>
    <t>PE19000004452</t>
  </si>
  <si>
    <t>Phòng Kinh tế xã Bàu Bàng - TP.HCM - Đèn Đường 19</t>
  </si>
  <si>
    <t>Trụ 1-1 trạm 04 Lê Liên - TRO145B</t>
  </si>
  <si>
    <t>PB04090027448</t>
  </si>
  <si>
    <t>UBND thị trấn Lai Uyên – Đèn đường KP Bàu Hốt (Tủ 01)</t>
  </si>
  <si>
    <t>Trụ 146-1/9, Xã Bàu Bàng, Thành phố Hồ Chí Minh</t>
  </si>
  <si>
    <t>PB04090029248</t>
  </si>
  <si>
    <t>UBND Thị Trấn Lai Uyên - Đèn đường KP.Bàu Lòng ( Tủ ĐK 04 )</t>
  </si>
  <si>
    <t>PB04090024994</t>
  </si>
  <si>
    <t>UBND thị trấn Lai Uyên_Đèn đường khu phố Bàu Hốt</t>
  </si>
  <si>
    <t>Trụ 153-1/7-10, Xã Bàu Bàng, Thành phố Hồ Chí Minh</t>
  </si>
  <si>
    <t>PB04090029010</t>
  </si>
  <si>
    <t>UBND TT Lai Uyên - Đèn đường  Đ.ĐH 618, KP.Xà Mách_Tủ 01</t>
  </si>
  <si>
    <t>Trụ 09-10, Xã Bàu Bàng, Thành phố Hồ Chí Minh</t>
  </si>
  <si>
    <t>PB04090034558</t>
  </si>
  <si>
    <t>UBND thị trấn Lai Uyên (Chiếu sáng đường số 39 tủ 1)</t>
  </si>
  <si>
    <t>Trụ 1-1 (09H), Xã Bàu Bàng, Thành phố Hồ Chí Minh</t>
  </si>
  <si>
    <t>PE19000004465</t>
  </si>
  <si>
    <t>Phòng Kinh tế xã Bàu Bàng - TP.HCM - Đèn Đường 41</t>
  </si>
  <si>
    <t>Trụ 13HB trạm 13 Ấp 1 Lai Uyên</t>
  </si>
  <si>
    <t>PB04090027228</t>
  </si>
  <si>
    <t>UBND thị trấn Lai Uyên – Đèn đường KP Cây Sắn (Tủ 01)</t>
  </si>
  <si>
    <t>Trụ 11H-25/2, Xã Bàu Bàng, Thành phố Hồ Chí Minh</t>
  </si>
  <si>
    <t>PB04090027443</t>
  </si>
  <si>
    <t>UBND thị trấn Lai Uyên – Đèn đường KP Xà Mách (Tủ 02)</t>
  </si>
  <si>
    <t>Trụ 07-5, Xã Bàu Bàng, Thành phố Hồ Chí Minh</t>
  </si>
  <si>
    <t>PB04090024991</t>
  </si>
  <si>
    <t>UBND thị trấn Lai Uyên_Đèn đường ấp Xà Mách</t>
  </si>
  <si>
    <t>Trụ 05H, Xã Bàu Bàng, Thành phố Hồ Chí Minh</t>
  </si>
  <si>
    <t>PB04090027442</t>
  </si>
  <si>
    <t>UBND thị trấn Lai Uyên – Đèn đường KP Xà Mách (Tủ 01)</t>
  </si>
  <si>
    <t>Trụ 25H, Xã Bàu Bàng, Thành phố Hồ Chí Minh</t>
  </si>
  <si>
    <t>PB04090024992</t>
  </si>
  <si>
    <t xml:space="preserve"> Ấp 2 - Xã Bàu Bàng, TP Hồ Chí Minh, Việt Nam</t>
  </si>
  <si>
    <t>Trụ 16H-4, trạm 16 Xà Mách</t>
  </si>
  <si>
    <t>PE19000004464</t>
  </si>
  <si>
    <t>Phòng Kinh tế xã Bàu Bàng - TP.HCM - Đèn Đường 33</t>
  </si>
  <si>
    <t>Trụ 1-8 trạm 07 Xà Mách 16</t>
  </si>
  <si>
    <t>PE19000004489</t>
  </si>
  <si>
    <t>Phòng Kinh tế xã Bàu Bàng - TP.HCM - Đèn Đường 81</t>
  </si>
  <si>
    <t>Trụ 1-1 Trạm 60 Lâm Nghiệp</t>
  </si>
  <si>
    <t>PE19000004478</t>
  </si>
  <si>
    <t>Phòng Kinh tế xã Bàu Bàng - TP.HCM - Đèn Đường 50 tủ 2</t>
  </si>
  <si>
    <t>Trụ 30 trạm 30 Ấp 3 Lai Uyên</t>
  </si>
  <si>
    <t>PB04090034560</t>
  </si>
  <si>
    <t>UBND thị trấn Lai Uyên (Chiếu sáng đường số 45 tủ 2)</t>
  </si>
  <si>
    <t>Trụ 2-1 (33H), Xã Bàu Bàng, Thành phố Hồ Chí Minh</t>
  </si>
  <si>
    <t>PE19000004481</t>
  </si>
  <si>
    <t>Phòng Kinh tế xã Bàu Bàng - TP.HCM - Đèn Đường 50 tủ 3</t>
  </si>
  <si>
    <t>Trụ 1-18 trạm 62 Bà Tứ</t>
  </si>
  <si>
    <t>PE19000004474</t>
  </si>
  <si>
    <t>Phòng Kinh tế xã Bàu Bàng - TP.HCM - Đèn Đường 50 tủ 1</t>
  </si>
  <si>
    <t>Trụ 17B trạm 17 Ấp 3 Lai Uyên</t>
  </si>
  <si>
    <t>PB04090029011</t>
  </si>
  <si>
    <t>UBND TT Lai Uyên - Đèn đường tổ 8, KP.Cây Sắn_Tủ 01</t>
  </si>
  <si>
    <t>Trụ 11H, Xã Bàu Bàng, Thành phố Hồ Chí Minh</t>
  </si>
  <si>
    <t>PE19000004482</t>
  </si>
  <si>
    <t>Phòng Kinh tế xã Bàu Bàng - TP.HCM - Đèn Đường 57</t>
  </si>
  <si>
    <t>Trụ 1-5 trạm 184 Tham Rớt</t>
  </si>
  <si>
    <t>PB04090024995</t>
  </si>
  <si>
    <t>Trụ 181HB-8, Xã Bàu Bàng, Thành phố Hồ Chí Minh</t>
  </si>
  <si>
    <t>PB04090027235</t>
  </si>
  <si>
    <t>UBND thị trấn Lai Uyên – Đèn đường KP Cây Sắn tuyến đường Chợ Than (Tủ 04)</t>
  </si>
  <si>
    <t>Trụ 189-12, Xã Bàu Bàng, Thành phố Hồ Chí Minh</t>
  </si>
  <si>
    <t>PB04090029020</t>
  </si>
  <si>
    <t>UBND TT Lai Uyên - Đèn đường KP.Cây Sắn_Tủ T02</t>
  </si>
  <si>
    <t>Trụ 186H-8, Xã Bàu Bàng, Thành phố Hồ Chí Minh</t>
  </si>
  <si>
    <t>PB04090013170</t>
  </si>
  <si>
    <t>PB04090034475</t>
  </si>
  <si>
    <t>UBND thị trấn Lai Uyên (Chiếu sáng đường số 85)</t>
  </si>
  <si>
    <t xml:space="preserve"> Đường số 85,  trụ 2/3, KP.Bàu Bàng,  TT.Lai Uyên,  H.Bàu Bàng, Xã Bàu Bàng, Thành phố Hồ Chí Minh</t>
  </si>
  <si>
    <t>Trụ 2-3 (84H), Xã Bàu Bàng, Thành phố Hồ Chí Minh</t>
  </si>
  <si>
    <t>PB04090024872</t>
  </si>
  <si>
    <t>UBND xã Lai Uyên - Chiếu sáng đèn đường KP Bàu Lòng</t>
  </si>
  <si>
    <t xml:space="preserve"> KP.Bàu Lòng,  TT.Lai Uyên,  H.Bàu Bàng, Xã Bàu Bàng, Thành phố Hồ Chí Minh</t>
  </si>
  <si>
    <t>Trụ 130-1/3-8, Xã Bàu Bàng, Thành phố Hồ Chí Minh</t>
  </si>
  <si>
    <t>PB04090023076</t>
  </si>
  <si>
    <t>UBND thi trấn Lai Uyên - huyện Bàu Bàng</t>
  </si>
  <si>
    <t>Trụ 130-1/6, Xã Bàu Bàng, Thành phố Hồ Chí Minh</t>
  </si>
  <si>
    <t>PB04090013171</t>
  </si>
  <si>
    <t>PB04090011601</t>
  </si>
  <si>
    <t>Văn phòng khu phố Bàu Lòng</t>
  </si>
  <si>
    <t xml:space="preserve"> ấp Bàu Lòng,  X.Trừ Văn Thố, Xã Bàu Bàng, Thành phố Hồ Chí Minh</t>
  </si>
  <si>
    <t>Trụ 130-1/6/7, Xã Bàu Bàng, Thành phố Hồ Chí Minh</t>
  </si>
  <si>
    <t>PB04090023071</t>
  </si>
  <si>
    <t>PB04090029245</t>
  </si>
  <si>
    <t>UBND Thị Trấn Lai Uyên - Đèn đường KP.Bàu Lòng ( Tủ ĐK 01)</t>
  </si>
  <si>
    <t xml:space="preserve"> Tuyến Nguyễn Lê Cửu - Đỗ Văn Liêm, KP. Bàu Lòng,  TT.Lai Uyên,  H.Bàu Bàng, Xã Bàu Bàng, Thành phố Hồ Chí Minh</t>
  </si>
  <si>
    <t>PB04090025428</t>
  </si>
  <si>
    <t>Công Ty Cổ Phần Phát Triển Hạ Tầng Kỹ Thuật- Đèn đường giao thông ấp Xà Mách</t>
  </si>
  <si>
    <t>PB04090023074</t>
  </si>
  <si>
    <t>PB04090023085</t>
  </si>
  <si>
    <t>PE19000004457</t>
  </si>
  <si>
    <t>Phòng Kinh tế xã Bàu Bàng - TP.HCM - Đèn Đường 20 tủ 1</t>
  </si>
  <si>
    <t>Trụ 05-1 trạm 08 Chiến Thắng 262</t>
  </si>
  <si>
    <t>PB04090029019</t>
  </si>
  <si>
    <t>UBND TT Lai Uyên - Đèn đường KP.Cây Sắn_Tủ T01</t>
  </si>
  <si>
    <t>PB04090024873</t>
  </si>
  <si>
    <t>UBND xã Lai Uyên - Chiếu sáng đèn đường ấp Xà Mách</t>
  </si>
  <si>
    <t>PB04090029016</t>
  </si>
  <si>
    <t>UBND TT Lai Uyên - Đèn đường tổ 1, KP.Đồng Sổ_Tủ T02</t>
  </si>
  <si>
    <t>Trụ 120H, Xã Bàu Bàng, Thành phố Hồ Chí Minh</t>
  </si>
  <si>
    <t>PE19000004494</t>
  </si>
  <si>
    <t>Phòng Kinh tế xã Bàu Bàng - TP.HCM - Đèn Đường 95 tủ 3</t>
  </si>
  <si>
    <t>Trụ 43 trạm 44 Đồng Sổ 87B</t>
  </si>
  <si>
    <t>PE19000004492</t>
  </si>
  <si>
    <t>Phòng Kinh tế xã Bàu Bàng - TP.HCM - Đèn Đường 95 tủ 1</t>
  </si>
  <si>
    <t>Trụ 08 trạm 09 Đồng Sổ 87B</t>
  </si>
  <si>
    <t>PE19000004493</t>
  </si>
  <si>
    <t>Phòng Kinh tế xã Bàu Bàng - TP.HCM - Đèn Đường 95 tủ 2</t>
  </si>
  <si>
    <t>Trụ 27 trạm 24 Đồng Sổ 87B</t>
  </si>
  <si>
    <t>PB04090025429</t>
  </si>
  <si>
    <t>Công Ty Cổ Phần Phát Triển Hạ Tầng Kỹ Thuật- Đèn đường giao thông ấp Đồng Sổ</t>
  </si>
  <si>
    <t>PB04090029017</t>
  </si>
  <si>
    <t>UBND TT Lai Uyên - Đèn đường tổ 1, KP.Đồng Sổ_Tủ T03</t>
  </si>
  <si>
    <t>Trụ 07-7, Xã Bàu Bàng, Thành phố Hồ Chí Minh</t>
  </si>
  <si>
    <t>PB04090023086</t>
  </si>
  <si>
    <t>Trụ 06H, Xã Bàu Bàng, Thành phố Hồ Chí Minh</t>
  </si>
  <si>
    <t>PB04090025375</t>
  </si>
  <si>
    <t>UBND Xã Lai Uyên - Đèn đường ấp Đồng Sổ</t>
  </si>
  <si>
    <t xml:space="preserve"> Ấp Đồng Sổ,  X.Lai Uyên,  H.Bàu Bàng, Xã Bàu Bàng, Thành phố Hồ Chí Minh</t>
  </si>
  <si>
    <t>Trụ 06-1, Xã Bàu Bàng, Thành phố Hồ Chí Minh</t>
  </si>
  <si>
    <t>PB04090029018</t>
  </si>
  <si>
    <t>UBND TT Lai Uyên - Đèn đường tổ 1, KP.Đồng Sổ_Tủ T04</t>
  </si>
  <si>
    <t>Trụ 04, Xã Bàu Bàng, Thành phố Hồ Chí Minh</t>
  </si>
  <si>
    <t>PE19000004490</t>
  </si>
  <si>
    <t>Phòng Kinh tế xã Bàu Bàng - TP.HCM - Đèn Đường 88</t>
  </si>
  <si>
    <t xml:space="preserve">Khu phố Đồng Sổ, Xã Bàu Bàng, Thành phố Hồ Chí Minh </t>
  </si>
  <si>
    <t>Trụ 24 trạm 27 Đồng Sổ</t>
  </si>
  <si>
    <t>PB04090025376</t>
  </si>
  <si>
    <t>Trụ 96-10, Xã Bàu Bàng, Thành phố Hồ Chí Minh</t>
  </si>
  <si>
    <t>PB04090037716</t>
  </si>
  <si>
    <t>Phòng Văn hóa, Khoa học và Thông tin huyện Bàu Bàng</t>
  </si>
  <si>
    <t xml:space="preserve"> TẦNG 3, TÒA NHÀ TTHC HUYỆN BÀU BÀNG, KĐT BÀU BÀNG, Xã Bàu Bàng, TP Hồ Chí Minh, Việt Nam</t>
  </si>
  <si>
    <t>Trụ 2-6 (01-11), trạm 01 KDC Chợ Bàu Bàng 08</t>
  </si>
  <si>
    <t>PB04090027247</t>
  </si>
  <si>
    <t>UBND thị trấn Lai Uyên – Đèn đường KP Bàu Lòng (Tủ 01)</t>
  </si>
  <si>
    <t>Trụ 02H-13, Xã Bàu Bàng, Thành phố Hồ Chí Minh</t>
  </si>
  <si>
    <t>PB04090029246</t>
  </si>
  <si>
    <t>UBND Thị Trấn Lai Uyên - Đèn đường KP.Bàu Lòng (Tủ ĐK 02)</t>
  </si>
  <si>
    <t xml:space="preserve"> Tuyến đường nhà bà Lý, KP.Bàu Lòng,  TT.Lai Uyên,  H.Bàu Bàng, Xã Bàu Bàng, Thành phố Hồ Chí Minh</t>
  </si>
  <si>
    <t>Trụ 05HB-11, Xã Bàu Bàng, Thành phố Hồ Chí Minh</t>
  </si>
  <si>
    <t>PB04090025374</t>
  </si>
  <si>
    <t>UBND Xã Lai Uyên - Đèn đường ấp Đồng Chèo</t>
  </si>
  <si>
    <t>Trụ 04H, Xã Bàu Bàng, Thành phố Hồ Chí Minh</t>
  </si>
  <si>
    <t>PB04090025297</t>
  </si>
  <si>
    <t>UBND xã Lai Uyên - Đèn đường ấp Đồng Chèo</t>
  </si>
  <si>
    <t xml:space="preserve"> Ấp Xà Mách,  X.Lai Uyên,  H.Bàu Bàng, Xã Bàu Bàng, Thành phố Hồ Chí Minh</t>
  </si>
  <si>
    <t>Trụ 20, Xã Bàu Bàng, Thành phố Hồ Chí Minh</t>
  </si>
  <si>
    <t>PB04090025372</t>
  </si>
  <si>
    <t>UBND Xã Lai Uyên - Đèn đường ấp Đồng Chèo (T1)</t>
  </si>
  <si>
    <t>Trụ 26H, Xã Bàu Bàng, Thành phố Hồ Chí Minh</t>
  </si>
  <si>
    <t>PB04090025373</t>
  </si>
  <si>
    <t>UBND Xã Lai Uyên - Đèn đường ấp Đồng Chèo (T2)</t>
  </si>
  <si>
    <t>Trụ 27H, Xã Bàu Bàng, Thành phố Hồ Chí Minh</t>
  </si>
  <si>
    <t>PB04090038137</t>
  </si>
  <si>
    <t>Trụ 53 NR 53 Chiếu Sáng Đường Tạo Lực-CSM3/18, Xã Bàu Bàng, Thành phố Hồ Chí Minh</t>
  </si>
  <si>
    <t>PB04090038126</t>
  </si>
  <si>
    <t>Trụ 29 NR 29 Chiếu Sáng Đường Tạo Lực-CT179C, Xã Bàu Bàng, Thành phố Hồ Chí Minh</t>
  </si>
  <si>
    <t>PB04090010500</t>
  </si>
  <si>
    <t>UBND thị trấn Lai Uyên - Hệ Thống Chiếu Sáng</t>
  </si>
  <si>
    <t>Trụ 01, Xã Bàu Bàng, Thành phố Hồ Chí Minh</t>
  </si>
  <si>
    <t>PB04090010501</t>
  </si>
  <si>
    <t>UBND Xã Lai Uyên - Hệ Thống Chiếu Sáng</t>
  </si>
  <si>
    <t xml:space="preserve"> Xã Lai Uyên, Xã Bàu Bàng, Thành phố Hồ Chí Minh</t>
  </si>
  <si>
    <t>Xã Lai Uyên, Xã Bàu Bàng, Thành phố Hồ Chí Minh</t>
  </si>
  <si>
    <t>PB04090007061</t>
  </si>
  <si>
    <t>PB04090010499</t>
  </si>
  <si>
    <t>PE19000003057</t>
  </si>
  <si>
    <t>Ban Quản Lý Dự Án Đầu Tư Xây Dựng Khu Vực Bàu Bàng</t>
  </si>
  <si>
    <t>Trung tâm phục vụ hành chính công, Đường N17-5A, Ấp Đồng Sổ, Xã Bàu Bàng,Thành Phố Hồ Chí Minh,Việt Nam</t>
  </si>
  <si>
    <t>Trụ 07/DT Nhánh rẽ N2 xây dựng mới</t>
  </si>
  <si>
    <t>PB04090029374</t>
  </si>
  <si>
    <t>Công ty Cổ phần Phát triển Hạ tầng Kỹ thuật</t>
  </si>
  <si>
    <t>PB04090029378</t>
  </si>
  <si>
    <t>PB04090029379</t>
  </si>
  <si>
    <t>PB04090023887</t>
  </si>
  <si>
    <t>PE19000003054</t>
  </si>
  <si>
    <t>Trụ 12 trồng mới, nhánh rẽ N3 xây dựng mới</t>
  </si>
  <si>
    <t>PE19000003056</t>
  </si>
  <si>
    <t>Trụ 30 Nhánh rẽ Mỹ Hằng 1 Hiện hữu</t>
  </si>
  <si>
    <t>PE19000003059</t>
  </si>
  <si>
    <t>Trụ 22 NR Ấp 2 Long Nguyên hiện hữu</t>
  </si>
  <si>
    <t>PE19000003060</t>
  </si>
  <si>
    <t>Trụ 45/DT NR N4 xây dựng mới</t>
  </si>
  <si>
    <t>PE19000003055</t>
  </si>
  <si>
    <t>Trụ 30 trồng mới, nhánh rẽ N3 xây dựng mới</t>
  </si>
  <si>
    <t>PE19000003058</t>
  </si>
  <si>
    <t>Trụ 13/DT Nhánh rẽ N1 xây dựng mới</t>
  </si>
  <si>
    <t>PB04090029372</t>
  </si>
  <si>
    <t>PB04090029373</t>
  </si>
  <si>
    <t>PB04090029382</t>
  </si>
  <si>
    <t>PB04090029381</t>
  </si>
  <si>
    <t>PB04090029385</t>
  </si>
  <si>
    <t>PB04090029387</t>
  </si>
  <si>
    <t>PB04090029383</t>
  </si>
  <si>
    <t xml:space="preserve"> 22416312</t>
  </si>
  <si>
    <t>MÃ PE / NO kiểm tra lại</t>
  </si>
  <si>
    <t xml:space="preserve">MÃ NO </t>
  </si>
  <si>
    <t>PB04090032451</t>
  </si>
  <si>
    <t>UBND xã Cây Trường II (CSCC đường số 3 ấp Ông Chài - Tủ 01)</t>
  </si>
  <si>
    <t>PB04090022910</t>
  </si>
  <si>
    <t>UBND xã Cây Trường II</t>
  </si>
  <si>
    <t>PB04090022911</t>
  </si>
  <si>
    <t>PB04090032452</t>
  </si>
  <si>
    <t>UBND xã Cây Trường II (CSCC đường số 4 ấp Ông Chài - Tủ 02)</t>
  </si>
  <si>
    <t>PB04090032453</t>
  </si>
  <si>
    <t>UBND xã Cây Trường II (CSCC đường số 6 ấp Ông Chài - Tủ 03)</t>
  </si>
  <si>
    <t>không xác định</t>
  </si>
  <si>
    <t>PB04090028729</t>
  </si>
  <si>
    <t>UBND Xã Cây Trường II- Đèn đường tuyến 09 ấp Ông Chài_Tủ 01</t>
  </si>
  <si>
    <t>PB04090028728</t>
  </si>
  <si>
    <t>UBND Xã Cây Trường II- Đèn đường số 10 ấp Ông Chài_Tủ 02</t>
  </si>
  <si>
    <t>PB04090028725</t>
  </si>
  <si>
    <t>UBND Xã Cây Trường II - Đèn đường số 12 ấp Ông Thanh_Tủ 03</t>
  </si>
  <si>
    <t>PB04090028722</t>
  </si>
  <si>
    <t>UBND Xã Cây Trường II - Đèn đường tuyến 13 ấp Ông Thanh_Tủ 04</t>
  </si>
  <si>
    <t>PB04090028734</t>
  </si>
  <si>
    <t>UBND Xã Cây Trường - Đèn đường tuyến 14 ấp Ông Thanh_Tủ 01</t>
  </si>
  <si>
    <t>PB04090032439</t>
  </si>
  <si>
    <t>UBND xã Cây Trường II (CSCC đường số 15 ấp Ông Thanh - Tủ 01)</t>
  </si>
  <si>
    <t>PB04090030087</t>
  </si>
  <si>
    <t>UBND Xã Cây Trường II - Đèn đường Cây Trường 16_Tủ 01</t>
  </si>
  <si>
    <t>PB04090032440</t>
  </si>
  <si>
    <t>UBND xã Cây Trường II (CSCC đường số 17+18 ấp Ông Thanh - Tủ 02)</t>
  </si>
  <si>
    <t>PB04090032441</t>
  </si>
  <si>
    <t>UBND xã Cây Trường II (CSCC đường số 19+20 ấp Ông Thanh - Tủ 03)</t>
  </si>
  <si>
    <t>PB04090028721</t>
  </si>
  <si>
    <t>UBND Xã Cây Trường II - Đèn đường tuyến đường số 21 ấp Ông Thanh_Tủ 05</t>
  </si>
  <si>
    <t>PB04090028733</t>
  </si>
  <si>
    <t>UBND Xã Cây Trường II- Đèn đường tuyến 22 ấp Ông Thanh_Tủ 02</t>
  </si>
  <si>
    <t>PB04090032442</t>
  </si>
  <si>
    <t>UBND xã Cây Trường II (CSCC đường số 23+24 ấp Ông Thanh - Tủ 04)</t>
  </si>
  <si>
    <t>PB04090030089</t>
  </si>
  <si>
    <t>UBND Xã Cây Trường II - Đèn đường Cây Trường 25_Tủ 02</t>
  </si>
  <si>
    <t>PB04090032443</t>
  </si>
  <si>
    <t>UBND xã Cây Trường II (CSCC đường số 26 ấp Ông Thanh - Tủ 05)</t>
  </si>
  <si>
    <t>PB04090028732</t>
  </si>
  <si>
    <t>UBND Xã Cây Trường II - Đèn đường tuyến 27 ấp Ông Thanh_Tủ 03</t>
  </si>
  <si>
    <t>PB04090028731</t>
  </si>
  <si>
    <t>UBND Xã Cây Trường II- Đèn đường tuyến 28 ấp Ông Thanh_Tủ 04</t>
  </si>
  <si>
    <t>PB04090028730</t>
  </si>
  <si>
    <t>UBND Xã Cây Trường II - Đèn đường tuyến 30 ấp Ông Thanh_Tủ 05</t>
  </si>
  <si>
    <t>PB04090032444</t>
  </si>
  <si>
    <t>UBND xã Cây Trường II (CSCC đường số 31+32 ấp Ông Thanh - Tủ 06)</t>
  </si>
  <si>
    <t>PB04090026172</t>
  </si>
  <si>
    <t>UBND Xã Cây Trường II - Đèn đường ấp 16B (2)</t>
  </si>
  <si>
    <t>PB04090028737</t>
  </si>
  <si>
    <t>UBND Xã Cây Trường II - Đèn đường tuyến 34 ấp Suối Cạn_Tủ 01</t>
  </si>
  <si>
    <t>PB04090032445</t>
  </si>
  <si>
    <t>UBND xã Cây Trường II (CSCC đường số 35 ấp Suối Cạn - Tủ 01)</t>
  </si>
  <si>
    <t>PB04090032446</t>
  </si>
  <si>
    <t>UBND xã Cây Trường II (CSCC đường số 36 ấp Suối Cạn - Tủ 02)</t>
  </si>
  <si>
    <t>PB04090032447</t>
  </si>
  <si>
    <t>UBND xã Cây Trường II (CSCC đường số 36, ấp Suối Cạn - Tủ 03)</t>
  </si>
  <si>
    <t>PB04090032448</t>
  </si>
  <si>
    <t>UBND xã Cây Trường II (CSCC đường số 38 ấp Suối Cạn - Tủ 04)</t>
  </si>
  <si>
    <t>PB04090028736</t>
  </si>
  <si>
    <t>UBND Xã Cây Trường II- Đèn đường tuyến 39 ấp Suối Cạn_Tủ 02</t>
  </si>
  <si>
    <t>PB04090028735</t>
  </si>
  <si>
    <t>UBND Xã Cây Trường II- Đèn đường tuyến 40 ấp Suối Cạn_Tủ 03</t>
  </si>
  <si>
    <t>PB04090032449</t>
  </si>
  <si>
    <t>UBND xã Cây Trường II (CSCC đường số 41+42 ấp Suối Cạn - Tủ 05)</t>
  </si>
  <si>
    <t>PB04090024792</t>
  </si>
  <si>
    <t>UBND xã Cây Trường II - Chiếu sáng đèn đường ấp Bà Tứ</t>
  </si>
  <si>
    <t>PB04090024998</t>
  </si>
  <si>
    <t>UBND Xã Cây Trường II_Đèn đường ấp Bà Tứ</t>
  </si>
  <si>
    <t>PB04090032450</t>
  </si>
  <si>
    <t>UBND xã Cây Trường II (CSCC đường số 51 ấp Bà Tứ - Tủ 06)</t>
  </si>
  <si>
    <t>PB04090024999</t>
  </si>
  <si>
    <t>Không tìm thấy mã</t>
  </si>
  <si>
    <t>Đề nghị xem lại số công tơ</t>
  </si>
  <si>
    <t>PB04090029027</t>
  </si>
  <si>
    <t>UBND xã Trừ Văn Thố - Đèn đường Đ.Đông QL13, ấp 1_Tủ T01</t>
  </si>
  <si>
    <t>PB04090029022</t>
  </si>
  <si>
    <t>UBND xã Trừ Văn Thố - Đèn đường tổ 20-21, ấp 1_Tủ T01</t>
  </si>
  <si>
    <t>PB04090029023</t>
  </si>
  <si>
    <t>UBND xã Trừ Văn Thố - Đèn đường tổ 20-21, ấp 1_Tủ T02</t>
  </si>
  <si>
    <t>PB04090008025</t>
  </si>
  <si>
    <t>UBND Xã Trừ Văn Thố - Hệ Thống Chiếu Sáng</t>
  </si>
  <si>
    <t>PB04090029030</t>
  </si>
  <si>
    <t>UBND xã Trừ Văn Thố - Đèn đường Đ.Liên ấp 2-4_Tủ T02</t>
  </si>
  <si>
    <t>PB04090029029</t>
  </si>
  <si>
    <t>UBND xã Trừ Văn Thố - Đèn đường Đ.Liên ấp 2-4_Tủ T01</t>
  </si>
  <si>
    <t>PB04090039556</t>
  </si>
  <si>
    <t>Nguyễn Văn Dàng (Đề nghị xem lại số công tơ</t>
  </si>
  <si>
    <t>PB04090029026</t>
  </si>
  <si>
    <t>UBND xã Trừ Văn Thố - Đèn đường ấp 4_Tủ T03</t>
  </si>
  <si>
    <t>PB04090032437</t>
  </si>
  <si>
    <t>UBND xã Trừ Văn Thố (CSCC tuyến đường HCM - Chợ Ông Hai Tuấn - Tủ 5)</t>
  </si>
  <si>
    <t>PB04090032438</t>
  </si>
  <si>
    <t>UBND xã Trừ Văn Thố (CSCC tuyến đường HCM - Chợ Ông Hai Tuấn - Tủ 6)</t>
  </si>
  <si>
    <t>PB04090007938</t>
  </si>
  <si>
    <t>Ban Quản lý dự án đầu tư xây dựng khu vực Bàu Bàng - CS Cây Trường</t>
  </si>
  <si>
    <t>PB04090010502</t>
  </si>
  <si>
    <t>Ban Quản lý dự án đầu tư xây dựng khu vực Bàu Bàng - CS Trừ Văn Thố</t>
  </si>
  <si>
    <t>PB04090010503</t>
  </si>
  <si>
    <t>không rõ địa chỉ</t>
  </si>
  <si>
    <t>KHÔNG RÕ ĐAIỌ</t>
  </si>
  <si>
    <t>Ngã Ba ĐT750- Cây Trường 37</t>
  </si>
  <si>
    <t>Ngã Ba ĐT750- Cây Trường 38</t>
  </si>
  <si>
    <t>Trụ số 20- Cây Trường 39</t>
  </si>
  <si>
    <t>Lo 8 Đường số 40</t>
  </si>
  <si>
    <t>Ngã Ba ĐT750- Cây Trường 41</t>
  </si>
  <si>
    <t>Trụ 119 - đường 18/9</t>
  </si>
  <si>
    <t>Đường Cây Trường 03</t>
  </si>
  <si>
    <t>Đường Cây Trường 05</t>
  </si>
  <si>
    <t>Đường Cây Trường 29</t>
  </si>
  <si>
    <t>Đường Cây Trường 06</t>
  </si>
  <si>
    <t>Đường Cây Trường 07</t>
  </si>
  <si>
    <t>Đường Cây Trường 08</t>
  </si>
  <si>
    <t>Đường Cây Trường 09</t>
  </si>
  <si>
    <t>Đường Cây Trường 10</t>
  </si>
  <si>
    <t>Đường Cây Trường 11</t>
  </si>
  <si>
    <t>Đường Cây Trường 12</t>
  </si>
  <si>
    <t>Đường Cây Trường 13</t>
  </si>
  <si>
    <t>Đường Cây Trường 14</t>
  </si>
  <si>
    <t>Đường Cây Trường 15</t>
  </si>
  <si>
    <t>Đường Cây Trường 16</t>
  </si>
  <si>
    <t>Đường Cây Trường 17</t>
  </si>
  <si>
    <t>Đường Cây Trường 18</t>
  </si>
  <si>
    <t>Đường Cây Trường 19</t>
  </si>
  <si>
    <t>Đường Cây Trường 20</t>
  </si>
  <si>
    <t>Đường Cây Trường 21</t>
  </si>
  <si>
    <t>Đường Cây Trường 22</t>
  </si>
  <si>
    <t>Đường Cây Trường 23</t>
  </si>
  <si>
    <t>Đường Cây Trường 24</t>
  </si>
  <si>
    <t>Đường Cây Trường 25</t>
  </si>
  <si>
    <t>Đường Cây Trường 26</t>
  </si>
  <si>
    <t>Đường Cây Trường 27</t>
  </si>
  <si>
    <t>Đường Cây Trường 28</t>
  </si>
  <si>
    <t>Đường Cây Trường 30</t>
  </si>
  <si>
    <t>Đường Cây Trường 31</t>
  </si>
  <si>
    <t>Đường Cây Trường 32</t>
  </si>
  <si>
    <t>Đường Cây Trường 33</t>
  </si>
  <si>
    <t>Đường Cây Trường 34</t>
  </si>
  <si>
    <t>Đường Cây Trường 35</t>
  </si>
  <si>
    <t>Đường Cây Trường 36</t>
  </si>
  <si>
    <t>Đường Cây Trường 37</t>
  </si>
  <si>
    <t>Đường Cây Trường 38</t>
  </si>
  <si>
    <t>Đường Cây Trường 39</t>
  </si>
  <si>
    <t>Đường Cây Trường 40</t>
  </si>
  <si>
    <t>Đường Cây Trường 41</t>
  </si>
  <si>
    <t>Đường Cây Trường 42</t>
  </si>
  <si>
    <t>Đường Cây Trường 47</t>
  </si>
  <si>
    <t>Đường Cây Trường 48</t>
  </si>
  <si>
    <t>Đường Cây Trường 51</t>
  </si>
  <si>
    <t>Đường Cây Trường 68</t>
  </si>
  <si>
    <t>Đường Cây Trường 69</t>
  </si>
  <si>
    <t>Đường Cây Trường 49</t>
  </si>
  <si>
    <t>Đường Trừ Văn Thố 04</t>
  </si>
  <si>
    <t>Đường Trừ Văn Thố 08</t>
  </si>
  <si>
    <t>Đường Trừ Văn Thố 10</t>
  </si>
  <si>
    <t>Đường Trừ Văn Thố 11</t>
  </si>
  <si>
    <t>Đường Trừ Văn Thố 16</t>
  </si>
  <si>
    <t>Đường Trừ Văn Thố 18</t>
  </si>
  <si>
    <t>Đường Trừ Văn Thố 19</t>
  </si>
  <si>
    <t>Đường Trừ Văn Thố 14</t>
  </si>
  <si>
    <t>ĐT 750</t>
  </si>
  <si>
    <t>Đường Trừ Văn Thố 25</t>
  </si>
  <si>
    <t>Đường Trừ Văn Thố 71</t>
  </si>
  <si>
    <t>11.2524295, 106.6608964</t>
  </si>
  <si>
    <t>11.2564605, 106.6638722</t>
  </si>
  <si>
    <t>11.2722213, 106.6405633</t>
  </si>
  <si>
    <t>11.2793777, 106.6421409</t>
  </si>
  <si>
    <t>11.2557884, 106.6578488</t>
  </si>
  <si>
    <t>11.2695966, 106.6415934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</si>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</sst>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/m/yyyy"/>
    <numFmt numFmtId="166" formatCode="d\-m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name val="Times New Roman"/>
      <family val="1"/>
    </font>
    <font>
      <b/>
      <sz val="36"/>
      <name val="Times New Roman"/>
      <family val="1"/>
    </font>
    <font>
      <b/>
      <sz val="28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  <font>
      <b/>
      <sz val="14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b/>
      <u/>
      <sz val="14"/>
      <name val="Times New Roman"/>
      <family val="1"/>
    </font>
    <font>
      <sz val="11"/>
      <color rgb="FFFF0000"/>
      <name val="Arial"/>
      <family val="2"/>
    </font>
    <font>
      <sz val="14"/>
      <name val="Times New Roman"/>
      <family val="1"/>
    </font>
    <font>
      <sz val="12"/>
      <color rgb="FF000000"/>
      <name val="Times New Roman"/>
      <family val="1"/>
    </font>
    <font>
      <sz val="11"/>
      <name val="Times New Roman"/>
      <family val="1"/>
    </font>
    <font>
      <sz val="21"/>
      <name val="Times New Roman"/>
      <family val="1"/>
    </font>
    <font>
      <sz val="12"/>
      <name val="Calibri"/>
      <family val="2"/>
      <scheme val="minor"/>
    </font>
    <font>
      <b/>
      <sz val="11"/>
      <name val="Times New Roman"/>
      <family val="1"/>
    </font>
    <font>
      <i/>
      <sz val="14"/>
      <name val="Times New Roman"/>
      <family val="1"/>
    </font>
    <font>
      <sz val="13"/>
      <color rgb="FF000000"/>
      <name val="Times New Roman"/>
      <family val="1"/>
    </font>
    <font>
      <i/>
      <sz val="11"/>
      <name val="Times New Roman"/>
      <family val="1"/>
    </font>
    <font>
      <b/>
      <u/>
      <sz val="13"/>
      <name val="Times New Roman"/>
      <family val="1"/>
    </font>
    <font>
      <sz val="8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0"/>
      <color indexed="8"/>
      <name val="Arial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sz val="13"/>
      <color theme="1"/>
      <name val="Calibri"/>
      <family val="2"/>
      <charset val="163"/>
      <scheme val="minor"/>
    </font>
    <font>
      <sz val="13"/>
      <color indexed="8"/>
      <name val="Times New Roman"/>
      <family val="1"/>
    </font>
    <font>
      <sz val="13"/>
      <color rgb="FFFF0000"/>
      <name val="Calibri"/>
      <family val="2"/>
      <charset val="163"/>
      <scheme val="minor"/>
    </font>
    <font>
      <sz val="15"/>
      <color theme="1"/>
      <name val="Calibri"/>
      <family val="2"/>
      <charset val="163"/>
      <scheme val="minor"/>
    </font>
    <font>
      <b/>
      <sz val="13"/>
      <color theme="1"/>
      <name val="Times New Roman"/>
      <family val="1"/>
    </font>
    <font>
      <sz val="13"/>
      <color rgb="FF141414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7" fillId="0" borderId="0"/>
    <xf numFmtId="0" fontId="29" fillId="0" borderId="0"/>
  </cellStyleXfs>
  <cellXfs count="261">
    <xf numFmtId="0" fontId="0" fillId="0" borderId="0" xfId="0"/>
    <xf numFmtId="0" fontId="4" fillId="0" borderId="0" xfId="1" applyFont="1" applyAlignment="1">
      <alignment horizontal="center" vertical="center" wrapText="1"/>
    </xf>
    <xf numFmtId="0" fontId="5" fillId="0" borderId="0" xfId="1" applyFont="1"/>
    <xf numFmtId="0" fontId="6" fillId="0" borderId="0" xfId="1" applyFont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7" fillId="0" borderId="11" xfId="1" applyFont="1" applyBorder="1" applyAlignment="1">
      <alignment horizontal="center" vertical="center" wrapText="1"/>
    </xf>
    <xf numFmtId="49" fontId="12" fillId="0" borderId="11" xfId="1" applyNumberFormat="1" applyFont="1" applyBorder="1" applyAlignment="1">
      <alignment horizontal="center" vertical="center" wrapText="1"/>
    </xf>
    <xf numFmtId="49" fontId="12" fillId="0" borderId="11" xfId="1" applyNumberFormat="1" applyFont="1" applyBorder="1" applyAlignment="1">
      <alignment horizontal="left" vertical="center" wrapText="1"/>
    </xf>
    <xf numFmtId="49" fontId="6" fillId="0" borderId="11" xfId="1" applyNumberFormat="1" applyFont="1" applyBorder="1" applyAlignment="1">
      <alignment horizontal="left" vertical="center" wrapText="1"/>
    </xf>
    <xf numFmtId="0" fontId="12" fillId="0" borderId="11" xfId="1" applyFont="1" applyBorder="1" applyAlignment="1">
      <alignment horizontal="center" vertical="center" wrapText="1"/>
    </xf>
    <xf numFmtId="49" fontId="12" fillId="0" borderId="0" xfId="1" applyNumberFormat="1" applyFont="1" applyAlignment="1">
      <alignment horizontal="center" vertical="center" wrapText="1"/>
    </xf>
    <xf numFmtId="0" fontId="12" fillId="0" borderId="11" xfId="1" applyFont="1" applyBorder="1" applyAlignment="1">
      <alignment horizontal="center" vertical="center"/>
    </xf>
    <xf numFmtId="0" fontId="6" fillId="0" borderId="11" xfId="1" applyFont="1" applyBorder="1" applyAlignment="1">
      <alignment horizontal="left" vertical="center"/>
    </xf>
    <xf numFmtId="3" fontId="6" fillId="0" borderId="11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left" vertical="center" wrapText="1"/>
    </xf>
    <xf numFmtId="0" fontId="12" fillId="0" borderId="11" xfId="1" applyFont="1" applyBorder="1" applyAlignment="1">
      <alignment horizontal="left" vertical="center" wrapText="1"/>
    </xf>
    <xf numFmtId="0" fontId="12" fillId="0" borderId="0" xfId="1" applyFont="1" applyAlignment="1">
      <alignment horizontal="center" vertical="center" wrapText="1"/>
    </xf>
    <xf numFmtId="0" fontId="6" fillId="0" borderId="12" xfId="1" applyFont="1" applyBorder="1" applyAlignment="1">
      <alignment horizontal="left" vertical="center" wrapText="1"/>
    </xf>
    <xf numFmtId="0" fontId="13" fillId="0" borderId="12" xfId="0" applyFont="1" applyBorder="1" applyAlignment="1">
      <alignment wrapText="1"/>
    </xf>
    <xf numFmtId="0" fontId="14" fillId="0" borderId="2" xfId="1" applyFont="1" applyBorder="1" applyAlignment="1">
      <alignment horizontal="left" vertical="center"/>
    </xf>
    <xf numFmtId="0" fontId="14" fillId="0" borderId="7" xfId="1" applyFont="1" applyBorder="1" applyAlignment="1">
      <alignment horizontal="left" vertical="center" wrapText="1"/>
    </xf>
    <xf numFmtId="0" fontId="12" fillId="0" borderId="5" xfId="1" applyFont="1" applyBorder="1" applyAlignment="1">
      <alignment horizontal="left" vertical="center" wrapText="1"/>
    </xf>
    <xf numFmtId="0" fontId="12" fillId="0" borderId="11" xfId="1" applyFont="1" applyBorder="1" applyAlignment="1">
      <alignment vertical="center"/>
    </xf>
    <xf numFmtId="0" fontId="12" fillId="0" borderId="11" xfId="1" applyFont="1" applyBorder="1" applyAlignment="1">
      <alignment vertical="center" wrapText="1"/>
    </xf>
    <xf numFmtId="0" fontId="12" fillId="0" borderId="3" xfId="1" applyFont="1" applyBorder="1" applyAlignment="1">
      <alignment horizontal="center" vertical="center"/>
    </xf>
    <xf numFmtId="0" fontId="6" fillId="0" borderId="12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0" fontId="6" fillId="0" borderId="10" xfId="1" applyFont="1" applyBorder="1" applyAlignment="1">
      <alignment horizontal="left" vertical="center"/>
    </xf>
    <xf numFmtId="0" fontId="6" fillId="0" borderId="14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13" fillId="0" borderId="10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2" fillId="0" borderId="0" xfId="1" applyFont="1" applyAlignment="1">
      <alignment horizontal="center" vertical="center"/>
    </xf>
    <xf numFmtId="0" fontId="15" fillId="0" borderId="0" xfId="1" applyFont="1" applyAlignment="1">
      <alignment vertical="center"/>
    </xf>
    <xf numFmtId="3" fontId="12" fillId="0" borderId="0" xfId="1" applyNumberFormat="1" applyFont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5" fillId="0" borderId="0" xfId="1" applyFont="1" applyAlignment="1">
      <alignment horizontal="left"/>
    </xf>
    <xf numFmtId="0" fontId="16" fillId="0" borderId="0" xfId="1" applyFont="1" applyAlignment="1">
      <alignment horizontal="left"/>
    </xf>
    <xf numFmtId="0" fontId="7" fillId="0" borderId="0" xfId="1" applyFont="1" applyAlignment="1">
      <alignment horizontal="left" wrapText="1"/>
    </xf>
    <xf numFmtId="0" fontId="14" fillId="0" borderId="0" xfId="1" applyFont="1" applyAlignment="1">
      <alignment horizontal="left"/>
    </xf>
    <xf numFmtId="0" fontId="12" fillId="0" borderId="0" xfId="1" applyFont="1" applyAlignment="1">
      <alignment horizontal="left"/>
    </xf>
    <xf numFmtId="49" fontId="14" fillId="0" borderId="11" xfId="1" applyNumberFormat="1" applyFont="1" applyBorder="1" applyAlignment="1">
      <alignment horizontal="left" wrapText="1"/>
    </xf>
    <xf numFmtId="49" fontId="12" fillId="0" borderId="11" xfId="1" applyNumberFormat="1" applyFont="1" applyBorder="1" applyAlignment="1">
      <alignment horizontal="left" wrapText="1"/>
    </xf>
    <xf numFmtId="0" fontId="12" fillId="0" borderId="11" xfId="1" applyFont="1" applyBorder="1" applyAlignment="1">
      <alignment horizontal="left" wrapText="1"/>
    </xf>
    <xf numFmtId="49" fontId="12" fillId="0" borderId="2" xfId="1" applyNumberFormat="1" applyFont="1" applyBorder="1" applyAlignment="1">
      <alignment horizontal="left" wrapText="1"/>
    </xf>
    <xf numFmtId="0" fontId="10" fillId="0" borderId="2" xfId="1" applyFont="1" applyBorder="1" applyAlignment="1">
      <alignment horizontal="left" wrapText="1"/>
    </xf>
    <xf numFmtId="0" fontId="12" fillId="0" borderId="12" xfId="1" applyFont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2" fillId="0" borderId="12" xfId="1" applyFont="1" applyBorder="1" applyAlignment="1">
      <alignment horizontal="left" wrapText="1"/>
    </xf>
    <xf numFmtId="3" fontId="12" fillId="0" borderId="12" xfId="1" applyNumberFormat="1" applyFont="1" applyBorder="1" applyAlignment="1">
      <alignment horizontal="left"/>
    </xf>
    <xf numFmtId="165" fontId="12" fillId="0" borderId="12" xfId="1" applyNumberFormat="1" applyFont="1" applyBorder="1" applyAlignment="1">
      <alignment horizontal="left"/>
    </xf>
    <xf numFmtId="166" fontId="12" fillId="0" borderId="12" xfId="1" applyNumberFormat="1" applyFont="1" applyBorder="1" applyAlignment="1">
      <alignment horizontal="left"/>
    </xf>
    <xf numFmtId="166" fontId="12" fillId="0" borderId="12" xfId="1" quotePrefix="1" applyNumberFormat="1" applyFont="1" applyBorder="1" applyAlignment="1">
      <alignment horizontal="left"/>
    </xf>
    <xf numFmtId="0" fontId="12" fillId="0" borderId="12" xfId="1" quotePrefix="1" applyFont="1" applyBorder="1" applyAlignment="1">
      <alignment horizontal="left"/>
    </xf>
    <xf numFmtId="0" fontId="12" fillId="0" borderId="12" xfId="1" quotePrefix="1" applyFont="1" applyBorder="1" applyAlignment="1">
      <alignment horizontal="left" wrapText="1"/>
    </xf>
    <xf numFmtId="0" fontId="12" fillId="0" borderId="0" xfId="1" applyFont="1" applyAlignment="1">
      <alignment horizontal="left" wrapText="1"/>
    </xf>
    <xf numFmtId="0" fontId="14" fillId="0" borderId="12" xfId="1" applyFont="1" applyBorder="1" applyAlignment="1">
      <alignment horizontal="left" wrapText="1"/>
    </xf>
    <xf numFmtId="0" fontId="14" fillId="0" borderId="0" xfId="1" applyFont="1" applyAlignment="1">
      <alignment horizontal="left" wrapText="1"/>
    </xf>
    <xf numFmtId="0" fontId="14" fillId="0" borderId="2" xfId="1" applyFont="1" applyBorder="1" applyAlignment="1">
      <alignment horizontal="left"/>
    </xf>
    <xf numFmtId="0" fontId="10" fillId="0" borderId="12" xfId="1" applyFont="1" applyBorder="1" applyAlignment="1">
      <alignment horizontal="left" wrapText="1"/>
    </xf>
    <xf numFmtId="0" fontId="10" fillId="0" borderId="12" xfId="1" applyFont="1" applyBorder="1" applyAlignment="1">
      <alignment horizontal="left"/>
    </xf>
    <xf numFmtId="0" fontId="14" fillId="0" borderId="0" xfId="1" applyFont="1" applyAlignment="1">
      <alignment horizontal="center" vertical="center"/>
    </xf>
    <xf numFmtId="49" fontId="12" fillId="0" borderId="0" xfId="1" applyNumberFormat="1" applyFont="1" applyAlignment="1">
      <alignment horizontal="left" wrapText="1"/>
    </xf>
    <xf numFmtId="0" fontId="18" fillId="0" borderId="12" xfId="1" applyFont="1" applyBorder="1" applyAlignment="1">
      <alignment horizontal="left" wrapText="1"/>
    </xf>
    <xf numFmtId="0" fontId="7" fillId="0" borderId="0" xfId="1" applyFont="1" applyAlignment="1">
      <alignment wrapText="1"/>
    </xf>
    <xf numFmtId="0" fontId="14" fillId="0" borderId="0" xfId="1" applyFont="1" applyAlignment="1">
      <alignment wrapText="1"/>
    </xf>
    <xf numFmtId="0" fontId="12" fillId="0" borderId="0" xfId="1" applyFont="1" applyAlignment="1">
      <alignment wrapText="1"/>
    </xf>
    <xf numFmtId="0" fontId="7" fillId="0" borderId="2" xfId="1" applyFont="1" applyBorder="1" applyAlignment="1">
      <alignment wrapText="1"/>
    </xf>
    <xf numFmtId="0" fontId="7" fillId="0" borderId="11" xfId="1" applyFont="1" applyBorder="1" applyAlignment="1">
      <alignment wrapText="1"/>
    </xf>
    <xf numFmtId="49" fontId="12" fillId="0" borderId="11" xfId="1" applyNumberFormat="1" applyFont="1" applyBorder="1" applyAlignment="1">
      <alignment wrapText="1"/>
    </xf>
    <xf numFmtId="0" fontId="12" fillId="0" borderId="11" xfId="1" applyFont="1" applyBorder="1" applyAlignment="1">
      <alignment wrapText="1"/>
    </xf>
    <xf numFmtId="49" fontId="12" fillId="0" borderId="2" xfId="1" applyNumberFormat="1" applyFont="1" applyBorder="1" applyAlignment="1">
      <alignment wrapText="1"/>
    </xf>
    <xf numFmtId="49" fontId="12" fillId="0" borderId="0" xfId="1" applyNumberFormat="1" applyFont="1" applyAlignment="1">
      <alignment wrapText="1"/>
    </xf>
    <xf numFmtId="0" fontId="14" fillId="0" borderId="2" xfId="1" applyFont="1" applyBorder="1" applyAlignment="1">
      <alignment horizontal="left" wrapText="1"/>
    </xf>
    <xf numFmtId="0" fontId="10" fillId="0" borderId="2" xfId="1" applyFont="1" applyBorder="1" applyAlignment="1">
      <alignment wrapText="1"/>
    </xf>
    <xf numFmtId="0" fontId="12" fillId="0" borderId="2" xfId="1" applyFont="1" applyBorder="1" applyAlignment="1">
      <alignment wrapText="1"/>
    </xf>
    <xf numFmtId="0" fontId="12" fillId="0" borderId="7" xfId="1" applyFont="1" applyBorder="1" applyAlignment="1">
      <alignment wrapText="1"/>
    </xf>
    <xf numFmtId="0" fontId="12" fillId="0" borderId="12" xfId="1" applyFont="1" applyBorder="1" applyAlignment="1">
      <alignment wrapText="1"/>
    </xf>
    <xf numFmtId="0" fontId="10" fillId="0" borderId="12" xfId="1" applyFont="1" applyBorder="1" applyAlignment="1">
      <alignment wrapText="1"/>
    </xf>
    <xf numFmtId="0" fontId="20" fillId="0" borderId="12" xfId="1" applyFont="1" applyBorder="1" applyAlignment="1">
      <alignment horizontal="left" wrapText="1"/>
    </xf>
    <xf numFmtId="0" fontId="18" fillId="0" borderId="12" xfId="1" applyFont="1" applyBorder="1" applyAlignment="1">
      <alignment wrapText="1"/>
    </xf>
    <xf numFmtId="3" fontId="12" fillId="0" borderId="12" xfId="1" applyNumberFormat="1" applyFont="1" applyBorder="1" applyAlignment="1">
      <alignment wrapText="1"/>
    </xf>
    <xf numFmtId="0" fontId="14" fillId="0" borderId="12" xfId="1" applyFont="1" applyBorder="1" applyAlignment="1">
      <alignment wrapText="1"/>
    </xf>
    <xf numFmtId="164" fontId="12" fillId="0" borderId="12" xfId="1" applyNumberFormat="1" applyFont="1" applyBorder="1" applyAlignment="1">
      <alignment wrapText="1"/>
    </xf>
    <xf numFmtId="0" fontId="23" fillId="0" borderId="0" xfId="1" applyFont="1" applyAlignment="1">
      <alignment wrapText="1"/>
    </xf>
    <xf numFmtId="0" fontId="24" fillId="0" borderId="0" xfId="1" applyFont="1" applyAlignment="1">
      <alignment wrapText="1"/>
    </xf>
    <xf numFmtId="0" fontId="24" fillId="0" borderId="10" xfId="1" applyFont="1" applyBorder="1" applyAlignment="1">
      <alignment wrapText="1"/>
    </xf>
    <xf numFmtId="0" fontId="23" fillId="0" borderId="11" xfId="1" applyFont="1" applyBorder="1" applyAlignment="1">
      <alignment wrapText="1"/>
    </xf>
    <xf numFmtId="0" fontId="23" fillId="0" borderId="2" xfId="1" applyFont="1" applyBorder="1" applyAlignment="1">
      <alignment wrapText="1"/>
    </xf>
    <xf numFmtId="49" fontId="24" fillId="0" borderId="11" xfId="1" applyNumberFormat="1" applyFont="1" applyBorder="1" applyAlignment="1">
      <alignment horizontal="left" wrapText="1"/>
    </xf>
    <xf numFmtId="49" fontId="24" fillId="0" borderId="11" xfId="1" applyNumberFormat="1" applyFont="1" applyBorder="1" applyAlignment="1">
      <alignment wrapText="1"/>
    </xf>
    <xf numFmtId="0" fontId="24" fillId="0" borderId="11" xfId="1" applyFont="1" applyBorder="1" applyAlignment="1">
      <alignment wrapText="1"/>
    </xf>
    <xf numFmtId="49" fontId="24" fillId="0" borderId="0" xfId="1" applyNumberFormat="1" applyFont="1" applyAlignment="1">
      <alignment wrapText="1"/>
    </xf>
    <xf numFmtId="0" fontId="24" fillId="0" borderId="2" xfId="1" applyFont="1" applyBorder="1" applyAlignment="1">
      <alignment horizontal="left" wrapText="1"/>
    </xf>
    <xf numFmtId="0" fontId="24" fillId="0" borderId="12" xfId="1" applyFont="1" applyBorder="1" applyAlignment="1">
      <alignment horizontal="left" wrapText="1"/>
    </xf>
    <xf numFmtId="0" fontId="21" fillId="0" borderId="12" xfId="1" applyFont="1" applyBorder="1" applyAlignment="1">
      <alignment wrapText="1"/>
    </xf>
    <xf numFmtId="0" fontId="24" fillId="0" borderId="12" xfId="1" applyFont="1" applyBorder="1" applyAlignment="1">
      <alignment wrapText="1"/>
    </xf>
    <xf numFmtId="0" fontId="24" fillId="0" borderId="12" xfId="1" applyFont="1" applyBorder="1" applyAlignment="1">
      <alignment horizontal="left"/>
    </xf>
    <xf numFmtId="0" fontId="19" fillId="0" borderId="12" xfId="0" applyFont="1" applyBorder="1" applyAlignment="1">
      <alignment horizontal="left" wrapText="1"/>
    </xf>
    <xf numFmtId="0" fontId="24" fillId="0" borderId="12" xfId="1" quotePrefix="1" applyFont="1" applyBorder="1" applyAlignment="1">
      <alignment horizontal="left"/>
    </xf>
    <xf numFmtId="0" fontId="24" fillId="2" borderId="0" xfId="1" applyFont="1" applyFill="1" applyAlignment="1">
      <alignment wrapText="1"/>
    </xf>
    <xf numFmtId="166" fontId="24" fillId="0" borderId="12" xfId="1" applyNumberFormat="1" applyFont="1" applyBorder="1" applyAlignment="1">
      <alignment horizontal="left"/>
    </xf>
    <xf numFmtId="166" fontId="24" fillId="0" borderId="12" xfId="1" quotePrefix="1" applyNumberFormat="1" applyFont="1" applyBorder="1" applyAlignment="1">
      <alignment horizontal="left"/>
    </xf>
    <xf numFmtId="0" fontId="24" fillId="0" borderId="0" xfId="1" applyFont="1" applyAlignment="1">
      <alignment horizontal="left" wrapText="1"/>
    </xf>
    <xf numFmtId="0" fontId="23" fillId="0" borderId="0" xfId="1" applyFont="1" applyAlignment="1">
      <alignment vertical="center" wrapText="1"/>
    </xf>
    <xf numFmtId="0" fontId="24" fillId="0" borderId="0" xfId="1" applyFont="1" applyAlignment="1">
      <alignment vertical="center" wrapText="1"/>
    </xf>
    <xf numFmtId="0" fontId="26" fillId="0" borderId="12" xfId="1" applyFont="1" applyBorder="1" applyAlignment="1">
      <alignment horizontal="left" wrapText="1"/>
    </xf>
    <xf numFmtId="0" fontId="26" fillId="0" borderId="0" xfId="1" applyFont="1" applyAlignment="1">
      <alignment wrapText="1"/>
    </xf>
    <xf numFmtId="0" fontId="26" fillId="0" borderId="12" xfId="1" applyFont="1" applyBorder="1" applyAlignment="1">
      <alignment horizontal="left"/>
    </xf>
    <xf numFmtId="0" fontId="26" fillId="0" borderId="12" xfId="1" quotePrefix="1" applyFont="1" applyBorder="1" applyAlignment="1">
      <alignment horizontal="left"/>
    </xf>
    <xf numFmtId="166" fontId="26" fillId="0" borderId="12" xfId="1" applyNumberFormat="1" applyFont="1" applyBorder="1" applyAlignment="1">
      <alignment horizontal="left"/>
    </xf>
    <xf numFmtId="0" fontId="26" fillId="0" borderId="12" xfId="0" applyFont="1" applyBorder="1" applyAlignment="1">
      <alignment horizontal="left" wrapText="1"/>
    </xf>
    <xf numFmtId="0" fontId="21" fillId="0" borderId="2" xfId="1" applyFont="1" applyBorder="1" applyAlignment="1">
      <alignment horizontal="left" wrapText="1"/>
    </xf>
    <xf numFmtId="0" fontId="6" fillId="0" borderId="12" xfId="1" quotePrefix="1" applyFont="1" applyBorder="1" applyAlignment="1">
      <alignment horizontal="left" vertical="center" wrapText="1"/>
    </xf>
    <xf numFmtId="0" fontId="24" fillId="0" borderId="12" xfId="1" quotePrefix="1" applyFont="1" applyBorder="1" applyAlignment="1">
      <alignment horizontal="left" wrapText="1"/>
    </xf>
    <xf numFmtId="0" fontId="28" fillId="0" borderId="12" xfId="2" applyFont="1" applyBorder="1" applyAlignment="1">
      <alignment vertical="center" wrapText="1"/>
    </xf>
    <xf numFmtId="0" fontId="31" fillId="0" borderId="0" xfId="3" applyFont="1"/>
    <xf numFmtId="0" fontId="30" fillId="0" borderId="12" xfId="2" applyFont="1" applyBorder="1" applyAlignment="1">
      <alignment horizontal="center" vertical="center" wrapText="1"/>
    </xf>
    <xf numFmtId="0" fontId="30" fillId="0" borderId="12" xfId="2" applyFont="1" applyBorder="1" applyAlignment="1">
      <alignment vertical="center" wrapText="1"/>
    </xf>
    <xf numFmtId="0" fontId="32" fillId="0" borderId="12" xfId="2" applyFont="1" applyBorder="1" applyAlignment="1">
      <alignment horizontal="center" vertical="center"/>
    </xf>
    <xf numFmtId="0" fontId="26" fillId="3" borderId="12" xfId="2" applyFont="1" applyFill="1" applyBorder="1" applyAlignment="1">
      <alignment horizontal="center" vertical="center" wrapText="1"/>
    </xf>
    <xf numFmtId="0" fontId="26" fillId="3" borderId="12" xfId="2" applyFont="1" applyFill="1" applyBorder="1" applyAlignment="1">
      <alignment vertical="center" wrapText="1"/>
    </xf>
    <xf numFmtId="0" fontId="26" fillId="3" borderId="12" xfId="2" applyFont="1" applyFill="1" applyBorder="1" applyAlignment="1">
      <alignment horizontal="center" vertical="center"/>
    </xf>
    <xf numFmtId="0" fontId="33" fillId="0" borderId="0" xfId="3" applyFont="1"/>
    <xf numFmtId="0" fontId="32" fillId="0" borderId="12" xfId="2" applyFont="1" applyBorder="1" applyAlignment="1">
      <alignment horizontal="center" vertical="center" wrapText="1"/>
    </xf>
    <xf numFmtId="0" fontId="30" fillId="0" borderId="12" xfId="2" applyFont="1" applyBorder="1" applyAlignment="1">
      <alignment horizontal="center" vertical="center"/>
    </xf>
    <xf numFmtId="0" fontId="32" fillId="0" borderId="12" xfId="2" applyFont="1" applyBorder="1" applyAlignment="1">
      <alignment vertical="center" wrapText="1"/>
    </xf>
    <xf numFmtId="0" fontId="34" fillId="0" borderId="0" xfId="3" applyFont="1"/>
    <xf numFmtId="0" fontId="23" fillId="0" borderId="2" xfId="1" applyFont="1" applyBorder="1" applyAlignment="1">
      <alignment horizontal="center" vertical="center" wrapText="1"/>
    </xf>
    <xf numFmtId="0" fontId="24" fillId="0" borderId="6" xfId="1" applyFont="1" applyBorder="1" applyAlignment="1">
      <alignment horizontal="center" vertical="center" wrapText="1"/>
    </xf>
    <xf numFmtId="0" fontId="24" fillId="0" borderId="10" xfId="1" applyFont="1" applyBorder="1" applyAlignment="1">
      <alignment wrapText="1"/>
    </xf>
    <xf numFmtId="0" fontId="23" fillId="0" borderId="10" xfId="1" applyFont="1" applyBorder="1" applyAlignment="1">
      <alignment wrapText="1"/>
    </xf>
    <xf numFmtId="0" fontId="25" fillId="0" borderId="2" xfId="1" applyFont="1" applyBorder="1" applyAlignment="1">
      <alignment horizontal="center" vertical="center" wrapText="1"/>
    </xf>
    <xf numFmtId="0" fontId="25" fillId="0" borderId="10" xfId="1" applyFont="1" applyBorder="1" applyAlignment="1">
      <alignment wrapText="1"/>
    </xf>
    <xf numFmtId="0" fontId="23" fillId="0" borderId="3" xfId="1" applyFont="1" applyBorder="1" applyAlignment="1">
      <alignment horizontal="center" vertical="center" wrapText="1"/>
    </xf>
    <xf numFmtId="0" fontId="23" fillId="0" borderId="5" xfId="1" applyFont="1" applyBorder="1" applyAlignment="1">
      <alignment horizontal="center" vertical="center" wrapText="1"/>
    </xf>
    <xf numFmtId="0" fontId="23" fillId="0" borderId="4" xfId="1" applyFont="1" applyBorder="1" applyAlignment="1">
      <alignment horizontal="center" vertical="center" wrapText="1"/>
    </xf>
    <xf numFmtId="0" fontId="23" fillId="0" borderId="6" xfId="1" applyFont="1" applyBorder="1" applyAlignment="1">
      <alignment horizontal="center" vertical="center" wrapText="1"/>
    </xf>
    <xf numFmtId="0" fontId="23" fillId="0" borderId="0" xfId="1" applyFont="1" applyAlignment="1">
      <alignment horizontal="center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10" xfId="1" applyFont="1" applyBorder="1" applyAlignment="1">
      <alignment horizontal="left" wrapText="1"/>
    </xf>
    <xf numFmtId="0" fontId="24" fillId="0" borderId="10" xfId="1" applyFont="1" applyBorder="1" applyAlignment="1">
      <alignment horizontal="center" vertical="center" wrapText="1"/>
    </xf>
    <xf numFmtId="0" fontId="9" fillId="2" borderId="2" xfId="1" applyFont="1" applyFill="1" applyBorder="1" applyAlignment="1">
      <alignment wrapText="1"/>
    </xf>
    <xf numFmtId="0" fontId="9" fillId="2" borderId="10" xfId="1" applyFont="1" applyFill="1" applyBorder="1" applyAlignment="1">
      <alignment wrapText="1"/>
    </xf>
    <xf numFmtId="0" fontId="7" fillId="0" borderId="3" xfId="1" applyFont="1" applyBorder="1" applyAlignment="1">
      <alignment wrapText="1"/>
    </xf>
    <xf numFmtId="0" fontId="7" fillId="0" borderId="5" xfId="1" applyFont="1" applyBorder="1" applyAlignment="1">
      <alignment wrapText="1"/>
    </xf>
    <xf numFmtId="0" fontId="7" fillId="0" borderId="2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7" fillId="0" borderId="4" xfId="1" applyFont="1" applyBorder="1" applyAlignment="1">
      <alignment wrapText="1"/>
    </xf>
    <xf numFmtId="0" fontId="7" fillId="0" borderId="2" xfId="1" applyFont="1" applyBorder="1" applyAlignment="1">
      <alignment wrapText="1"/>
    </xf>
    <xf numFmtId="0" fontId="7" fillId="0" borderId="10" xfId="1" applyFont="1" applyBorder="1" applyAlignment="1">
      <alignment wrapText="1"/>
    </xf>
    <xf numFmtId="0" fontId="7" fillId="0" borderId="6" xfId="1" applyFont="1" applyBorder="1" applyAlignment="1">
      <alignment wrapText="1"/>
    </xf>
    <xf numFmtId="0" fontId="14" fillId="0" borderId="6" xfId="1" applyFont="1" applyBorder="1" applyAlignment="1">
      <alignment wrapText="1"/>
    </xf>
    <xf numFmtId="0" fontId="14" fillId="0" borderId="10" xfId="1" applyFont="1" applyBorder="1" applyAlignment="1">
      <alignment wrapText="1"/>
    </xf>
    <xf numFmtId="0" fontId="2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7" fillId="0" borderId="2" xfId="1" applyFont="1" applyBorder="1" applyAlignment="1">
      <alignment horizontal="left" wrapText="1"/>
    </xf>
    <xf numFmtId="0" fontId="17" fillId="0" borderId="6" xfId="1" applyFont="1" applyBorder="1" applyAlignment="1">
      <alignment horizontal="left" wrapText="1"/>
    </xf>
    <xf numFmtId="0" fontId="17" fillId="0" borderId="10" xfId="1" applyFont="1" applyBorder="1" applyAlignment="1">
      <alignment horizontal="left" wrapText="1"/>
    </xf>
    <xf numFmtId="0" fontId="9" fillId="0" borderId="2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2" fillId="0" borderId="0" xfId="1" applyFont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17" fillId="0" borderId="2" xfId="1" applyFont="1" applyBorder="1" applyAlignment="1">
      <alignment horizontal="center" vertical="center" wrapText="1"/>
    </xf>
    <xf numFmtId="0" fontId="17" fillId="0" borderId="6" xfId="1" applyFont="1" applyBorder="1" applyAlignment="1">
      <alignment horizontal="center" vertical="center" wrapText="1"/>
    </xf>
    <xf numFmtId="0" fontId="17" fillId="0" borderId="10" xfId="1" applyFont="1" applyBorder="1" applyAlignment="1">
      <alignment horizontal="center" vertical="center" wrapText="1"/>
    </xf>
    <xf numFmtId="0" fontId="8" fillId="0" borderId="6" xfId="1" applyFont="1" applyBorder="1"/>
    <xf numFmtId="0" fontId="8" fillId="0" borderId="10" xfId="1" applyFont="1" applyBorder="1"/>
    <xf numFmtId="0" fontId="8" fillId="0" borderId="6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4" xfId="1" applyFont="1" applyBorder="1"/>
    <xf numFmtId="0" fontId="8" fillId="0" borderId="5" xfId="1" applyFont="1" applyBorder="1"/>
    <xf numFmtId="0" fontId="7" fillId="0" borderId="7" xfId="1" applyFont="1" applyBorder="1" applyAlignment="1">
      <alignment horizontal="center" vertical="center" wrapText="1"/>
    </xf>
    <xf numFmtId="0" fontId="8" fillId="0" borderId="8" xfId="1" applyFont="1" applyBorder="1"/>
    <xf numFmtId="0" fontId="8" fillId="0" borderId="9" xfId="1" applyFont="1" applyBorder="1"/>
    <xf numFmtId="0" fontId="9" fillId="2" borderId="2" xfId="1" applyFont="1" applyFill="1" applyBorder="1" applyAlignment="1">
      <alignment horizontal="center" vertical="center" wrapText="1"/>
    </xf>
    <xf numFmtId="0" fontId="11" fillId="2" borderId="10" xfId="1" applyFont="1" applyFill="1" applyBorder="1"/>
    <xf numFmtId="0" fontId="31" fillId="4" borderId="0" xfId="3" applyFont="1" applyFill="1"/>
    <xf numFmtId="0" fontId="24" fillId="2" borderId="12" xfId="1" applyFont="1" applyFill="1" applyBorder="1" applyAlignment="1">
      <alignment horizontal="left" wrapText="1"/>
    </xf>
    <xf numFmtId="0" fontId="24" fillId="0" borderId="12" xfId="1" applyFont="1" applyFill="1" applyBorder="1" applyAlignment="1">
      <alignment horizontal="left" wrapText="1"/>
    </xf>
    <xf numFmtId="0" fontId="30" fillId="0" borderId="12" xfId="3" applyFont="1" applyBorder="1" applyAlignment="1">
      <alignment vertical="center"/>
    </xf>
    <xf numFmtId="0" fontId="30" fillId="0" borderId="12" xfId="3" applyFont="1" applyBorder="1" applyAlignment="1">
      <alignment horizontal="center" vertical="center"/>
    </xf>
    <xf numFmtId="3" fontId="30" fillId="0" borderId="12" xfId="3" applyNumberFormat="1" applyFont="1" applyBorder="1" applyAlignment="1">
      <alignment vertical="center"/>
    </xf>
    <xf numFmtId="0" fontId="26" fillId="3" borderId="12" xfId="3" applyFont="1" applyFill="1" applyBorder="1" applyAlignment="1">
      <alignment vertical="center"/>
    </xf>
    <xf numFmtId="3" fontId="26" fillId="0" borderId="12" xfId="3" applyNumberFormat="1" applyFont="1" applyBorder="1" applyAlignment="1">
      <alignment vertical="center"/>
    </xf>
    <xf numFmtId="0" fontId="26" fillId="3" borderId="12" xfId="3" applyFont="1" applyFill="1" applyBorder="1" applyAlignment="1">
      <alignment vertical="center" wrapText="1"/>
    </xf>
    <xf numFmtId="3" fontId="26" fillId="0" borderId="12" xfId="3" applyNumberFormat="1" applyFont="1" applyBorder="1" applyAlignment="1">
      <alignment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/>
    </xf>
    <xf numFmtId="3" fontId="30" fillId="0" borderId="12" xfId="0" applyNumberFormat="1" applyFont="1" applyBorder="1" applyAlignment="1">
      <alignment horizontal="right" vertical="center"/>
    </xf>
    <xf numFmtId="0" fontId="30" fillId="0" borderId="12" xfId="0" applyFont="1" applyBorder="1" applyAlignment="1">
      <alignment vertical="center" wrapText="1"/>
    </xf>
    <xf numFmtId="0" fontId="30" fillId="4" borderId="12" xfId="0" applyFont="1" applyFill="1" applyBorder="1" applyAlignment="1">
      <alignment vertical="center" wrapText="1"/>
    </xf>
    <xf numFmtId="0" fontId="30" fillId="4" borderId="12" xfId="0" applyFont="1" applyFill="1" applyBorder="1" applyAlignment="1">
      <alignment horizontal="center" vertical="center" wrapText="1"/>
    </xf>
    <xf numFmtId="0" fontId="30" fillId="4" borderId="12" xfId="0" applyFont="1" applyFill="1" applyBorder="1" applyAlignment="1">
      <alignment horizontal="center" vertical="center"/>
    </xf>
    <xf numFmtId="3" fontId="30" fillId="4" borderId="12" xfId="0" applyNumberFormat="1" applyFont="1" applyFill="1" applyBorder="1" applyAlignment="1">
      <alignment horizontal="right" vertical="center"/>
    </xf>
    <xf numFmtId="0" fontId="30" fillId="0" borderId="12" xfId="3" applyFont="1" applyBorder="1"/>
    <xf numFmtId="0" fontId="30" fillId="2" borderId="12" xfId="2" applyFont="1" applyFill="1" applyBorder="1" applyAlignment="1">
      <alignment horizontal="center" vertical="center"/>
    </xf>
    <xf numFmtId="0" fontId="30" fillId="2" borderId="12" xfId="2" applyFont="1" applyFill="1" applyBorder="1" applyAlignment="1">
      <alignment horizontal="center" vertical="center" wrapText="1"/>
    </xf>
    <xf numFmtId="3" fontId="30" fillId="2" borderId="12" xfId="2" applyNumberFormat="1" applyFont="1" applyFill="1" applyBorder="1" applyAlignment="1">
      <alignment horizontal="center" vertical="center"/>
    </xf>
    <xf numFmtId="0" fontId="30" fillId="5" borderId="12" xfId="1" applyFont="1" applyFill="1" applyBorder="1" applyAlignment="1">
      <alignment horizontal="left" vertical="center" wrapText="1"/>
    </xf>
    <xf numFmtId="0" fontId="30" fillId="5" borderId="12" xfId="0" applyFont="1" applyFill="1" applyBorder="1" applyAlignment="1">
      <alignment vertical="center" wrapText="1"/>
    </xf>
    <xf numFmtId="0" fontId="30" fillId="5" borderId="12" xfId="0" applyFont="1" applyFill="1" applyBorder="1" applyAlignment="1">
      <alignment horizontal="left" vertical="center"/>
    </xf>
    <xf numFmtId="3" fontId="30" fillId="5" borderId="12" xfId="0" quotePrefix="1" applyNumberFormat="1" applyFont="1" applyFill="1" applyBorder="1" applyAlignment="1">
      <alignment vertical="center" wrapText="1"/>
    </xf>
    <xf numFmtId="0" fontId="35" fillId="5" borderId="12" xfId="1" applyFont="1" applyFill="1" applyBorder="1" applyAlignment="1">
      <alignment horizontal="left" vertical="center" wrapText="1"/>
    </xf>
    <xf numFmtId="0" fontId="30" fillId="5" borderId="12" xfId="1" quotePrefix="1" applyFont="1" applyFill="1" applyBorder="1" applyAlignment="1">
      <alignment horizontal="left" vertical="center" wrapText="1"/>
    </xf>
    <xf numFmtId="3" fontId="30" fillId="5" borderId="12" xfId="0" applyNumberFormat="1" applyFont="1" applyFill="1" applyBorder="1" applyAlignment="1">
      <alignment vertical="center"/>
    </xf>
    <xf numFmtId="0" fontId="30" fillId="5" borderId="12" xfId="0" quotePrefix="1" applyFont="1" applyFill="1" applyBorder="1" applyAlignment="1">
      <alignment vertical="center" wrapText="1"/>
    </xf>
    <xf numFmtId="0" fontId="30" fillId="6" borderId="12" xfId="1" applyFont="1" applyFill="1" applyBorder="1" applyAlignment="1">
      <alignment horizontal="left" vertical="center" wrapText="1"/>
    </xf>
    <xf numFmtId="0" fontId="30" fillId="6" borderId="12" xfId="0" applyFont="1" applyFill="1" applyBorder="1" applyAlignment="1">
      <alignment vertical="center" wrapText="1"/>
    </xf>
    <xf numFmtId="0" fontId="35" fillId="5" borderId="12" xfId="0" applyFont="1" applyFill="1" applyBorder="1" applyAlignment="1">
      <alignment horizontal="left" vertical="center" wrapText="1"/>
    </xf>
    <xf numFmtId="0" fontId="30" fillId="5" borderId="12" xfId="0" applyFont="1" applyFill="1" applyBorder="1" applyAlignment="1">
      <alignment horizontal="left" vertical="center" wrapText="1"/>
    </xf>
    <xf numFmtId="0" fontId="35" fillId="6" borderId="12" xfId="0" applyFont="1" applyFill="1" applyBorder="1" applyAlignment="1">
      <alignment horizontal="left" vertical="center" wrapText="1"/>
    </xf>
    <xf numFmtId="0" fontId="36" fillId="6" borderId="12" xfId="0" applyFont="1" applyFill="1" applyBorder="1"/>
    <xf numFmtId="0" fontId="6" fillId="0" borderId="12" xfId="1" quotePrefix="1" applyNumberFormat="1" applyFont="1" applyBorder="1" applyAlignment="1">
      <alignment horizontal="left" vertical="center" wrapText="1"/>
    </xf>
    <xf numFmtId="0" fontId="23" fillId="2" borderId="2" xfId="1" applyFont="1" applyFill="1" applyBorder="1" applyAlignment="1">
      <alignment horizontal="center" vertical="center" wrapText="1"/>
    </xf>
    <xf numFmtId="0" fontId="23" fillId="2" borderId="6" xfId="1" applyFont="1" applyFill="1" applyBorder="1" applyAlignment="1">
      <alignment horizontal="center" vertical="center" wrapText="1"/>
    </xf>
    <xf numFmtId="0" fontId="23" fillId="2" borderId="10" xfId="1" applyFont="1" applyFill="1" applyBorder="1" applyAlignment="1">
      <alignment wrapText="1"/>
    </xf>
    <xf numFmtId="49" fontId="24" fillId="2" borderId="11" xfId="1" applyNumberFormat="1" applyFont="1" applyFill="1" applyBorder="1" applyAlignment="1">
      <alignment wrapText="1"/>
    </xf>
    <xf numFmtId="0" fontId="21" fillId="2" borderId="2" xfId="1" applyFont="1" applyFill="1" applyBorder="1" applyAlignment="1">
      <alignment horizontal="left" wrapText="1"/>
    </xf>
    <xf numFmtId="0" fontId="21" fillId="2" borderId="12" xfId="1" applyFont="1" applyFill="1" applyBorder="1" applyAlignment="1">
      <alignment wrapText="1"/>
    </xf>
    <xf numFmtId="3" fontId="24" fillId="2" borderId="12" xfId="1" applyNumberFormat="1" applyFont="1" applyFill="1" applyBorder="1" applyAlignment="1">
      <alignment horizontal="left" wrapText="1"/>
    </xf>
    <xf numFmtId="3" fontId="24" fillId="2" borderId="12" xfId="1" applyNumberFormat="1" applyFont="1" applyFill="1" applyBorder="1" applyAlignment="1">
      <alignment horizontal="left"/>
    </xf>
    <xf numFmtId="3" fontId="26" fillId="2" borderId="12" xfId="1" applyNumberFormat="1" applyFont="1" applyFill="1" applyBorder="1" applyAlignment="1">
      <alignment horizontal="left"/>
    </xf>
    <xf numFmtId="0" fontId="24" fillId="2" borderId="12" xfId="1" applyFont="1" applyFill="1" applyBorder="1" applyAlignment="1">
      <alignment horizontal="left"/>
    </xf>
    <xf numFmtId="0" fontId="24" fillId="2" borderId="0" xfId="1" applyFont="1" applyFill="1" applyAlignment="1">
      <alignment horizontal="left" wrapText="1"/>
    </xf>
    <xf numFmtId="0" fontId="23" fillId="2" borderId="2" xfId="1" applyFont="1" applyFill="1" applyBorder="1" applyAlignment="1">
      <alignment horizontal="center" vertical="center" wrapText="1"/>
    </xf>
    <xf numFmtId="0" fontId="24" fillId="2" borderId="6" xfId="1" applyFont="1" applyFill="1" applyBorder="1" applyAlignment="1">
      <alignment horizontal="center" vertical="center" wrapText="1"/>
    </xf>
    <xf numFmtId="0" fontId="24" fillId="2" borderId="10" xfId="1" applyFont="1" applyFill="1" applyBorder="1" applyAlignment="1">
      <alignment wrapText="1"/>
    </xf>
    <xf numFmtId="0" fontId="24" fillId="2" borderId="12" xfId="1" applyFont="1" applyFill="1" applyBorder="1" applyAlignment="1">
      <alignment wrapText="1"/>
    </xf>
    <xf numFmtId="0" fontId="26" fillId="2" borderId="12" xfId="1" applyFont="1" applyFill="1" applyBorder="1" applyAlignment="1">
      <alignment horizontal="left" wrapText="1"/>
    </xf>
    <xf numFmtId="0" fontId="24" fillId="2" borderId="10" xfId="1" applyFont="1" applyFill="1" applyBorder="1" applyAlignment="1">
      <alignment horizontal="center" vertical="center" wrapText="1"/>
    </xf>
    <xf numFmtId="3" fontId="24" fillId="2" borderId="0" xfId="1" applyNumberFormat="1" applyFont="1" applyFill="1" applyBorder="1" applyAlignment="1">
      <alignment horizontal="left" wrapText="1"/>
    </xf>
    <xf numFmtId="3" fontId="19" fillId="2" borderId="12" xfId="0" applyNumberFormat="1" applyFont="1" applyFill="1" applyBorder="1" applyAlignment="1">
      <alignment horizontal="left" wrapText="1"/>
    </xf>
    <xf numFmtId="3" fontId="26" fillId="2" borderId="12" xfId="0" applyNumberFormat="1" applyFont="1" applyFill="1" applyBorder="1" applyAlignment="1">
      <alignment horizontal="left" wrapText="1"/>
    </xf>
    <xf numFmtId="3" fontId="26" fillId="2" borderId="12" xfId="1" applyNumberFormat="1" applyFont="1" applyFill="1" applyBorder="1" applyAlignment="1">
      <alignment horizontal="left" wrapText="1"/>
    </xf>
    <xf numFmtId="0" fontId="24" fillId="2" borderId="11" xfId="1" applyFont="1" applyFill="1" applyBorder="1" applyAlignment="1">
      <alignment wrapText="1"/>
    </xf>
    <xf numFmtId="0" fontId="26" fillId="2" borderId="12" xfId="1" applyFont="1" applyFill="1" applyBorder="1" applyAlignment="1">
      <alignment horizontal="left"/>
    </xf>
    <xf numFmtId="0" fontId="25" fillId="2" borderId="2" xfId="1" applyFont="1" applyFill="1" applyBorder="1" applyAlignment="1">
      <alignment horizontal="center" vertical="center" wrapText="1"/>
    </xf>
    <xf numFmtId="0" fontId="25" fillId="2" borderId="10" xfId="1" applyFont="1" applyFill="1" applyBorder="1" applyAlignment="1">
      <alignment wrapText="1"/>
    </xf>
    <xf numFmtId="0" fontId="23" fillId="2" borderId="3" xfId="1" applyFont="1" applyFill="1" applyBorder="1" applyAlignment="1">
      <alignment horizontal="center" vertical="center" wrapText="1"/>
    </xf>
    <xf numFmtId="0" fontId="23" fillId="2" borderId="4" xfId="1" applyFont="1" applyFill="1" applyBorder="1" applyAlignment="1">
      <alignment horizontal="center" vertical="center" wrapText="1"/>
    </xf>
    <xf numFmtId="0" fontId="23" fillId="2" borderId="5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3F18C725-746A-4045-B7E9-8CE10F57C0B1}"/>
    <cellStyle name="Normal 2 2" xfId="2" xr:uid="{3B85D582-373E-4419-AB1D-361DAC191E32}"/>
    <cellStyle name="Normal 3" xfId="3" xr:uid="{CD09BD8A-6847-46D3-AF09-9FBB423877BF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S%20ChotDen_B&#7871;n%20C&#225;t+B&#224;u%20B&#224;ng%20+%20Tr&#7915;%20V&#259;n%20Th&#7889;.xlsx" TargetMode="External"/><Relationship Id="rId2" Type="http://schemas.openxmlformats.org/officeDocument/2006/relationships/externalLinkPath" Target="file:///D:\1.%20B&#236;nh%20D&#432;&#417;ng\DS%20ChotDen_B&#7871;n%20C&#225;t+B&#224;u%20B&#224;ng%20+%20Tr&#7915;%20V&#259;n%20Th&#7889;.xlsx" TargetMode="External"/><Relationship Id="rId1" Type="http://schemas.openxmlformats.org/officeDocument/2006/relationships/externalLinkPath" Target="/1.%20B&#236;nh%20D&#432;&#417;ng/DS%20ChotDen_B&#7871;n%20C&#225;t+B&#224;u%20B&#224;ng%20+%20Tr&#7915;%20V&#259;n%20Th&#78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ừ Văn Thố"/>
      <sheetName val="Bàu Bàng"/>
      <sheetName val="Bến Cát"/>
    </sheetNames>
    <sheetDataSet>
      <sheetData sheetId="0"/>
      <sheetData sheetId="1"/>
      <sheetData sheetId="2">
        <row r="4">
          <cell r="E4">
            <v>103081000</v>
          </cell>
          <cell r="F4" t="str">
            <v>11.14899087620775, 106.59269087648491</v>
          </cell>
        </row>
        <row r="5">
          <cell r="E5">
            <v>103082000</v>
          </cell>
          <cell r="F5" t="str">
            <v>11.144907577357252, 106.59749541236187</v>
          </cell>
        </row>
        <row r="6">
          <cell r="E6">
            <v>102715000</v>
          </cell>
          <cell r="F6" t="str">
            <v>11.221985203582387, 106.61850303242397</v>
          </cell>
        </row>
        <row r="7">
          <cell r="E7">
            <v>102714000</v>
          </cell>
          <cell r="F7" t="str">
            <v>11.222939468922949, 106.61890206943545</v>
          </cell>
        </row>
        <row r="8">
          <cell r="E8">
            <v>102713000</v>
          </cell>
          <cell r="F8" t="str">
            <v>11.230938041676673, 106.61614310650617</v>
          </cell>
        </row>
        <row r="9">
          <cell r="E9">
            <v>102712000</v>
          </cell>
          <cell r="F9" t="str">
            <v>11.231053478848585, 106.61675292062773</v>
          </cell>
        </row>
        <row r="10">
          <cell r="E10">
            <v>102711000</v>
          </cell>
          <cell r="F10" t="str">
            <v>11.229727235731652, 106.61638354316342</v>
          </cell>
        </row>
        <row r="11">
          <cell r="E11">
            <v>103311000</v>
          </cell>
          <cell r="F11" t="str">
            <v>11.231844351090732, 106.61854740906254</v>
          </cell>
        </row>
        <row r="12">
          <cell r="E12">
            <v>103002000</v>
          </cell>
          <cell r="F12" t="str">
            <v>11.1750138, 106.6003123</v>
          </cell>
        </row>
        <row r="13">
          <cell r="E13">
            <v>103310000</v>
          </cell>
          <cell r="F13" t="str">
            <v>11.227651676051519, 106.61857374436903</v>
          </cell>
        </row>
        <row r="14">
          <cell r="E14">
            <v>102236000</v>
          </cell>
          <cell r="F14" t="str">
            <v>11.244497940082097, 106.58522077213583</v>
          </cell>
        </row>
        <row r="15">
          <cell r="E15">
            <v>103309000</v>
          </cell>
          <cell r="F15" t="str">
            <v>11.201478680198349, 106.6203866380604</v>
          </cell>
        </row>
        <row r="16">
          <cell r="E16">
            <v>102753000</v>
          </cell>
          <cell r="F16" t="str">
            <v>11.24708179562757, 106.60079051857923</v>
          </cell>
        </row>
        <row r="17">
          <cell r="E17">
            <v>103308000</v>
          </cell>
          <cell r="F17" t="str">
            <v>11.198801286908605, 106.61761739931572</v>
          </cell>
        </row>
        <row r="18">
          <cell r="E18">
            <v>102752000</v>
          </cell>
          <cell r="F18" t="str">
            <v>11.23924596445325, 106.64373200503147</v>
          </cell>
        </row>
        <row r="19">
          <cell r="E19">
            <v>103001000</v>
          </cell>
          <cell r="F19" t="str">
            <v>11.2564605, 106.6638722</v>
          </cell>
        </row>
        <row r="20">
          <cell r="E20">
            <v>103307000</v>
          </cell>
          <cell r="F20" t="str">
            <v>11.195199682150925, 106.61367846998095</v>
          </cell>
        </row>
        <row r="21">
          <cell r="E21">
            <v>103000000</v>
          </cell>
          <cell r="F21" t="str">
            <v>11.2406173, 106.6764746</v>
          </cell>
        </row>
        <row r="22">
          <cell r="E22">
            <v>103268000</v>
          </cell>
          <cell r="F22" t="str">
            <v>11.2452671, 106.6680928</v>
          </cell>
        </row>
        <row r="23">
          <cell r="E23">
            <v>102707000</v>
          </cell>
          <cell r="F23" t="str">
            <v>11.2442979, 106.671892</v>
          </cell>
        </row>
        <row r="24">
          <cell r="E24">
            <v>103306000</v>
          </cell>
          <cell r="F24" t="str">
            <v>11.199805179356652, 106.5985901230221</v>
          </cell>
        </row>
        <row r="25">
          <cell r="E25">
            <v>103305000</v>
          </cell>
          <cell r="F25" t="str">
            <v>11.197149664834384, 106.59455351680528</v>
          </cell>
        </row>
        <row r="26">
          <cell r="E26">
            <v>102706000</v>
          </cell>
          <cell r="F26" t="str">
            <v>11.2469271, 106.6687276</v>
          </cell>
        </row>
        <row r="27">
          <cell r="E27">
            <v>103267000</v>
          </cell>
          <cell r="F27" t="str">
            <v>11.241215, 106.6767017</v>
          </cell>
        </row>
        <row r="28">
          <cell r="E28">
            <v>103304000</v>
          </cell>
          <cell r="F28" t="str">
            <v>11.201973968619724, 106.58679805094317</v>
          </cell>
        </row>
        <row r="29">
          <cell r="E29">
            <v>102705000</v>
          </cell>
          <cell r="F29" t="str">
            <v>11.2525064, 106.6616621</v>
          </cell>
        </row>
        <row r="30">
          <cell r="E30">
            <v>103303000</v>
          </cell>
          <cell r="F30" t="str">
            <v>11.197482714421854, 106.5936836991825</v>
          </cell>
        </row>
        <row r="31">
          <cell r="E31">
            <v>103302000</v>
          </cell>
          <cell r="F31" t="str">
            <v>11.19739936850336, 106.59423221794025</v>
          </cell>
        </row>
        <row r="32">
          <cell r="E32">
            <v>103301000</v>
          </cell>
          <cell r="F32" t="str">
            <v>11.193925884309074, 106.5931836980711</v>
          </cell>
        </row>
        <row r="33">
          <cell r="E33">
            <v>102751000</v>
          </cell>
          <cell r="F33" t="str">
            <v>11.151840684754257, 106.58878315892898</v>
          </cell>
        </row>
        <row r="34">
          <cell r="E34">
            <v>103266000</v>
          </cell>
          <cell r="F34" t="str">
            <v>11.2451133, 106.6726483</v>
          </cell>
        </row>
        <row r="35">
          <cell r="E35">
            <v>103300000</v>
          </cell>
          <cell r="F35" t="str">
            <v>11.187841770862796, 106.5925070601686</v>
          </cell>
        </row>
        <row r="36">
          <cell r="E36">
            <v>103265000</v>
          </cell>
          <cell r="F36" t="str">
            <v>11.2473287, 106.6688503</v>
          </cell>
        </row>
        <row r="37">
          <cell r="E37">
            <v>102704000</v>
          </cell>
          <cell r="F37" t="str">
            <v>11.2557884, 106.6578488</v>
          </cell>
        </row>
        <row r="38">
          <cell r="E38">
            <v>103299000</v>
          </cell>
          <cell r="F38" t="str">
            <v>11.182719444096016, 106.59273143893593</v>
          </cell>
        </row>
        <row r="39">
          <cell r="E39">
            <v>103264000</v>
          </cell>
          <cell r="F39" t="str">
            <v>11.2496233, 106.66612</v>
          </cell>
        </row>
        <row r="40">
          <cell r="E40">
            <v>103298000</v>
          </cell>
          <cell r="F40" t="str">
            <v>11.179888391046648, 106.59197760480669</v>
          </cell>
        </row>
        <row r="41">
          <cell r="E41">
            <v>101286000</v>
          </cell>
          <cell r="F41" t="str">
            <v>11.252712, 106.6629862</v>
          </cell>
        </row>
        <row r="42">
          <cell r="E42">
            <v>103297000</v>
          </cell>
          <cell r="F42" t="str">
            <v>11.177939848472967, 106.60079716656419</v>
          </cell>
        </row>
        <row r="43">
          <cell r="E43">
            <v>102703000</v>
          </cell>
          <cell r="F43" t="str">
            <v>11.2600375, 106.6529022</v>
          </cell>
        </row>
        <row r="44">
          <cell r="E44">
            <v>101285000</v>
          </cell>
          <cell r="F44" t="str">
            <v>11.2549962, 106.6611164</v>
          </cell>
        </row>
        <row r="45">
          <cell r="E45">
            <v>102235000</v>
          </cell>
          <cell r="F45" t="str">
            <v>11.1578321, 106.5796208</v>
          </cell>
        </row>
        <row r="46">
          <cell r="E46">
            <v>103295000</v>
          </cell>
          <cell r="F46" t="str">
            <v>11.17990189158302, 106.59075195800334</v>
          </cell>
        </row>
        <row r="47">
          <cell r="E47">
            <v>102750000</v>
          </cell>
          <cell r="F47" t="str">
            <v>11.127885468422724, 106.61101807889264</v>
          </cell>
        </row>
        <row r="48">
          <cell r="E48">
            <v>103296000</v>
          </cell>
          <cell r="F48" t="str">
            <v>11.184604933846046, 106.5907333871618</v>
          </cell>
        </row>
        <row r="49">
          <cell r="E49">
            <v>101283000</v>
          </cell>
          <cell r="F49" t="str">
            <v>11.2572522, 106.6571405</v>
          </cell>
        </row>
        <row r="50">
          <cell r="E50">
            <v>102749000</v>
          </cell>
          <cell r="F50" t="str">
            <v>11.12903051671862, 106.61192887601882</v>
          </cell>
        </row>
        <row r="51">
          <cell r="E51">
            <v>101282000</v>
          </cell>
          <cell r="F51" t="str">
            <v>11.26113, 106.6525983</v>
          </cell>
        </row>
        <row r="52">
          <cell r="E52">
            <v>102234000</v>
          </cell>
          <cell r="F52" t="str">
            <v>11.1634358, 106.5969682</v>
          </cell>
        </row>
        <row r="53">
          <cell r="E53">
            <v>103294000</v>
          </cell>
          <cell r="F53" t="str">
            <v>11.179394565798841, 106.59424352359349</v>
          </cell>
        </row>
        <row r="54">
          <cell r="E54">
            <v>102702000</v>
          </cell>
          <cell r="F54" t="str">
            <v>11.2647117, 106.64714</v>
          </cell>
        </row>
        <row r="55">
          <cell r="E55">
            <v>101280000</v>
          </cell>
          <cell r="F55" t="str">
            <v>11.2673819, 106.6458982</v>
          </cell>
        </row>
        <row r="56">
          <cell r="E56">
            <v>102748000</v>
          </cell>
          <cell r="F56" t="str">
            <v>11.12723577395152, 106.6100045968092</v>
          </cell>
        </row>
        <row r="57">
          <cell r="E57">
            <v>103293000</v>
          </cell>
          <cell r="F57" t="str">
            <v>11.177386258353236, 106.59410869493205</v>
          </cell>
        </row>
        <row r="58">
          <cell r="E58">
            <v>102233000</v>
          </cell>
          <cell r="F58" t="str">
            <v>11.1622379, 106.5981739</v>
          </cell>
        </row>
        <row r="59">
          <cell r="E59">
            <v>101279000</v>
          </cell>
          <cell r="F59" t="str">
            <v>11.2695966, 106.6415934</v>
          </cell>
        </row>
        <row r="60">
          <cell r="E60">
            <v>102747000</v>
          </cell>
          <cell r="F60" t="str">
            <v>11.133994192791187, 106.6042462978791</v>
          </cell>
        </row>
        <row r="61">
          <cell r="E61">
            <v>103290000</v>
          </cell>
          <cell r="F61" t="str">
            <v>11.193802733915838, 106.60367812971268</v>
          </cell>
        </row>
        <row r="62">
          <cell r="E62">
            <v>103291000</v>
          </cell>
          <cell r="F62" t="str">
            <v>11.188994750811316, 106.60298969172811</v>
          </cell>
        </row>
        <row r="63">
          <cell r="E63">
            <v>103292000</v>
          </cell>
          <cell r="F63" t="str">
            <v>11.185162113804571, 106.60584469699063</v>
          </cell>
        </row>
        <row r="64">
          <cell r="E64">
            <v>101277000</v>
          </cell>
          <cell r="F64" t="str">
            <v>11.2613528, 106.6483117</v>
          </cell>
        </row>
        <row r="65">
          <cell r="E65">
            <v>101276000</v>
          </cell>
          <cell r="F65" t="str">
            <v>11.2722213, 106.6405633</v>
          </cell>
        </row>
        <row r="66">
          <cell r="E66">
            <v>102701000</v>
          </cell>
          <cell r="F66" t="str">
            <v>11.2524295, 106.6608964</v>
          </cell>
        </row>
        <row r="67">
          <cell r="E67">
            <v>101274000</v>
          </cell>
          <cell r="F67" t="str">
            <v>11.2793777, 106.6421409</v>
          </cell>
        </row>
        <row r="68">
          <cell r="E68">
            <v>103289000</v>
          </cell>
          <cell r="F68" t="str">
            <v>11.199635584744222, 106.61481817717878</v>
          </cell>
        </row>
        <row r="69">
          <cell r="E69">
            <v>102232000</v>
          </cell>
          <cell r="F69" t="str">
            <v>11.1710443, 106.6013004</v>
          </cell>
        </row>
        <row r="70">
          <cell r="E70">
            <v>103288000</v>
          </cell>
          <cell r="F70" t="str">
            <v>11.199089579856205, 106.61563797238186</v>
          </cell>
        </row>
        <row r="71">
          <cell r="E71">
            <v>100945000</v>
          </cell>
          <cell r="F71" t="str">
            <v>11.1648794, 106.5952702</v>
          </cell>
        </row>
        <row r="72">
          <cell r="E72">
            <v>102710000</v>
          </cell>
          <cell r="F72" t="str">
            <v>11.22390560107937, 106.62245550842843</v>
          </cell>
        </row>
        <row r="73">
          <cell r="E73">
            <v>102700000</v>
          </cell>
          <cell r="F73" t="str">
            <v>11.2272833, 106.6147936</v>
          </cell>
        </row>
        <row r="74">
          <cell r="E74">
            <v>102709000</v>
          </cell>
          <cell r="F74" t="str">
            <v>11.225416975317053, 106.62249173639752</v>
          </cell>
        </row>
        <row r="75">
          <cell r="E75">
            <v>102699000</v>
          </cell>
          <cell r="F75" t="str">
            <v>11.2257629, 106.6214624</v>
          </cell>
        </row>
        <row r="76">
          <cell r="E76">
            <v>100944000</v>
          </cell>
          <cell r="F76" t="str">
            <v>11.1633081, 106.6120112</v>
          </cell>
        </row>
        <row r="77">
          <cell r="E77">
            <v>102708000</v>
          </cell>
          <cell r="F77" t="str">
            <v>11.222841083965076, 106.62470507918331</v>
          </cell>
        </row>
        <row r="78">
          <cell r="E78">
            <v>102698000</v>
          </cell>
          <cell r="F78" t="str">
            <v>11.2233314, 106.6257709</v>
          </cell>
        </row>
        <row r="79">
          <cell r="E79">
            <v>102697000</v>
          </cell>
          <cell r="F79" t="str">
            <v>11.2218145, 106.6310947</v>
          </cell>
        </row>
        <row r="80">
          <cell r="E80">
            <v>100960000</v>
          </cell>
          <cell r="F80" t="str">
            <v>11.21514822998833, 106.62525624259052</v>
          </cell>
        </row>
        <row r="81">
          <cell r="E81">
            <v>102231000</v>
          </cell>
          <cell r="F81" t="str">
            <v>11.1693823, 106.6151814</v>
          </cell>
        </row>
        <row r="82">
          <cell r="E82">
            <v>102746000</v>
          </cell>
          <cell r="F82" t="str">
            <v>11.157021775409703, 106.59188557069031</v>
          </cell>
        </row>
        <row r="83">
          <cell r="E83">
            <v>101273000</v>
          </cell>
          <cell r="F83" t="str">
            <v>11.1628317, 106.5984251</v>
          </cell>
        </row>
        <row r="84">
          <cell r="E84">
            <v>100959000</v>
          </cell>
          <cell r="F84" t="str">
            <v>11.211118987729726, 106.63329161786073</v>
          </cell>
        </row>
        <row r="85">
          <cell r="E85">
            <v>102745000</v>
          </cell>
          <cell r="F85" t="str">
            <v>11.161073539145935, 106.59262208900303</v>
          </cell>
        </row>
        <row r="86">
          <cell r="E86">
            <v>100943000</v>
          </cell>
          <cell r="F86" t="str">
            <v>11.1626091, 106.6020806</v>
          </cell>
        </row>
        <row r="87">
          <cell r="E87">
            <v>102744000</v>
          </cell>
          <cell r="F87" t="str">
            <v>11.167567364525446, 106.59212783502186</v>
          </cell>
        </row>
        <row r="88">
          <cell r="E88">
            <v>100958000</v>
          </cell>
          <cell r="F88" t="str">
            <v>11.198095785377737, 106.6163873572497</v>
          </cell>
        </row>
        <row r="89">
          <cell r="E89">
            <v>102696000</v>
          </cell>
          <cell r="F89" t="str">
            <v>11.1421535, 106.6045351</v>
          </cell>
        </row>
        <row r="90">
          <cell r="E90">
            <v>100957000</v>
          </cell>
          <cell r="F90" t="str">
            <v>11.20381570430534, 106.61671671364954</v>
          </cell>
        </row>
        <row r="91">
          <cell r="E91">
            <v>100956000</v>
          </cell>
          <cell r="F91" t="str">
            <v>11.202428106513945, 106.61125359504113</v>
          </cell>
        </row>
        <row r="92">
          <cell r="E92">
            <v>100955000</v>
          </cell>
          <cell r="F92" t="str">
            <v>11.199729374032994, 106.61044211233386</v>
          </cell>
        </row>
        <row r="93">
          <cell r="E93">
            <v>102167000</v>
          </cell>
          <cell r="F93" t="str">
            <v>11.14300766819793, 106.60288396756374</v>
          </cell>
        </row>
        <row r="94">
          <cell r="E94">
            <v>100942000</v>
          </cell>
          <cell r="F94" t="str">
            <v>11.1548829, 106.5910877</v>
          </cell>
        </row>
        <row r="95">
          <cell r="E95">
            <v>100941000</v>
          </cell>
          <cell r="F95" t="str">
            <v>11.1542689, 106.5910606</v>
          </cell>
        </row>
        <row r="96">
          <cell r="E96">
            <v>100954000</v>
          </cell>
          <cell r="F96" t="str">
            <v>11.19831480442755, 106.60706285371407</v>
          </cell>
        </row>
        <row r="97">
          <cell r="E97">
            <v>102671000</v>
          </cell>
          <cell r="F97" t="str">
            <v>11.136980502477801, 106.60499202878067</v>
          </cell>
        </row>
        <row r="98">
          <cell r="E98">
            <v>102230000</v>
          </cell>
          <cell r="F98" t="str">
            <v>11.1441226, 106.595802</v>
          </cell>
        </row>
        <row r="99">
          <cell r="E99">
            <v>100940000</v>
          </cell>
          <cell r="F99" t="str">
            <v>11.1505694, 106.5953095</v>
          </cell>
        </row>
        <row r="100">
          <cell r="E100">
            <v>102166000</v>
          </cell>
          <cell r="F100" t="str">
            <v>11.136344137673486, 106.60485842383508</v>
          </cell>
        </row>
        <row r="101">
          <cell r="E101">
            <v>102165000</v>
          </cell>
          <cell r="F101" t="str">
            <v>11.135090015919635, 106.60511606558539</v>
          </cell>
        </row>
        <row r="102">
          <cell r="E102">
            <v>100939000</v>
          </cell>
          <cell r="F102" t="str">
            <v>11.1507476, 106.59561</v>
          </cell>
        </row>
        <row r="103">
          <cell r="E103">
            <v>102164000</v>
          </cell>
          <cell r="F103" t="str">
            <v>11.13459111538605, 106.60546835573082</v>
          </cell>
        </row>
        <row r="104">
          <cell r="E104">
            <v>100953000</v>
          </cell>
          <cell r="F104" t="str">
            <v>11.180048594793364, 106.6102754852669</v>
          </cell>
        </row>
        <row r="105">
          <cell r="E105">
            <v>102229000</v>
          </cell>
          <cell r="F105" t="str">
            <v>11.1378854, 106.5998999</v>
          </cell>
        </row>
        <row r="106">
          <cell r="E106">
            <v>100938000</v>
          </cell>
          <cell r="F106" t="str">
            <v>11.1495126, 106.5919162</v>
          </cell>
        </row>
        <row r="107">
          <cell r="E107">
            <v>102228000</v>
          </cell>
          <cell r="F107" t="str">
            <v>11.1356813, 106.6026166</v>
          </cell>
        </row>
        <row r="108">
          <cell r="E108">
            <v>100952000</v>
          </cell>
          <cell r="F108" t="str">
            <v>11.194743865985078, 106.62940941651634</v>
          </cell>
        </row>
        <row r="109">
          <cell r="E109">
            <v>102163000</v>
          </cell>
          <cell r="F109" t="str">
            <v>11.163019107459043, 106.592496391235</v>
          </cell>
        </row>
        <row r="110">
          <cell r="E110">
            <v>100951000</v>
          </cell>
          <cell r="F110" t="str">
            <v>11.192629118946899, 106.62777199484633</v>
          </cell>
        </row>
        <row r="111">
          <cell r="E111">
            <v>102227000</v>
          </cell>
          <cell r="F111" t="str">
            <v>11.1414537, 106.5940153</v>
          </cell>
        </row>
        <row r="112">
          <cell r="E112">
            <v>100937000</v>
          </cell>
          <cell r="F112" t="str">
            <v>11.1481114, 106.5920367</v>
          </cell>
        </row>
        <row r="113">
          <cell r="E113">
            <v>102670000</v>
          </cell>
          <cell r="F113" t="str">
            <v>11.1644325, 106.5921585</v>
          </cell>
        </row>
        <row r="114">
          <cell r="E114">
            <v>102162000</v>
          </cell>
          <cell r="F114" t="str">
            <v>11.165421068368653, 106.59088842749681</v>
          </cell>
        </row>
        <row r="115">
          <cell r="E115">
            <v>100950000</v>
          </cell>
          <cell r="F115" t="str">
            <v>11.188549287507353, 106.62487921019995</v>
          </cell>
        </row>
        <row r="116">
          <cell r="E116">
            <v>102479000</v>
          </cell>
          <cell r="F116" t="str">
            <v>11.1512873, 106.5904045</v>
          </cell>
        </row>
        <row r="117">
          <cell r="E117">
            <v>100949000</v>
          </cell>
          <cell r="F117" t="str">
            <v>11.180862478412852, 106.61945084309234</v>
          </cell>
        </row>
        <row r="118">
          <cell r="E118">
            <v>100948000</v>
          </cell>
          <cell r="F118" t="str">
            <v>11.181478294490885, 106.62015002821889</v>
          </cell>
        </row>
        <row r="119">
          <cell r="E119">
            <v>102743000</v>
          </cell>
          <cell r="F119" t="str">
            <v>11.1534517, 106.5879582</v>
          </cell>
        </row>
        <row r="120">
          <cell r="E120">
            <v>100947000</v>
          </cell>
          <cell r="F120" t="str">
            <v>11.184112687793789, 106.62161166256375</v>
          </cell>
        </row>
        <row r="121">
          <cell r="E121">
            <v>102742000</v>
          </cell>
          <cell r="F121" t="str">
            <v>11.1565713, 106.582123</v>
          </cell>
        </row>
        <row r="122">
          <cell r="E122">
            <v>100946000</v>
          </cell>
          <cell r="F122" t="str">
            <v>11.184723241798816, 106.62390803409622</v>
          </cell>
        </row>
        <row r="123">
          <cell r="E123">
            <v>102071000</v>
          </cell>
          <cell r="F123" t="str">
            <v>11.184099933653002, 106.62437546331435</v>
          </cell>
        </row>
        <row r="124">
          <cell r="E124">
            <v>102741000</v>
          </cell>
          <cell r="F124" t="str">
            <v>11.1556588, 106.5827505</v>
          </cell>
        </row>
        <row r="125">
          <cell r="E125">
            <v>102740000</v>
          </cell>
          <cell r="F125" t="str">
            <v>11.1557743, 106.5798114</v>
          </cell>
        </row>
        <row r="126">
          <cell r="E126">
            <v>102070000</v>
          </cell>
          <cell r="F126" t="str">
            <v>11.17678433440675, 106.62094545971433</v>
          </cell>
        </row>
        <row r="127">
          <cell r="E127">
            <v>102069000</v>
          </cell>
          <cell r="F127" t="str">
            <v>11.18304788541824, 106.62576983256025</v>
          </cell>
        </row>
        <row r="128">
          <cell r="E128">
            <v>102739000</v>
          </cell>
          <cell r="F128" t="str">
            <v>11.1576477, 106.5807023</v>
          </cell>
        </row>
        <row r="129">
          <cell r="E129">
            <v>102161000</v>
          </cell>
          <cell r="F129" t="str">
            <v>11.162507889309161, 106.60158038976043</v>
          </cell>
        </row>
        <row r="130">
          <cell r="E130">
            <v>102478000</v>
          </cell>
          <cell r="F130" t="str">
            <v>11.1471271, 106.6307246</v>
          </cell>
        </row>
        <row r="131">
          <cell r="E131">
            <v>102738000</v>
          </cell>
          <cell r="F131" t="str">
            <v>11.1581122, 106.5833316</v>
          </cell>
        </row>
        <row r="132">
          <cell r="E132">
            <v>102160000</v>
          </cell>
          <cell r="F132" t="str">
            <v>11.159274179144479, 106.59477740468068</v>
          </cell>
        </row>
        <row r="133">
          <cell r="E133">
            <v>102068000</v>
          </cell>
          <cell r="F133" t="str">
            <v>11.192900390217979, 106.63041645271332</v>
          </cell>
        </row>
        <row r="134">
          <cell r="E134">
            <v>102737000</v>
          </cell>
          <cell r="F134" t="str">
            <v>11.1571164, 106.5835292</v>
          </cell>
        </row>
        <row r="135">
          <cell r="E135">
            <v>102669000</v>
          </cell>
          <cell r="F135" t="str">
            <v>11.160015, 106.5958217</v>
          </cell>
        </row>
        <row r="136">
          <cell r="E136">
            <v>102159000</v>
          </cell>
          <cell r="F136" t="str">
            <v>11.15688093246751, 106.59302476089084</v>
          </cell>
        </row>
        <row r="137">
          <cell r="E137">
            <v>102158000</v>
          </cell>
          <cell r="F137" t="str">
            <v>11.1553468, 106.5947692</v>
          </cell>
        </row>
        <row r="138">
          <cell r="E138">
            <v>102157000</v>
          </cell>
          <cell r="F138" t="str">
            <v>11.1549549, 106.597962</v>
          </cell>
        </row>
        <row r="139">
          <cell r="E139">
            <v>102066000</v>
          </cell>
          <cell r="F139" t="str">
            <v>11.191414203792698, 106.63021916784415</v>
          </cell>
        </row>
        <row r="140">
          <cell r="E140">
            <v>102477000</v>
          </cell>
          <cell r="F140" t="str">
            <v>11.1515782, 106.5995131</v>
          </cell>
        </row>
        <row r="141">
          <cell r="E141">
            <v>102156000</v>
          </cell>
          <cell r="F141" t="str">
            <v>11.151814853120626, 106.59871220457713</v>
          </cell>
        </row>
        <row r="142">
          <cell r="E142">
            <v>102065000</v>
          </cell>
          <cell r="F142" t="str">
            <v>11.184408873124928, 106.62454690093392</v>
          </cell>
        </row>
        <row r="143">
          <cell r="E143">
            <v>102155000</v>
          </cell>
          <cell r="F143" t="str">
            <v>11.150511296525957, 106.59954031848338</v>
          </cell>
        </row>
        <row r="144">
          <cell r="E144">
            <v>102064000</v>
          </cell>
          <cell r="F144" t="str">
            <v>11.184791635733395, 106.6239862301753</v>
          </cell>
        </row>
        <row r="145">
          <cell r="E145">
            <v>102063000</v>
          </cell>
          <cell r="F145" t="str">
            <v>11.18673276802226, 106.62830232107365</v>
          </cell>
        </row>
        <row r="146">
          <cell r="E146">
            <v>102062000</v>
          </cell>
          <cell r="F146" t="str">
            <v>11.18838528387074, 106.63109407297449</v>
          </cell>
        </row>
        <row r="147">
          <cell r="E147">
            <v>102154000</v>
          </cell>
          <cell r="F147" t="str">
            <v>11.15425811982715, 106.61412073981683</v>
          </cell>
        </row>
        <row r="148">
          <cell r="E148">
            <v>102736000</v>
          </cell>
          <cell r="F148" t="str">
            <v>11.1520701, 106.6015212</v>
          </cell>
        </row>
        <row r="149">
          <cell r="E149">
            <v>102153000</v>
          </cell>
          <cell r="F149" t="str">
            <v>11.15576358823094, 106.6124875673707</v>
          </cell>
        </row>
        <row r="150">
          <cell r="E150">
            <v>102061000</v>
          </cell>
          <cell r="F150" t="str">
            <v>11.182484457741387, 106.62715112197783</v>
          </cell>
        </row>
        <row r="151">
          <cell r="E151">
            <v>100888000</v>
          </cell>
          <cell r="F151" t="str">
            <v>11.1553594, 106.6086122</v>
          </cell>
        </row>
        <row r="152">
          <cell r="E152">
            <v>102060000</v>
          </cell>
          <cell r="F152" t="str">
            <v>11.191838198440674, 106.64259462865893</v>
          </cell>
        </row>
        <row r="153">
          <cell r="E153">
            <v>102735000</v>
          </cell>
          <cell r="F153" t="str">
            <v>11.1543737, 106.6039045</v>
          </cell>
        </row>
        <row r="154">
          <cell r="E154">
            <v>102152000</v>
          </cell>
          <cell r="F154" t="str">
            <v>11.153224433791264, 106.61792472033443</v>
          </cell>
        </row>
        <row r="155">
          <cell r="E155">
            <v>102059000</v>
          </cell>
          <cell r="F155" t="str">
            <v>11.19066872315915, 106.64794286024285</v>
          </cell>
        </row>
        <row r="156">
          <cell r="E156">
            <v>100887000</v>
          </cell>
          <cell r="F156" t="str">
            <v>11.1556583, 106.610485</v>
          </cell>
        </row>
        <row r="157">
          <cell r="E157">
            <v>102734000</v>
          </cell>
          <cell r="F157" t="str">
            <v>11.1528836, 106.6024231</v>
          </cell>
        </row>
        <row r="158">
          <cell r="E158">
            <v>102058000</v>
          </cell>
          <cell r="F158" t="str">
            <v>11.186277845514855, 106.64187243189245</v>
          </cell>
        </row>
        <row r="159">
          <cell r="E159">
            <v>102733000</v>
          </cell>
          <cell r="F159" t="str">
            <v>11.1526728, 106.6019373</v>
          </cell>
        </row>
        <row r="160">
          <cell r="E160">
            <v>102151000</v>
          </cell>
          <cell r="F160" t="str">
            <v>11.151437828690334, 106.62201321164352</v>
          </cell>
        </row>
        <row r="161">
          <cell r="E161">
            <v>102057000</v>
          </cell>
          <cell r="F161" t="str">
            <v>11.181500476818995, 106.62970151846514</v>
          </cell>
        </row>
        <row r="162">
          <cell r="E162">
            <v>102732000</v>
          </cell>
          <cell r="F162" t="str">
            <v>11.1527556, 106.6020705</v>
          </cell>
        </row>
        <row r="163">
          <cell r="E163">
            <v>102150000</v>
          </cell>
          <cell r="F163" t="str">
            <v>11.149057809097673, 106.62490764179853</v>
          </cell>
        </row>
        <row r="164">
          <cell r="E164">
            <v>102149000</v>
          </cell>
          <cell r="F164" t="str">
            <v>11.147914846961335, 106.62643690629307</v>
          </cell>
        </row>
        <row r="165">
          <cell r="E165">
            <v>102056000</v>
          </cell>
          <cell r="F165" t="str">
            <v>11.176811580781596, 106.62125025586383</v>
          </cell>
        </row>
        <row r="166">
          <cell r="E166">
            <v>102730000</v>
          </cell>
          <cell r="F166" t="str">
            <v>11.1532425, 106.6141001</v>
          </cell>
        </row>
        <row r="167">
          <cell r="E167">
            <v>102055000</v>
          </cell>
          <cell r="F167" t="str">
            <v>11.17869460788163, 106.6278175306701</v>
          </cell>
        </row>
        <row r="168">
          <cell r="E168">
            <v>100886000</v>
          </cell>
          <cell r="F168" t="str">
            <v>11.1531997, 106.6159232</v>
          </cell>
        </row>
        <row r="169">
          <cell r="E169">
            <v>102731000</v>
          </cell>
          <cell r="F169" t="str">
            <v>11.1564574, 106.6070764</v>
          </cell>
        </row>
        <row r="170">
          <cell r="E170">
            <v>102053000</v>
          </cell>
          <cell r="F170" t="str">
            <v>11.179095260067124, 106.62389276244438</v>
          </cell>
        </row>
        <row r="171">
          <cell r="E171">
            <v>100885000</v>
          </cell>
          <cell r="F171" t="str">
            <v>11.1501617, 106.6190767</v>
          </cell>
        </row>
        <row r="172">
          <cell r="E172">
            <v>102052000</v>
          </cell>
          <cell r="F172" t="str">
            <v>11.183175321419446, 106.62606501263701</v>
          </cell>
        </row>
        <row r="173">
          <cell r="E173">
            <v>102729000</v>
          </cell>
          <cell r="F173" t="str">
            <v>11.1474328, 106.6271701</v>
          </cell>
        </row>
        <row r="174">
          <cell r="E174">
            <v>102407000</v>
          </cell>
          <cell r="F174" t="str">
            <v>11.179202522906118, 106.63190998342895</v>
          </cell>
        </row>
        <row r="175">
          <cell r="E175">
            <v>110125000</v>
          </cell>
          <cell r="F175" t="str">
            <v>11.146779254790292, 106.632320060955</v>
          </cell>
        </row>
        <row r="176">
          <cell r="E176">
            <v>110127000</v>
          </cell>
          <cell r="F176" t="str">
            <v>11.152813763204477, 106.59103299812612</v>
          </cell>
        </row>
        <row r="177">
          <cell r="E177">
            <v>110126000</v>
          </cell>
          <cell r="F177" t="str">
            <v>11.153816865412514, 106.58903936270774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8CF5-99C0-4500-B2D8-DB8D3E0BA570}">
  <sheetPr>
    <tabColor rgb="FFFF0000"/>
  </sheetPr>
  <dimension ref="A1:AY443"/>
  <sheetViews>
    <sheetView zoomScaleNormal="100" workbookViewId="0">
      <pane ySplit="6" topLeftCell="A7" activePane="bottomLeft" state="frozen"/>
      <selection pane="bottomLeft" activeCell="D8" sqref="D8"/>
    </sheetView>
  </sheetViews>
  <sheetFormatPr defaultColWidth="14.42578125" defaultRowHeight="15" customHeight="1" x14ac:dyDescent="0.25"/>
  <cols>
    <col min="1" max="1" width="6.28515625" style="62" customWidth="1"/>
    <col min="2" max="2" width="54" style="70" customWidth="1"/>
    <col min="3" max="3" width="36.85546875" style="70" customWidth="1"/>
    <col min="4" max="4" width="15.42578125" style="70" customWidth="1"/>
    <col min="5" max="5" width="21" style="70" customWidth="1"/>
    <col min="6" max="6" width="54.7109375" style="70" customWidth="1"/>
    <col min="7" max="7" width="22.7109375" style="70" customWidth="1"/>
    <col min="8" max="8" width="22" style="70" customWidth="1"/>
    <col min="9" max="9" width="21.7109375" style="70" customWidth="1"/>
    <col min="10" max="10" width="11" style="70" customWidth="1"/>
    <col min="11" max="12" width="7.85546875" style="70" customWidth="1"/>
    <col min="13" max="13" width="9.85546875" style="70" customWidth="1"/>
    <col min="14" max="14" width="7" style="70" customWidth="1"/>
    <col min="15" max="15" width="8.140625" style="70" customWidth="1"/>
    <col min="16" max="16" width="9" style="70" customWidth="1"/>
    <col min="17" max="18" width="10.140625" style="70" customWidth="1"/>
    <col min="19" max="20" width="12.7109375" style="70" hidden="1" customWidth="1"/>
    <col min="21" max="23" width="7.42578125" style="70" customWidth="1"/>
    <col min="24" max="24" width="9.140625" style="70" customWidth="1"/>
    <col min="25" max="25" width="7.42578125" style="70" customWidth="1"/>
    <col min="26" max="26" width="8.7109375" style="70" customWidth="1"/>
    <col min="27" max="27" width="6.5703125" style="70" customWidth="1"/>
    <col min="28" max="28" width="6.7109375" style="70" customWidth="1"/>
    <col min="29" max="29" width="7.7109375" style="70" customWidth="1"/>
    <col min="30" max="32" width="6.85546875" style="70" customWidth="1"/>
    <col min="33" max="33" width="9.7109375" style="70" hidden="1" customWidth="1"/>
    <col min="34" max="34" width="11.140625" style="70" hidden="1" customWidth="1"/>
    <col min="35" max="35" width="7.42578125" style="70" customWidth="1"/>
    <col min="36" max="37" width="8.140625" style="70" customWidth="1"/>
    <col min="38" max="38" width="11.140625" style="70" customWidth="1"/>
    <col min="39" max="39" width="20.85546875" style="70" hidden="1" customWidth="1"/>
    <col min="40" max="41" width="7.7109375" style="70" customWidth="1"/>
    <col min="42" max="42" width="38.42578125" style="70" customWidth="1"/>
    <col min="43" max="51" width="28" style="70" customWidth="1"/>
    <col min="52" max="16384" width="14.42578125" style="70"/>
  </cols>
  <sheetData>
    <row r="1" spans="1:51" ht="63" customHeight="1" x14ac:dyDescent="0.3">
      <c r="A1" s="160" t="s">
        <v>872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</row>
    <row r="2" spans="1:51" ht="31.5" customHeight="1" x14ac:dyDescent="0.3">
      <c r="A2" s="161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</row>
    <row r="3" spans="1:51" ht="44.25" customHeight="1" x14ac:dyDescent="0.3">
      <c r="A3" s="162" t="s">
        <v>1</v>
      </c>
      <c r="B3" s="155" t="s">
        <v>2</v>
      </c>
      <c r="C3" s="155" t="s">
        <v>873</v>
      </c>
      <c r="D3" s="155" t="s">
        <v>3</v>
      </c>
      <c r="E3" s="155" t="s">
        <v>522</v>
      </c>
      <c r="F3" s="151" t="s">
        <v>4</v>
      </c>
      <c r="G3" s="155" t="s">
        <v>5</v>
      </c>
      <c r="H3" s="155" t="s">
        <v>6</v>
      </c>
      <c r="I3" s="155" t="s">
        <v>7</v>
      </c>
      <c r="J3" s="155" t="s">
        <v>8</v>
      </c>
      <c r="K3" s="149" t="s">
        <v>9</v>
      </c>
      <c r="L3" s="154"/>
      <c r="M3" s="150"/>
      <c r="N3" s="149" t="s">
        <v>10</v>
      </c>
      <c r="O3" s="154"/>
      <c r="P3" s="154"/>
      <c r="Q3" s="154"/>
      <c r="R3" s="150"/>
      <c r="S3" s="149" t="s">
        <v>11</v>
      </c>
      <c r="T3" s="154"/>
      <c r="U3" s="154"/>
      <c r="V3" s="154"/>
      <c r="W3" s="154"/>
      <c r="X3" s="154"/>
      <c r="Y3" s="150"/>
      <c r="Z3" s="149"/>
      <c r="AA3" s="154"/>
      <c r="AB3" s="154"/>
      <c r="AC3" s="150"/>
      <c r="AD3" s="149" t="s">
        <v>12</v>
      </c>
      <c r="AE3" s="154"/>
      <c r="AF3" s="154"/>
      <c r="AG3" s="154"/>
      <c r="AH3" s="154"/>
      <c r="AI3" s="150"/>
      <c r="AJ3" s="149" t="s">
        <v>13</v>
      </c>
      <c r="AK3" s="150"/>
      <c r="AL3" s="155" t="s">
        <v>14</v>
      </c>
      <c r="AM3" s="155" t="s">
        <v>15</v>
      </c>
      <c r="AN3" s="155" t="s">
        <v>16</v>
      </c>
      <c r="AO3" s="155" t="s">
        <v>523</v>
      </c>
      <c r="AP3" s="69"/>
      <c r="AQ3" s="69"/>
      <c r="AR3" s="69"/>
      <c r="AS3" s="69"/>
      <c r="AT3" s="69"/>
      <c r="AU3" s="69"/>
      <c r="AV3" s="69"/>
      <c r="AW3" s="69"/>
      <c r="AX3" s="69"/>
      <c r="AY3" s="69"/>
    </row>
    <row r="4" spans="1:51" ht="93" customHeight="1" x14ac:dyDescent="0.3">
      <c r="A4" s="163"/>
      <c r="B4" s="157"/>
      <c r="C4" s="157"/>
      <c r="D4" s="157"/>
      <c r="E4" s="158"/>
      <c r="F4" s="152"/>
      <c r="G4" s="157"/>
      <c r="H4" s="157"/>
      <c r="I4" s="157"/>
      <c r="J4" s="157"/>
      <c r="K4" s="155" t="s">
        <v>17</v>
      </c>
      <c r="L4" s="155" t="s">
        <v>18</v>
      </c>
      <c r="M4" s="147" t="s">
        <v>19</v>
      </c>
      <c r="N4" s="155" t="s">
        <v>874</v>
      </c>
      <c r="O4" s="155" t="s">
        <v>21</v>
      </c>
      <c r="P4" s="155" t="s">
        <v>22</v>
      </c>
      <c r="Q4" s="155" t="s">
        <v>23</v>
      </c>
      <c r="R4" s="155" t="s">
        <v>24</v>
      </c>
      <c r="S4" s="149" t="s">
        <v>25</v>
      </c>
      <c r="T4" s="154"/>
      <c r="U4" s="154"/>
      <c r="V4" s="150"/>
      <c r="W4" s="155" t="s">
        <v>26</v>
      </c>
      <c r="X4" s="155" t="s">
        <v>27</v>
      </c>
      <c r="Y4" s="147" t="s">
        <v>19</v>
      </c>
      <c r="Z4" s="149" t="s">
        <v>28</v>
      </c>
      <c r="AA4" s="154"/>
      <c r="AB4" s="150"/>
      <c r="AC4" s="147" t="s">
        <v>19</v>
      </c>
      <c r="AD4" s="149" t="s">
        <v>29</v>
      </c>
      <c r="AE4" s="150"/>
      <c r="AF4" s="155" t="s">
        <v>30</v>
      </c>
      <c r="AG4" s="155" t="s">
        <v>31</v>
      </c>
      <c r="AH4" s="155" t="s">
        <v>32</v>
      </c>
      <c r="AI4" s="147" t="s">
        <v>19</v>
      </c>
      <c r="AJ4" s="149" t="s">
        <v>33</v>
      </c>
      <c r="AK4" s="150"/>
      <c r="AL4" s="157"/>
      <c r="AM4" s="157"/>
      <c r="AN4" s="157"/>
      <c r="AO4" s="158"/>
      <c r="AP4" s="69"/>
      <c r="AQ4" s="69"/>
      <c r="AR4" s="69"/>
      <c r="AS4" s="69"/>
      <c r="AT4" s="69"/>
      <c r="AU4" s="69"/>
      <c r="AV4" s="69"/>
      <c r="AW4" s="69"/>
      <c r="AX4" s="69"/>
      <c r="AY4" s="69"/>
    </row>
    <row r="5" spans="1:51" ht="88.5" customHeight="1" x14ac:dyDescent="0.3">
      <c r="A5" s="164"/>
      <c r="B5" s="156"/>
      <c r="C5" s="156"/>
      <c r="D5" s="156"/>
      <c r="E5" s="159"/>
      <c r="F5" s="153"/>
      <c r="G5" s="156"/>
      <c r="H5" s="156"/>
      <c r="I5" s="156"/>
      <c r="J5" s="156"/>
      <c r="K5" s="156"/>
      <c r="L5" s="156"/>
      <c r="M5" s="148"/>
      <c r="N5" s="156"/>
      <c r="O5" s="156"/>
      <c r="P5" s="156"/>
      <c r="Q5" s="156"/>
      <c r="R5" s="156"/>
      <c r="S5" s="73" t="s">
        <v>34</v>
      </c>
      <c r="T5" s="73" t="s">
        <v>35</v>
      </c>
      <c r="U5" s="73" t="s">
        <v>36</v>
      </c>
      <c r="V5" s="73" t="s">
        <v>37</v>
      </c>
      <c r="W5" s="156"/>
      <c r="X5" s="156"/>
      <c r="Y5" s="148"/>
      <c r="Z5" s="73" t="s">
        <v>38</v>
      </c>
      <c r="AA5" s="72" t="s">
        <v>39</v>
      </c>
      <c r="AB5" s="73" t="s">
        <v>40</v>
      </c>
      <c r="AC5" s="148"/>
      <c r="AD5" s="73" t="s">
        <v>41</v>
      </c>
      <c r="AE5" s="73" t="s">
        <v>42</v>
      </c>
      <c r="AF5" s="156"/>
      <c r="AG5" s="156"/>
      <c r="AH5" s="156"/>
      <c r="AI5" s="148"/>
      <c r="AJ5" s="73" t="s">
        <v>43</v>
      </c>
      <c r="AK5" s="73" t="s">
        <v>44</v>
      </c>
      <c r="AL5" s="156"/>
      <c r="AM5" s="156"/>
      <c r="AN5" s="156"/>
      <c r="AO5" s="159"/>
      <c r="AP5" s="69"/>
      <c r="AQ5" s="69"/>
      <c r="AR5" s="69"/>
      <c r="AS5" s="69"/>
      <c r="AT5" s="69"/>
      <c r="AU5" s="69"/>
      <c r="AV5" s="69"/>
      <c r="AW5" s="69"/>
      <c r="AX5" s="69"/>
      <c r="AY5" s="69"/>
    </row>
    <row r="6" spans="1:51" ht="46.5" hidden="1" customHeight="1" x14ac:dyDescent="0.3">
      <c r="A6" s="46" t="s">
        <v>45</v>
      </c>
      <c r="B6" s="74" t="s">
        <v>46</v>
      </c>
      <c r="C6" s="74"/>
      <c r="D6" s="74" t="s">
        <v>47</v>
      </c>
      <c r="E6" s="74" t="s">
        <v>48</v>
      </c>
      <c r="F6" s="74"/>
      <c r="G6" s="75" t="s">
        <v>49</v>
      </c>
      <c r="H6" s="75" t="s">
        <v>50</v>
      </c>
      <c r="I6" s="75" t="s">
        <v>51</v>
      </c>
      <c r="J6" s="75" t="s">
        <v>52</v>
      </c>
      <c r="K6" s="75" t="s">
        <v>53</v>
      </c>
      <c r="L6" s="75" t="s">
        <v>54</v>
      </c>
      <c r="M6" s="75" t="s">
        <v>55</v>
      </c>
      <c r="N6" s="75" t="s">
        <v>56</v>
      </c>
      <c r="O6" s="75" t="s">
        <v>57</v>
      </c>
      <c r="P6" s="75" t="s">
        <v>58</v>
      </c>
      <c r="Q6" s="75" t="s">
        <v>59</v>
      </c>
      <c r="R6" s="75" t="s">
        <v>60</v>
      </c>
      <c r="S6" s="75" t="s">
        <v>61</v>
      </c>
      <c r="T6" s="74" t="s">
        <v>62</v>
      </c>
      <c r="U6" s="74" t="s">
        <v>63</v>
      </c>
      <c r="V6" s="74" t="s">
        <v>64</v>
      </c>
      <c r="W6" s="74" t="s">
        <v>65</v>
      </c>
      <c r="X6" s="74" t="s">
        <v>66</v>
      </c>
      <c r="Y6" s="75" t="s">
        <v>67</v>
      </c>
      <c r="Z6" s="74" t="s">
        <v>68</v>
      </c>
      <c r="AA6" s="74" t="s">
        <v>69</v>
      </c>
      <c r="AB6" s="74" t="s">
        <v>70</v>
      </c>
      <c r="AC6" s="74" t="s">
        <v>71</v>
      </c>
      <c r="AD6" s="75" t="s">
        <v>72</v>
      </c>
      <c r="AE6" s="75" t="s">
        <v>73</v>
      </c>
      <c r="AF6" s="75" t="s">
        <v>74</v>
      </c>
      <c r="AG6" s="75" t="s">
        <v>75</v>
      </c>
      <c r="AH6" s="74" t="s">
        <v>76</v>
      </c>
      <c r="AI6" s="74" t="s">
        <v>77</v>
      </c>
      <c r="AJ6" s="74" t="s">
        <v>78</v>
      </c>
      <c r="AK6" s="74" t="s">
        <v>79</v>
      </c>
      <c r="AL6" s="74" t="s">
        <v>80</v>
      </c>
      <c r="AM6" s="74" t="s">
        <v>81</v>
      </c>
      <c r="AN6" s="74" t="s">
        <v>82</v>
      </c>
      <c r="AO6" s="76"/>
      <c r="AP6" s="77"/>
      <c r="AQ6" s="77"/>
      <c r="AR6" s="77"/>
      <c r="AS6" s="77"/>
      <c r="AT6" s="77"/>
      <c r="AU6" s="77"/>
      <c r="AV6" s="77"/>
      <c r="AW6" s="77"/>
      <c r="AX6" s="77"/>
      <c r="AY6" s="77"/>
    </row>
    <row r="7" spans="1:51" ht="48" customHeight="1" x14ac:dyDescent="0.3">
      <c r="A7" s="78"/>
      <c r="B7" s="79">
        <f>SUBTOTAL(3,B9:B9369)</f>
        <v>176</v>
      </c>
      <c r="C7" s="79"/>
      <c r="D7" s="79">
        <f>SUBTOTAL(3,D9:D9369)</f>
        <v>176</v>
      </c>
      <c r="E7" s="80"/>
      <c r="F7" s="80"/>
      <c r="G7" s="79">
        <f>SUBTOTAL(3,G9:G9369)</f>
        <v>176</v>
      </c>
      <c r="H7" s="79">
        <f>SUBTOTAL(3,H9:H9369)</f>
        <v>176</v>
      </c>
      <c r="I7" s="80"/>
      <c r="J7" s="80"/>
      <c r="K7" s="80"/>
      <c r="L7" s="80"/>
      <c r="M7" s="79">
        <f>SUBTOTAL(9,M9:M9369)</f>
        <v>103157</v>
      </c>
      <c r="N7" s="79"/>
      <c r="O7" s="79"/>
      <c r="P7" s="79"/>
      <c r="Q7" s="79"/>
      <c r="R7" s="79"/>
      <c r="S7" s="79">
        <f t="shared" ref="S7:AI7" si="0">SUBTOTAL(9,S9:S9369)</f>
        <v>0</v>
      </c>
      <c r="T7" s="79">
        <f t="shared" si="0"/>
        <v>0</v>
      </c>
      <c r="U7" s="79">
        <f t="shared" si="0"/>
        <v>665</v>
      </c>
      <c r="V7" s="79">
        <f t="shared" si="0"/>
        <v>29</v>
      </c>
      <c r="W7" s="79">
        <f t="shared" si="0"/>
        <v>1632</v>
      </c>
      <c r="X7" s="79">
        <f t="shared" si="0"/>
        <v>3</v>
      </c>
      <c r="Y7" s="79">
        <f t="shared" si="0"/>
        <v>2329</v>
      </c>
      <c r="Z7" s="79">
        <f t="shared" si="0"/>
        <v>2221</v>
      </c>
      <c r="AA7" s="79">
        <f t="shared" si="0"/>
        <v>74</v>
      </c>
      <c r="AB7" s="79"/>
      <c r="AC7" s="79">
        <f t="shared" si="0"/>
        <v>2295</v>
      </c>
      <c r="AD7" s="79">
        <f t="shared" si="0"/>
        <v>68</v>
      </c>
      <c r="AE7" s="79">
        <f t="shared" si="0"/>
        <v>2217</v>
      </c>
      <c r="AF7" s="79">
        <f t="shared" si="0"/>
        <v>14</v>
      </c>
      <c r="AG7" s="79">
        <f t="shared" si="0"/>
        <v>0</v>
      </c>
      <c r="AH7" s="79">
        <f t="shared" si="0"/>
        <v>0</v>
      </c>
      <c r="AI7" s="79">
        <f t="shared" si="0"/>
        <v>2299</v>
      </c>
      <c r="AJ7" s="80"/>
      <c r="AK7" s="80"/>
      <c r="AL7" s="80"/>
      <c r="AM7" s="80"/>
      <c r="AN7" s="81"/>
      <c r="AO7" s="82"/>
      <c r="AP7" s="71"/>
      <c r="AQ7" s="71"/>
      <c r="AR7" s="71"/>
      <c r="AS7" s="71"/>
      <c r="AT7" s="71"/>
      <c r="AU7" s="71"/>
      <c r="AV7" s="71"/>
      <c r="AW7" s="71"/>
      <c r="AX7" s="71"/>
      <c r="AY7" s="71"/>
    </row>
    <row r="8" spans="1:51" ht="48" customHeight="1" x14ac:dyDescent="0.3">
      <c r="A8" s="61"/>
      <c r="B8" s="83"/>
      <c r="C8" s="83"/>
      <c r="D8" s="83"/>
      <c r="E8" s="82"/>
      <c r="F8" s="82"/>
      <c r="G8" s="83"/>
      <c r="H8" s="83"/>
      <c r="I8" s="82"/>
      <c r="J8" s="82"/>
      <c r="K8" s="82"/>
      <c r="L8" s="82"/>
      <c r="M8" s="83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3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71"/>
      <c r="AQ8" s="71"/>
      <c r="AR8" s="71"/>
      <c r="AS8" s="71"/>
      <c r="AT8" s="71"/>
      <c r="AU8" s="71"/>
      <c r="AV8" s="71"/>
      <c r="AW8" s="71"/>
      <c r="AX8" s="71"/>
      <c r="AY8" s="71"/>
    </row>
    <row r="9" spans="1:51" ht="65.25" customHeight="1" x14ac:dyDescent="0.3">
      <c r="A9" s="84">
        <v>1710</v>
      </c>
      <c r="B9" s="85" t="s">
        <v>875</v>
      </c>
      <c r="C9" s="82" t="s">
        <v>876</v>
      </c>
      <c r="D9" s="86">
        <v>102407000</v>
      </c>
      <c r="E9" s="82" t="s">
        <v>877</v>
      </c>
      <c r="F9" s="82" t="str">
        <f>VLOOKUP(D9,'[1]Bến Cát'!$E$4:$F$177,2,0)</f>
        <v>11.179202522906118, 106.63190998342895</v>
      </c>
      <c r="G9" s="82" t="s">
        <v>876</v>
      </c>
      <c r="H9" s="82" t="s">
        <v>878</v>
      </c>
      <c r="I9" s="82" t="s">
        <v>879</v>
      </c>
      <c r="J9" s="82" t="s">
        <v>880</v>
      </c>
      <c r="K9" s="82"/>
      <c r="L9" s="82">
        <v>180</v>
      </c>
      <c r="M9" s="82">
        <f t="shared" ref="M9:M117" si="1">SUM(K9:L9)</f>
        <v>180</v>
      </c>
      <c r="N9" s="82" t="s">
        <v>90</v>
      </c>
      <c r="O9" s="82" t="s">
        <v>91</v>
      </c>
      <c r="P9" s="82" t="s">
        <v>91</v>
      </c>
      <c r="Q9" s="82" t="s">
        <v>881</v>
      </c>
      <c r="R9" s="82" t="s">
        <v>882</v>
      </c>
      <c r="S9" s="87"/>
      <c r="T9" s="87"/>
      <c r="U9" s="87"/>
      <c r="V9" s="87"/>
      <c r="W9" s="82">
        <v>6</v>
      </c>
      <c r="X9" s="87"/>
      <c r="Y9" s="82">
        <f t="shared" ref="Y9:Y184" si="2">SUM(S9:X9)</f>
        <v>6</v>
      </c>
      <c r="Z9" s="82">
        <v>6</v>
      </c>
      <c r="AA9" s="87"/>
      <c r="AB9" s="87"/>
      <c r="AC9" s="82">
        <f t="shared" ref="AC9:AC184" si="3">SUM(Z9:AB9)</f>
        <v>6</v>
      </c>
      <c r="AD9" s="87"/>
      <c r="AE9" s="82">
        <v>6</v>
      </c>
      <c r="AF9" s="87"/>
      <c r="AG9" s="87"/>
      <c r="AH9" s="87"/>
      <c r="AI9" s="82">
        <f t="shared" ref="AI9:AI184" si="4">SUM(AD9:AH9)</f>
        <v>6</v>
      </c>
      <c r="AJ9" s="82" t="s">
        <v>883</v>
      </c>
      <c r="AK9" s="82">
        <v>3</v>
      </c>
      <c r="AL9" s="82" t="s">
        <v>884</v>
      </c>
      <c r="AM9" s="88">
        <v>46133</v>
      </c>
      <c r="AN9" s="87"/>
      <c r="AO9" s="82" t="s">
        <v>885</v>
      </c>
      <c r="AY9" s="71"/>
    </row>
    <row r="10" spans="1:51" ht="65.25" customHeight="1" x14ac:dyDescent="0.3">
      <c r="A10" s="84">
        <v>1804</v>
      </c>
      <c r="B10" s="85" t="s">
        <v>886</v>
      </c>
      <c r="C10" s="82" t="s">
        <v>887</v>
      </c>
      <c r="D10" s="86">
        <v>102729000</v>
      </c>
      <c r="E10" s="82" t="s">
        <v>888</v>
      </c>
      <c r="F10" s="82" t="str">
        <f>VLOOKUP(D10,'[1]Bến Cát'!$E$4:$F$177,2,0)</f>
        <v>11.1474328, 106.6271701</v>
      </c>
      <c r="G10" s="82" t="s">
        <v>889</v>
      </c>
      <c r="H10" s="82" t="s">
        <v>878</v>
      </c>
      <c r="I10" s="82" t="s">
        <v>890</v>
      </c>
      <c r="J10" s="82" t="s">
        <v>891</v>
      </c>
      <c r="K10" s="82"/>
      <c r="L10" s="82">
        <v>1958</v>
      </c>
      <c r="M10" s="82">
        <f t="shared" si="1"/>
        <v>1958</v>
      </c>
      <c r="N10" s="82" t="s">
        <v>90</v>
      </c>
      <c r="O10" s="82" t="s">
        <v>91</v>
      </c>
      <c r="P10" s="82" t="s">
        <v>91</v>
      </c>
      <c r="Q10" s="82" t="s">
        <v>881</v>
      </c>
      <c r="R10" s="82" t="s">
        <v>882</v>
      </c>
      <c r="S10" s="87"/>
      <c r="T10" s="87"/>
      <c r="U10" s="82">
        <v>26</v>
      </c>
      <c r="V10" s="87"/>
      <c r="W10" s="82">
        <v>3</v>
      </c>
      <c r="X10" s="87"/>
      <c r="Y10" s="82">
        <f t="shared" si="2"/>
        <v>29</v>
      </c>
      <c r="Z10" s="82">
        <v>29</v>
      </c>
      <c r="AA10" s="87"/>
      <c r="AB10" s="87"/>
      <c r="AC10" s="82">
        <f t="shared" si="3"/>
        <v>29</v>
      </c>
      <c r="AD10" s="87"/>
      <c r="AE10" s="82">
        <v>29</v>
      </c>
      <c r="AF10" s="87"/>
      <c r="AG10" s="87"/>
      <c r="AH10" s="87"/>
      <c r="AI10" s="82">
        <f t="shared" si="4"/>
        <v>29</v>
      </c>
      <c r="AJ10" s="82" t="s">
        <v>883</v>
      </c>
      <c r="AK10" s="82">
        <v>3</v>
      </c>
      <c r="AL10" s="82" t="s">
        <v>884</v>
      </c>
      <c r="AM10" s="88">
        <v>46133</v>
      </c>
      <c r="AN10" s="87"/>
      <c r="AO10" s="82" t="s">
        <v>892</v>
      </c>
      <c r="AY10" s="71"/>
    </row>
    <row r="11" spans="1:51" ht="65.25" customHeight="1" x14ac:dyDescent="0.3">
      <c r="A11" s="84">
        <v>1708</v>
      </c>
      <c r="B11" s="85" t="s">
        <v>893</v>
      </c>
      <c r="C11" s="82" t="s">
        <v>894</v>
      </c>
      <c r="D11" s="86">
        <v>102052000</v>
      </c>
      <c r="E11" s="82" t="s">
        <v>895</v>
      </c>
      <c r="F11" s="82" t="str">
        <f>VLOOKUP(D11,'[1]Bến Cát'!$E$4:$F$177,2,0)</f>
        <v>11.183175321419446, 106.62606501263701</v>
      </c>
      <c r="G11" s="82" t="s">
        <v>894</v>
      </c>
      <c r="H11" s="82" t="s">
        <v>878</v>
      </c>
      <c r="I11" s="82" t="s">
        <v>896</v>
      </c>
      <c r="J11" s="82" t="s">
        <v>880</v>
      </c>
      <c r="K11" s="82"/>
      <c r="L11" s="82">
        <v>400</v>
      </c>
      <c r="M11" s="82">
        <f t="shared" si="1"/>
        <v>400</v>
      </c>
      <c r="N11" s="82" t="s">
        <v>91</v>
      </c>
      <c r="O11" s="82" t="s">
        <v>90</v>
      </c>
      <c r="P11" s="82" t="s">
        <v>91</v>
      </c>
      <c r="Q11" s="82" t="s">
        <v>881</v>
      </c>
      <c r="R11" s="82" t="s">
        <v>897</v>
      </c>
      <c r="S11" s="87"/>
      <c r="T11" s="87"/>
      <c r="U11" s="87"/>
      <c r="V11" s="87"/>
      <c r="W11" s="82">
        <v>10</v>
      </c>
      <c r="X11" s="87"/>
      <c r="Y11" s="82">
        <f t="shared" si="2"/>
        <v>10</v>
      </c>
      <c r="Z11" s="82">
        <v>10</v>
      </c>
      <c r="AA11" s="87"/>
      <c r="AB11" s="87"/>
      <c r="AC11" s="82">
        <f t="shared" si="3"/>
        <v>10</v>
      </c>
      <c r="AD11" s="87"/>
      <c r="AE11" s="82">
        <v>10</v>
      </c>
      <c r="AF11" s="87"/>
      <c r="AG11" s="87"/>
      <c r="AH11" s="87"/>
      <c r="AI11" s="82">
        <f t="shared" si="4"/>
        <v>10</v>
      </c>
      <c r="AJ11" s="82" t="s">
        <v>883</v>
      </c>
      <c r="AK11" s="82">
        <v>3</v>
      </c>
      <c r="AL11" s="82" t="s">
        <v>884</v>
      </c>
      <c r="AM11" s="88">
        <v>46133</v>
      </c>
      <c r="AN11" s="87"/>
      <c r="AO11" s="82" t="s">
        <v>892</v>
      </c>
      <c r="AY11" s="71"/>
    </row>
    <row r="12" spans="1:51" ht="65.25" customHeight="1" x14ac:dyDescent="0.3">
      <c r="A12" s="84">
        <v>1724</v>
      </c>
      <c r="B12" s="85" t="s">
        <v>898</v>
      </c>
      <c r="C12" s="82" t="s">
        <v>899</v>
      </c>
      <c r="D12" s="86">
        <v>100885000</v>
      </c>
      <c r="E12" s="82" t="s">
        <v>900</v>
      </c>
      <c r="F12" s="82" t="str">
        <f>VLOOKUP(D12,'[1]Bến Cát'!$E$4:$F$177,2,0)</f>
        <v>11.1501617, 106.6190767</v>
      </c>
      <c r="G12" s="82" t="s">
        <v>899</v>
      </c>
      <c r="H12" s="82" t="s">
        <v>878</v>
      </c>
      <c r="I12" s="82" t="s">
        <v>901</v>
      </c>
      <c r="J12" s="82" t="s">
        <v>891</v>
      </c>
      <c r="K12" s="82"/>
      <c r="L12" s="82">
        <v>284</v>
      </c>
      <c r="M12" s="82">
        <f t="shared" si="1"/>
        <v>284</v>
      </c>
      <c r="N12" s="82" t="s">
        <v>90</v>
      </c>
      <c r="O12" s="82" t="s">
        <v>91</v>
      </c>
      <c r="P12" s="82" t="s">
        <v>91</v>
      </c>
      <c r="Q12" s="82" t="s">
        <v>881</v>
      </c>
      <c r="R12" s="82" t="s">
        <v>897</v>
      </c>
      <c r="S12" s="87"/>
      <c r="T12" s="87"/>
      <c r="U12" s="87"/>
      <c r="V12" s="87"/>
      <c r="W12" s="82">
        <v>11</v>
      </c>
      <c r="X12" s="87"/>
      <c r="Y12" s="82">
        <f t="shared" si="2"/>
        <v>11</v>
      </c>
      <c r="Z12" s="82">
        <v>11</v>
      </c>
      <c r="AA12" s="87"/>
      <c r="AB12" s="87"/>
      <c r="AC12" s="82">
        <f t="shared" si="3"/>
        <v>11</v>
      </c>
      <c r="AD12" s="87"/>
      <c r="AE12" s="82">
        <v>11</v>
      </c>
      <c r="AF12" s="87"/>
      <c r="AG12" s="87"/>
      <c r="AH12" s="87"/>
      <c r="AI12" s="82">
        <f t="shared" si="4"/>
        <v>11</v>
      </c>
      <c r="AJ12" s="82" t="s">
        <v>883</v>
      </c>
      <c r="AK12" s="82">
        <v>3</v>
      </c>
      <c r="AL12" s="82" t="s">
        <v>884</v>
      </c>
      <c r="AM12" s="88">
        <v>46133</v>
      </c>
      <c r="AN12" s="87"/>
      <c r="AO12" s="82" t="s">
        <v>892</v>
      </c>
      <c r="AY12" s="71"/>
    </row>
    <row r="13" spans="1:51" ht="65.25" customHeight="1" x14ac:dyDescent="0.3">
      <c r="A13" s="84">
        <v>1706</v>
      </c>
      <c r="B13" s="85" t="s">
        <v>902</v>
      </c>
      <c r="C13" s="82" t="s">
        <v>903</v>
      </c>
      <c r="D13" s="86">
        <v>102053000</v>
      </c>
      <c r="E13" s="82" t="s">
        <v>904</v>
      </c>
      <c r="F13" s="82" t="str">
        <f>VLOOKUP(D13,'[1]Bến Cát'!$E$4:$F$177,2,0)</f>
        <v>11.179095260067124, 106.62389276244438</v>
      </c>
      <c r="G13" s="82" t="s">
        <v>903</v>
      </c>
      <c r="H13" s="82" t="s">
        <v>878</v>
      </c>
      <c r="I13" s="82" t="s">
        <v>905</v>
      </c>
      <c r="J13" s="82" t="s">
        <v>891</v>
      </c>
      <c r="K13" s="82"/>
      <c r="L13" s="82">
        <v>840</v>
      </c>
      <c r="M13" s="82">
        <f t="shared" si="1"/>
        <v>840</v>
      </c>
      <c r="N13" s="82" t="s">
        <v>90</v>
      </c>
      <c r="O13" s="82" t="s">
        <v>91</v>
      </c>
      <c r="P13" s="82" t="s">
        <v>91</v>
      </c>
      <c r="Q13" s="82" t="s">
        <v>881</v>
      </c>
      <c r="R13" s="82" t="s">
        <v>882</v>
      </c>
      <c r="S13" s="87"/>
      <c r="T13" s="87"/>
      <c r="U13" s="87"/>
      <c r="V13" s="87"/>
      <c r="W13" s="82">
        <v>12</v>
      </c>
      <c r="X13" s="87"/>
      <c r="Y13" s="82">
        <f t="shared" si="2"/>
        <v>12</v>
      </c>
      <c r="Z13" s="82">
        <v>12</v>
      </c>
      <c r="AA13" s="87"/>
      <c r="AB13" s="87"/>
      <c r="AC13" s="82">
        <f t="shared" si="3"/>
        <v>12</v>
      </c>
      <c r="AD13" s="87"/>
      <c r="AE13" s="82">
        <v>12</v>
      </c>
      <c r="AF13" s="87"/>
      <c r="AG13" s="87"/>
      <c r="AH13" s="87"/>
      <c r="AI13" s="82">
        <f t="shared" si="4"/>
        <v>12</v>
      </c>
      <c r="AJ13" s="82" t="s">
        <v>883</v>
      </c>
      <c r="AK13" s="82">
        <v>3</v>
      </c>
      <c r="AL13" s="82" t="s">
        <v>884</v>
      </c>
      <c r="AM13" s="88">
        <v>46133</v>
      </c>
      <c r="AN13" s="87"/>
      <c r="AO13" s="82" t="s">
        <v>885</v>
      </c>
      <c r="AY13" s="71"/>
    </row>
    <row r="14" spans="1:51" ht="65.25" customHeight="1" x14ac:dyDescent="0.3">
      <c r="A14" s="84" t="s">
        <v>906</v>
      </c>
      <c r="B14" s="85" t="s">
        <v>907</v>
      </c>
      <c r="C14" s="82" t="s">
        <v>908</v>
      </c>
      <c r="D14" s="86">
        <v>102731000</v>
      </c>
      <c r="E14" s="82" t="s">
        <v>909</v>
      </c>
      <c r="F14" s="82" t="str">
        <f>VLOOKUP(D14,'[1]Bến Cát'!$E$4:$F$177,2,0)</f>
        <v>11.1564574, 106.6070764</v>
      </c>
      <c r="G14" s="82" t="s">
        <v>908</v>
      </c>
      <c r="H14" s="82" t="s">
        <v>878</v>
      </c>
      <c r="I14" s="82" t="s">
        <v>910</v>
      </c>
      <c r="J14" s="82" t="s">
        <v>911</v>
      </c>
      <c r="K14" s="82"/>
      <c r="L14" s="82">
        <v>555</v>
      </c>
      <c r="M14" s="82">
        <f t="shared" si="1"/>
        <v>555</v>
      </c>
      <c r="N14" s="82" t="s">
        <v>91</v>
      </c>
      <c r="O14" s="82" t="s">
        <v>90</v>
      </c>
      <c r="P14" s="82" t="s">
        <v>91</v>
      </c>
      <c r="Q14" s="82" t="s">
        <v>881</v>
      </c>
      <c r="R14" s="82" t="s">
        <v>897</v>
      </c>
      <c r="S14" s="87"/>
      <c r="T14" s="87"/>
      <c r="U14" s="87"/>
      <c r="V14" s="87"/>
      <c r="W14" s="82">
        <v>19</v>
      </c>
      <c r="X14" s="87"/>
      <c r="Y14" s="82">
        <f t="shared" si="2"/>
        <v>19</v>
      </c>
      <c r="Z14" s="82">
        <v>19</v>
      </c>
      <c r="AA14" s="87"/>
      <c r="AB14" s="87"/>
      <c r="AC14" s="82">
        <f t="shared" si="3"/>
        <v>19</v>
      </c>
      <c r="AD14" s="87"/>
      <c r="AE14" s="82">
        <v>19</v>
      </c>
      <c r="AF14" s="87"/>
      <c r="AG14" s="87"/>
      <c r="AH14" s="87"/>
      <c r="AI14" s="82">
        <f t="shared" si="4"/>
        <v>19</v>
      </c>
      <c r="AJ14" s="82" t="s">
        <v>883</v>
      </c>
      <c r="AK14" s="82">
        <v>2</v>
      </c>
      <c r="AL14" s="82" t="s">
        <v>884</v>
      </c>
      <c r="AM14" s="88">
        <v>46133</v>
      </c>
      <c r="AN14" s="87"/>
      <c r="AO14" s="82" t="s">
        <v>892</v>
      </c>
      <c r="AY14" s="71"/>
    </row>
    <row r="15" spans="1:51" ht="65.25" customHeight="1" x14ac:dyDescent="0.3">
      <c r="A15" s="84">
        <v>1750</v>
      </c>
      <c r="B15" s="85" t="s">
        <v>912</v>
      </c>
      <c r="C15" s="82" t="s">
        <v>913</v>
      </c>
      <c r="D15" s="86">
        <v>100886000</v>
      </c>
      <c r="E15" s="82" t="s">
        <v>914</v>
      </c>
      <c r="F15" s="82" t="str">
        <f>VLOOKUP(D15,'[1]Bến Cát'!$E$4:$F$177,2,0)</f>
        <v>11.1531997, 106.6159232</v>
      </c>
      <c r="G15" s="82" t="s">
        <v>913</v>
      </c>
      <c r="H15" s="82" t="s">
        <v>878</v>
      </c>
      <c r="I15" s="82" t="s">
        <v>915</v>
      </c>
      <c r="J15" s="82" t="s">
        <v>880</v>
      </c>
      <c r="K15" s="82"/>
      <c r="L15" s="82">
        <v>320</v>
      </c>
      <c r="M15" s="82">
        <f t="shared" si="1"/>
        <v>320</v>
      </c>
      <c r="N15" s="82" t="s">
        <v>91</v>
      </c>
      <c r="O15" s="82" t="s">
        <v>90</v>
      </c>
      <c r="P15" s="82" t="s">
        <v>91</v>
      </c>
      <c r="Q15" s="82" t="s">
        <v>881</v>
      </c>
      <c r="R15" s="82" t="s">
        <v>897</v>
      </c>
      <c r="S15" s="87"/>
      <c r="T15" s="87"/>
      <c r="U15" s="87"/>
      <c r="V15" s="87"/>
      <c r="W15" s="82">
        <v>8</v>
      </c>
      <c r="X15" s="87"/>
      <c r="Y15" s="82">
        <f t="shared" si="2"/>
        <v>8</v>
      </c>
      <c r="Z15" s="82">
        <v>8</v>
      </c>
      <c r="AA15" s="87"/>
      <c r="AB15" s="87"/>
      <c r="AC15" s="82">
        <f t="shared" si="3"/>
        <v>8</v>
      </c>
      <c r="AD15" s="87"/>
      <c r="AE15" s="82">
        <v>8</v>
      </c>
      <c r="AF15" s="87"/>
      <c r="AG15" s="87"/>
      <c r="AH15" s="87"/>
      <c r="AI15" s="82">
        <f t="shared" si="4"/>
        <v>8</v>
      </c>
      <c r="AJ15" s="82" t="s">
        <v>883</v>
      </c>
      <c r="AK15" s="82">
        <v>3</v>
      </c>
      <c r="AL15" s="82" t="s">
        <v>884</v>
      </c>
      <c r="AM15" s="88">
        <v>46133</v>
      </c>
      <c r="AN15" s="87"/>
      <c r="AO15" s="82" t="s">
        <v>892</v>
      </c>
      <c r="AY15" s="71"/>
    </row>
    <row r="16" spans="1:51" ht="65.25" customHeight="1" x14ac:dyDescent="0.3">
      <c r="A16" s="84">
        <v>1694</v>
      </c>
      <c r="B16" s="85" t="s">
        <v>916</v>
      </c>
      <c r="C16" s="82" t="s">
        <v>917</v>
      </c>
      <c r="D16" s="86">
        <v>102055000</v>
      </c>
      <c r="E16" s="82" t="s">
        <v>918</v>
      </c>
      <c r="F16" s="82" t="str">
        <f>VLOOKUP(D16,'[1]Bến Cát'!$E$4:$F$177,2,0)</f>
        <v>11.17869460788163, 106.6278175306701</v>
      </c>
      <c r="G16" s="82" t="s">
        <v>919</v>
      </c>
      <c r="H16" s="82" t="s">
        <v>878</v>
      </c>
      <c r="I16" s="82" t="s">
        <v>920</v>
      </c>
      <c r="J16" s="82" t="s">
        <v>891</v>
      </c>
      <c r="K16" s="82"/>
      <c r="L16" s="82">
        <v>560</v>
      </c>
      <c r="M16" s="82">
        <f t="shared" si="1"/>
        <v>560</v>
      </c>
      <c r="N16" s="82" t="s">
        <v>90</v>
      </c>
      <c r="O16" s="82" t="s">
        <v>91</v>
      </c>
      <c r="P16" s="82" t="s">
        <v>91</v>
      </c>
      <c r="Q16" s="82" t="s">
        <v>881</v>
      </c>
      <c r="R16" s="82" t="s">
        <v>897</v>
      </c>
      <c r="S16" s="87"/>
      <c r="T16" s="87"/>
      <c r="U16" s="87"/>
      <c r="V16" s="87"/>
      <c r="W16" s="82">
        <v>14</v>
      </c>
      <c r="X16" s="87"/>
      <c r="Y16" s="82">
        <f t="shared" si="2"/>
        <v>14</v>
      </c>
      <c r="Z16" s="82">
        <v>14</v>
      </c>
      <c r="AA16" s="87"/>
      <c r="AB16" s="87"/>
      <c r="AC16" s="82">
        <f t="shared" si="3"/>
        <v>14</v>
      </c>
      <c r="AD16" s="87"/>
      <c r="AE16" s="82">
        <v>14</v>
      </c>
      <c r="AF16" s="87"/>
      <c r="AG16" s="87"/>
      <c r="AH16" s="87"/>
      <c r="AI16" s="82">
        <f t="shared" si="4"/>
        <v>14</v>
      </c>
      <c r="AJ16" s="82" t="s">
        <v>883</v>
      </c>
      <c r="AK16" s="82">
        <v>3</v>
      </c>
      <c r="AL16" s="82" t="s">
        <v>884</v>
      </c>
      <c r="AM16" s="88">
        <v>46133</v>
      </c>
      <c r="AN16" s="87"/>
      <c r="AO16" s="82" t="s">
        <v>892</v>
      </c>
      <c r="AY16" s="71"/>
    </row>
    <row r="17" spans="1:51" ht="65.25" customHeight="1" x14ac:dyDescent="0.3">
      <c r="A17" s="84" t="s">
        <v>921</v>
      </c>
      <c r="B17" s="85" t="s">
        <v>922</v>
      </c>
      <c r="C17" s="82" t="s">
        <v>923</v>
      </c>
      <c r="D17" s="86">
        <v>102730000</v>
      </c>
      <c r="E17" s="82" t="s">
        <v>924</v>
      </c>
      <c r="F17" s="82" t="str">
        <f>VLOOKUP(D17,'[1]Bến Cát'!$E$4:$F$177,2,0)</f>
        <v>11.1532425, 106.6141001</v>
      </c>
      <c r="G17" s="82" t="s">
        <v>889</v>
      </c>
      <c r="H17" s="82" t="s">
        <v>878</v>
      </c>
      <c r="I17" s="82" t="s">
        <v>925</v>
      </c>
      <c r="J17" s="82" t="s">
        <v>926</v>
      </c>
      <c r="K17" s="82"/>
      <c r="L17" s="82">
        <v>2220</v>
      </c>
      <c r="M17" s="82">
        <f t="shared" si="1"/>
        <v>2220</v>
      </c>
      <c r="N17" s="82" t="s">
        <v>90</v>
      </c>
      <c r="O17" s="82" t="s">
        <v>91</v>
      </c>
      <c r="P17" s="82" t="s">
        <v>91</v>
      </c>
      <c r="Q17" s="82" t="s">
        <v>881</v>
      </c>
      <c r="R17" s="82" t="s">
        <v>897</v>
      </c>
      <c r="S17" s="87"/>
      <c r="T17" s="87"/>
      <c r="U17" s="82">
        <v>27</v>
      </c>
      <c r="V17" s="87"/>
      <c r="W17" s="82">
        <v>8</v>
      </c>
      <c r="X17" s="87"/>
      <c r="Y17" s="82">
        <f t="shared" si="2"/>
        <v>35</v>
      </c>
      <c r="Z17" s="82">
        <v>35</v>
      </c>
      <c r="AA17" s="87"/>
      <c r="AB17" s="87"/>
      <c r="AC17" s="82">
        <f t="shared" si="3"/>
        <v>35</v>
      </c>
      <c r="AD17" s="87"/>
      <c r="AE17" s="82">
        <v>35</v>
      </c>
      <c r="AF17" s="87"/>
      <c r="AG17" s="87"/>
      <c r="AH17" s="87"/>
      <c r="AI17" s="82">
        <f t="shared" si="4"/>
        <v>35</v>
      </c>
      <c r="AJ17" s="82" t="s">
        <v>883</v>
      </c>
      <c r="AK17" s="82">
        <v>3</v>
      </c>
      <c r="AL17" s="82" t="s">
        <v>884</v>
      </c>
      <c r="AM17" s="88">
        <v>46133</v>
      </c>
      <c r="AN17" s="87"/>
      <c r="AO17" s="82" t="s">
        <v>892</v>
      </c>
      <c r="AY17" s="71"/>
    </row>
    <row r="18" spans="1:51" ht="65.25" customHeight="1" x14ac:dyDescent="0.3">
      <c r="A18" s="84">
        <v>1694</v>
      </c>
      <c r="B18" s="85" t="s">
        <v>927</v>
      </c>
      <c r="C18" s="82" t="s">
        <v>928</v>
      </c>
      <c r="D18" s="86">
        <v>102056000</v>
      </c>
      <c r="E18" s="82" t="s">
        <v>929</v>
      </c>
      <c r="F18" s="82" t="str">
        <f>VLOOKUP(D18,'[1]Bến Cát'!$E$4:$F$177,2,0)</f>
        <v>11.176811580781596, 106.62125025586383</v>
      </c>
      <c r="G18" s="82" t="s">
        <v>919</v>
      </c>
      <c r="H18" s="82" t="s">
        <v>878</v>
      </c>
      <c r="I18" s="82" t="s">
        <v>930</v>
      </c>
      <c r="J18" s="82" t="s">
        <v>911</v>
      </c>
      <c r="K18" s="82"/>
      <c r="L18" s="82">
        <v>1200</v>
      </c>
      <c r="M18" s="82">
        <f t="shared" si="1"/>
        <v>1200</v>
      </c>
      <c r="N18" s="82" t="s">
        <v>91</v>
      </c>
      <c r="O18" s="82" t="s">
        <v>90</v>
      </c>
      <c r="P18" s="82" t="s">
        <v>91</v>
      </c>
      <c r="Q18" s="82" t="s">
        <v>881</v>
      </c>
      <c r="R18" s="82" t="s">
        <v>882</v>
      </c>
      <c r="S18" s="87"/>
      <c r="T18" s="87"/>
      <c r="U18" s="87"/>
      <c r="V18" s="87"/>
      <c r="W18" s="82">
        <v>33</v>
      </c>
      <c r="X18" s="87"/>
      <c r="Y18" s="82">
        <f t="shared" si="2"/>
        <v>33</v>
      </c>
      <c r="Z18" s="82">
        <v>33</v>
      </c>
      <c r="AA18" s="87"/>
      <c r="AB18" s="87"/>
      <c r="AC18" s="82">
        <f t="shared" si="3"/>
        <v>33</v>
      </c>
      <c r="AD18" s="87"/>
      <c r="AE18" s="82">
        <v>33</v>
      </c>
      <c r="AF18" s="87"/>
      <c r="AG18" s="87"/>
      <c r="AH18" s="87"/>
      <c r="AI18" s="82">
        <f t="shared" si="4"/>
        <v>33</v>
      </c>
      <c r="AJ18" s="82" t="s">
        <v>883</v>
      </c>
      <c r="AK18" s="82">
        <v>3</v>
      </c>
      <c r="AL18" s="82" t="s">
        <v>884</v>
      </c>
      <c r="AM18" s="88">
        <v>46133</v>
      </c>
      <c r="AN18" s="87"/>
      <c r="AO18" s="82" t="s">
        <v>885</v>
      </c>
      <c r="AY18" s="71"/>
    </row>
    <row r="19" spans="1:51" ht="65.25" customHeight="1" x14ac:dyDescent="0.3">
      <c r="A19" s="84">
        <v>1747</v>
      </c>
      <c r="B19" s="85" t="s">
        <v>931</v>
      </c>
      <c r="C19" s="82" t="s">
        <v>932</v>
      </c>
      <c r="D19" s="86">
        <v>102149000</v>
      </c>
      <c r="E19" s="82" t="s">
        <v>933</v>
      </c>
      <c r="F19" s="82" t="str">
        <f>VLOOKUP(D19,'[1]Bến Cát'!$E$4:$F$177,2,0)</f>
        <v>11.147914846961335, 106.62643690629307</v>
      </c>
      <c r="G19" s="82" t="s">
        <v>932</v>
      </c>
      <c r="H19" s="82" t="s">
        <v>878</v>
      </c>
      <c r="I19" s="82" t="s">
        <v>934</v>
      </c>
      <c r="J19" s="82" t="s">
        <v>880</v>
      </c>
      <c r="K19" s="82"/>
      <c r="L19" s="82">
        <v>240</v>
      </c>
      <c r="M19" s="82">
        <f t="shared" si="1"/>
        <v>240</v>
      </c>
      <c r="N19" s="82" t="s">
        <v>91</v>
      </c>
      <c r="O19" s="82" t="s">
        <v>90</v>
      </c>
      <c r="P19" s="82" t="s">
        <v>91</v>
      </c>
      <c r="Q19" s="82" t="s">
        <v>881</v>
      </c>
      <c r="R19" s="82" t="s">
        <v>882</v>
      </c>
      <c r="S19" s="87"/>
      <c r="T19" s="87"/>
      <c r="U19" s="87"/>
      <c r="V19" s="87"/>
      <c r="W19" s="82">
        <v>6</v>
      </c>
      <c r="X19" s="87"/>
      <c r="Y19" s="82">
        <f t="shared" si="2"/>
        <v>6</v>
      </c>
      <c r="Z19" s="82">
        <v>6</v>
      </c>
      <c r="AA19" s="87"/>
      <c r="AB19" s="87"/>
      <c r="AC19" s="82">
        <f t="shared" si="3"/>
        <v>6</v>
      </c>
      <c r="AD19" s="87"/>
      <c r="AE19" s="82">
        <v>6</v>
      </c>
      <c r="AF19" s="87"/>
      <c r="AG19" s="87"/>
      <c r="AH19" s="87"/>
      <c r="AI19" s="82">
        <f t="shared" si="4"/>
        <v>6</v>
      </c>
      <c r="AJ19" s="82" t="s">
        <v>883</v>
      </c>
      <c r="AK19" s="82">
        <v>2</v>
      </c>
      <c r="AL19" s="82" t="s">
        <v>884</v>
      </c>
      <c r="AM19" s="88">
        <v>46133</v>
      </c>
      <c r="AN19" s="87"/>
      <c r="AO19" s="82" t="s">
        <v>885</v>
      </c>
      <c r="AY19" s="71"/>
    </row>
    <row r="20" spans="1:51" ht="65.25" customHeight="1" x14ac:dyDescent="0.3">
      <c r="A20" s="84">
        <v>1762</v>
      </c>
      <c r="B20" s="85" t="s">
        <v>935</v>
      </c>
      <c r="C20" s="82" t="s">
        <v>936</v>
      </c>
      <c r="D20" s="86">
        <v>102150000</v>
      </c>
      <c r="E20" s="82" t="s">
        <v>937</v>
      </c>
      <c r="F20" s="82" t="str">
        <f>VLOOKUP(D20,'[1]Bến Cát'!$E$4:$F$177,2,0)</f>
        <v>11.149057809097673, 106.62490764179853</v>
      </c>
      <c r="G20" s="82" t="s">
        <v>936</v>
      </c>
      <c r="H20" s="82" t="s">
        <v>878</v>
      </c>
      <c r="I20" s="82" t="s">
        <v>938</v>
      </c>
      <c r="J20" s="82" t="s">
        <v>880</v>
      </c>
      <c r="K20" s="82"/>
      <c r="L20" s="82">
        <v>200</v>
      </c>
      <c r="M20" s="82">
        <f t="shared" si="1"/>
        <v>200</v>
      </c>
      <c r="N20" s="82" t="s">
        <v>90</v>
      </c>
      <c r="O20" s="82" t="s">
        <v>91</v>
      </c>
      <c r="P20" s="82" t="s">
        <v>91</v>
      </c>
      <c r="Q20" s="82" t="s">
        <v>881</v>
      </c>
      <c r="R20" s="82" t="s">
        <v>897</v>
      </c>
      <c r="S20" s="87"/>
      <c r="T20" s="87"/>
      <c r="U20" s="87"/>
      <c r="V20" s="87"/>
      <c r="W20" s="82">
        <v>5</v>
      </c>
      <c r="X20" s="87"/>
      <c r="Y20" s="82">
        <f t="shared" si="2"/>
        <v>5</v>
      </c>
      <c r="Z20" s="82">
        <v>5</v>
      </c>
      <c r="AA20" s="87"/>
      <c r="AB20" s="87"/>
      <c r="AC20" s="82">
        <f t="shared" si="3"/>
        <v>5</v>
      </c>
      <c r="AD20" s="87"/>
      <c r="AE20" s="82">
        <v>5</v>
      </c>
      <c r="AF20" s="87"/>
      <c r="AG20" s="87"/>
      <c r="AH20" s="87"/>
      <c r="AI20" s="82">
        <f t="shared" si="4"/>
        <v>5</v>
      </c>
      <c r="AJ20" s="82" t="s">
        <v>883</v>
      </c>
      <c r="AK20" s="82">
        <v>3</v>
      </c>
      <c r="AL20" s="82" t="s">
        <v>884</v>
      </c>
      <c r="AM20" s="88">
        <v>46133</v>
      </c>
      <c r="AN20" s="87"/>
      <c r="AO20" s="82" t="s">
        <v>892</v>
      </c>
      <c r="AY20" s="71"/>
    </row>
    <row r="21" spans="1:51" ht="65.25" customHeight="1" x14ac:dyDescent="0.3">
      <c r="A21" s="84">
        <v>1804</v>
      </c>
      <c r="B21" s="85" t="s">
        <v>939</v>
      </c>
      <c r="C21" s="82" t="s">
        <v>940</v>
      </c>
      <c r="D21" s="86">
        <v>102732000</v>
      </c>
      <c r="E21" s="82" t="s">
        <v>941</v>
      </c>
      <c r="F21" s="82" t="str">
        <f>VLOOKUP(D21,'[1]Bến Cát'!$E$4:$F$177,2,0)</f>
        <v>11.1527556, 106.6020705</v>
      </c>
      <c r="G21" s="82" t="s">
        <v>889</v>
      </c>
      <c r="H21" s="82" t="s">
        <v>878</v>
      </c>
      <c r="I21" s="82" t="s">
        <v>942</v>
      </c>
      <c r="J21" s="82" t="s">
        <v>891</v>
      </c>
      <c r="K21" s="82">
        <v>1360</v>
      </c>
      <c r="L21" s="82"/>
      <c r="M21" s="82">
        <f t="shared" si="1"/>
        <v>1360</v>
      </c>
      <c r="N21" s="82" t="s">
        <v>90</v>
      </c>
      <c r="O21" s="82" t="s">
        <v>91</v>
      </c>
      <c r="P21" s="82" t="s">
        <v>91</v>
      </c>
      <c r="Q21" s="82" t="s">
        <v>881</v>
      </c>
      <c r="R21" s="82" t="s">
        <v>882</v>
      </c>
      <c r="S21" s="87"/>
      <c r="T21" s="87"/>
      <c r="U21" s="87"/>
      <c r="V21" s="87"/>
      <c r="W21" s="82">
        <v>64</v>
      </c>
      <c r="X21" s="87"/>
      <c r="Y21" s="82">
        <f t="shared" si="2"/>
        <v>64</v>
      </c>
      <c r="Z21" s="87"/>
      <c r="AA21" s="82">
        <v>34</v>
      </c>
      <c r="AB21" s="87"/>
      <c r="AC21" s="82">
        <f t="shared" si="3"/>
        <v>34</v>
      </c>
      <c r="AD21" s="87"/>
      <c r="AE21" s="82">
        <v>21</v>
      </c>
      <c r="AF21" s="82">
        <v>13</v>
      </c>
      <c r="AG21" s="87"/>
      <c r="AH21" s="87"/>
      <c r="AI21" s="82">
        <f t="shared" si="4"/>
        <v>34</v>
      </c>
      <c r="AJ21" s="82" t="s">
        <v>943</v>
      </c>
      <c r="AK21" s="82">
        <v>3</v>
      </c>
      <c r="AL21" s="82" t="s">
        <v>884</v>
      </c>
      <c r="AM21" s="88">
        <v>46133</v>
      </c>
      <c r="AN21" s="87"/>
      <c r="AO21" s="82" t="s">
        <v>892</v>
      </c>
      <c r="AY21" s="71"/>
    </row>
    <row r="22" spans="1:51" ht="65.25" customHeight="1" x14ac:dyDescent="0.3">
      <c r="A22" s="84">
        <v>1709</v>
      </c>
      <c r="B22" s="85" t="s">
        <v>944</v>
      </c>
      <c r="C22" s="82" t="s">
        <v>945</v>
      </c>
      <c r="D22" s="86">
        <v>102057000</v>
      </c>
      <c r="E22" s="82" t="s">
        <v>946</v>
      </c>
      <c r="F22" s="82" t="str">
        <f>VLOOKUP(D22,'[1]Bến Cát'!$E$4:$F$177,2,0)</f>
        <v>11.181500476818995, 106.62970151846514</v>
      </c>
      <c r="G22" s="82" t="s">
        <v>947</v>
      </c>
      <c r="H22" s="82" t="s">
        <v>878</v>
      </c>
      <c r="I22" s="82" t="s">
        <v>948</v>
      </c>
      <c r="J22" s="82" t="s">
        <v>891</v>
      </c>
      <c r="K22" s="82"/>
      <c r="L22" s="82">
        <v>560</v>
      </c>
      <c r="M22" s="82">
        <f t="shared" si="1"/>
        <v>560</v>
      </c>
      <c r="N22" s="82" t="s">
        <v>91</v>
      </c>
      <c r="O22" s="82" t="s">
        <v>90</v>
      </c>
      <c r="P22" s="82" t="s">
        <v>91</v>
      </c>
      <c r="Q22" s="82" t="s">
        <v>881</v>
      </c>
      <c r="R22" s="82" t="s">
        <v>882</v>
      </c>
      <c r="S22" s="87"/>
      <c r="T22" s="87"/>
      <c r="U22" s="87"/>
      <c r="V22" s="87"/>
      <c r="W22" s="82">
        <v>12</v>
      </c>
      <c r="X22" s="87"/>
      <c r="Y22" s="82">
        <f t="shared" si="2"/>
        <v>12</v>
      </c>
      <c r="Z22" s="82">
        <v>12</v>
      </c>
      <c r="AA22" s="87"/>
      <c r="AB22" s="87"/>
      <c r="AC22" s="82">
        <f t="shared" si="3"/>
        <v>12</v>
      </c>
      <c r="AD22" s="87"/>
      <c r="AE22" s="82">
        <v>12</v>
      </c>
      <c r="AF22" s="87"/>
      <c r="AG22" s="87"/>
      <c r="AH22" s="87"/>
      <c r="AI22" s="82">
        <f t="shared" si="4"/>
        <v>12</v>
      </c>
      <c r="AJ22" s="82" t="s">
        <v>883</v>
      </c>
      <c r="AK22" s="82">
        <v>2</v>
      </c>
      <c r="AL22" s="82" t="s">
        <v>884</v>
      </c>
      <c r="AM22" s="88">
        <v>46133</v>
      </c>
      <c r="AN22" s="87"/>
      <c r="AO22" s="82" t="s">
        <v>885</v>
      </c>
      <c r="AY22" s="71"/>
    </row>
    <row r="23" spans="1:51" ht="65.25" customHeight="1" x14ac:dyDescent="0.3">
      <c r="A23" s="84">
        <v>1748</v>
      </c>
      <c r="B23" s="85" t="s">
        <v>949</v>
      </c>
      <c r="C23" s="82" t="s">
        <v>950</v>
      </c>
      <c r="D23" s="86">
        <v>102151000</v>
      </c>
      <c r="E23" s="82" t="s">
        <v>951</v>
      </c>
      <c r="F23" s="82" t="str">
        <f>VLOOKUP(D23,'[1]Bến Cát'!$E$4:$F$177,2,0)</f>
        <v>11.151437828690334, 106.62201321164352</v>
      </c>
      <c r="G23" s="82" t="s">
        <v>950</v>
      </c>
      <c r="H23" s="82" t="s">
        <v>878</v>
      </c>
      <c r="I23" s="82" t="s">
        <v>952</v>
      </c>
      <c r="J23" s="82" t="s">
        <v>891</v>
      </c>
      <c r="K23" s="82"/>
      <c r="L23" s="82">
        <v>685</v>
      </c>
      <c r="M23" s="82">
        <f t="shared" si="1"/>
        <v>685</v>
      </c>
      <c r="N23" s="82" t="s">
        <v>91</v>
      </c>
      <c r="O23" s="82" t="s">
        <v>90</v>
      </c>
      <c r="P23" s="82" t="s">
        <v>91</v>
      </c>
      <c r="Q23" s="82" t="s">
        <v>881</v>
      </c>
      <c r="R23" s="82" t="s">
        <v>897</v>
      </c>
      <c r="S23" s="87"/>
      <c r="T23" s="87"/>
      <c r="U23" s="82">
        <v>17</v>
      </c>
      <c r="V23" s="87"/>
      <c r="W23" s="87"/>
      <c r="X23" s="87"/>
      <c r="Y23" s="82">
        <f t="shared" si="2"/>
        <v>17</v>
      </c>
      <c r="Z23" s="82">
        <v>17</v>
      </c>
      <c r="AA23" s="87"/>
      <c r="AB23" s="87"/>
      <c r="AC23" s="82">
        <f t="shared" si="3"/>
        <v>17</v>
      </c>
      <c r="AD23" s="87"/>
      <c r="AE23" s="82">
        <v>17</v>
      </c>
      <c r="AF23" s="87"/>
      <c r="AG23" s="87"/>
      <c r="AH23" s="87"/>
      <c r="AI23" s="82">
        <f t="shared" si="4"/>
        <v>17</v>
      </c>
      <c r="AJ23" s="82" t="s">
        <v>883</v>
      </c>
      <c r="AK23" s="82">
        <v>3</v>
      </c>
      <c r="AL23" s="82" t="s">
        <v>884</v>
      </c>
      <c r="AM23" s="88">
        <v>46133</v>
      </c>
      <c r="AN23" s="87"/>
      <c r="AO23" s="82" t="s">
        <v>892</v>
      </c>
      <c r="AY23" s="71"/>
    </row>
    <row r="24" spans="1:51" ht="65.25" customHeight="1" x14ac:dyDescent="0.3">
      <c r="A24" s="84">
        <v>1720</v>
      </c>
      <c r="B24" s="85" t="s">
        <v>953</v>
      </c>
      <c r="C24" s="82" t="s">
        <v>954</v>
      </c>
      <c r="D24" s="86">
        <v>102733000</v>
      </c>
      <c r="E24" s="82" t="s">
        <v>955</v>
      </c>
      <c r="F24" s="82" t="str">
        <f>VLOOKUP(D24,'[1]Bến Cát'!$E$4:$F$177,2,0)</f>
        <v>11.1526728, 106.6019373</v>
      </c>
      <c r="G24" s="82" t="s">
        <v>954</v>
      </c>
      <c r="H24" s="82" t="s">
        <v>878</v>
      </c>
      <c r="I24" s="82" t="s">
        <v>956</v>
      </c>
      <c r="J24" s="82" t="s">
        <v>880</v>
      </c>
      <c r="K24" s="82"/>
      <c r="L24" s="82">
        <v>70</v>
      </c>
      <c r="M24" s="82">
        <f t="shared" si="1"/>
        <v>70</v>
      </c>
      <c r="N24" s="82" t="s">
        <v>91</v>
      </c>
      <c r="O24" s="82" t="s">
        <v>90</v>
      </c>
      <c r="P24" s="82" t="s">
        <v>91</v>
      </c>
      <c r="Q24" s="82" t="s">
        <v>881</v>
      </c>
      <c r="R24" s="82" t="s">
        <v>897</v>
      </c>
      <c r="S24" s="87"/>
      <c r="T24" s="87"/>
      <c r="U24" s="87"/>
      <c r="V24" s="87"/>
      <c r="W24" s="82">
        <v>3</v>
      </c>
      <c r="X24" s="87"/>
      <c r="Y24" s="82">
        <f t="shared" si="2"/>
        <v>3</v>
      </c>
      <c r="Z24" s="82">
        <v>3</v>
      </c>
      <c r="AA24" s="87"/>
      <c r="AB24" s="87"/>
      <c r="AC24" s="82">
        <f t="shared" si="3"/>
        <v>3</v>
      </c>
      <c r="AD24" s="87"/>
      <c r="AE24" s="82">
        <v>3</v>
      </c>
      <c r="AF24" s="87"/>
      <c r="AG24" s="87"/>
      <c r="AH24" s="87"/>
      <c r="AI24" s="82">
        <f t="shared" si="4"/>
        <v>3</v>
      </c>
      <c r="AJ24" s="82" t="s">
        <v>883</v>
      </c>
      <c r="AK24" s="82">
        <v>2</v>
      </c>
      <c r="AL24" s="82" t="s">
        <v>884</v>
      </c>
      <c r="AM24" s="88">
        <v>46133</v>
      </c>
      <c r="AN24" s="87"/>
      <c r="AO24" s="82" t="s">
        <v>892</v>
      </c>
      <c r="AY24" s="71"/>
    </row>
    <row r="25" spans="1:51" ht="65.25" customHeight="1" x14ac:dyDescent="0.3">
      <c r="A25" s="84">
        <v>1709</v>
      </c>
      <c r="B25" s="85" t="s">
        <v>957</v>
      </c>
      <c r="C25" s="82" t="s">
        <v>958</v>
      </c>
      <c r="D25" s="86">
        <v>102058000</v>
      </c>
      <c r="E25" s="82" t="s">
        <v>959</v>
      </c>
      <c r="F25" s="82" t="str">
        <f>VLOOKUP(D25,'[1]Bến Cát'!$E$4:$F$177,2,0)</f>
        <v>11.186277845514855, 106.64187243189245</v>
      </c>
      <c r="G25" s="82" t="s">
        <v>947</v>
      </c>
      <c r="H25" s="82" t="s">
        <v>878</v>
      </c>
      <c r="I25" s="82" t="s">
        <v>960</v>
      </c>
      <c r="J25" s="82" t="s">
        <v>891</v>
      </c>
      <c r="K25" s="82"/>
      <c r="L25" s="82">
        <v>935</v>
      </c>
      <c r="M25" s="82">
        <f t="shared" si="1"/>
        <v>935</v>
      </c>
      <c r="N25" s="82" t="s">
        <v>91</v>
      </c>
      <c r="O25" s="82" t="s">
        <v>90</v>
      </c>
      <c r="P25" s="82" t="s">
        <v>91</v>
      </c>
      <c r="Q25" s="82" t="s">
        <v>881</v>
      </c>
      <c r="R25" s="82" t="s">
        <v>882</v>
      </c>
      <c r="S25" s="87"/>
      <c r="T25" s="87"/>
      <c r="U25" s="87"/>
      <c r="V25" s="87"/>
      <c r="W25" s="82">
        <v>18</v>
      </c>
      <c r="X25" s="87"/>
      <c r="Y25" s="82">
        <f t="shared" si="2"/>
        <v>18</v>
      </c>
      <c r="Z25" s="82">
        <v>18</v>
      </c>
      <c r="AA25" s="87"/>
      <c r="AB25" s="87"/>
      <c r="AC25" s="82">
        <f t="shared" si="3"/>
        <v>18</v>
      </c>
      <c r="AD25" s="87"/>
      <c r="AE25" s="82">
        <v>18</v>
      </c>
      <c r="AF25" s="87"/>
      <c r="AG25" s="87"/>
      <c r="AH25" s="87"/>
      <c r="AI25" s="82">
        <f t="shared" si="4"/>
        <v>18</v>
      </c>
      <c r="AJ25" s="82" t="s">
        <v>883</v>
      </c>
      <c r="AK25" s="82">
        <v>2</v>
      </c>
      <c r="AL25" s="82" t="s">
        <v>884</v>
      </c>
      <c r="AM25" s="88">
        <v>46133</v>
      </c>
      <c r="AN25" s="87"/>
      <c r="AO25" s="82" t="s">
        <v>885</v>
      </c>
      <c r="AY25" s="71"/>
    </row>
    <row r="26" spans="1:51" ht="65.25" customHeight="1" x14ac:dyDescent="0.3">
      <c r="A26" s="84">
        <v>1721</v>
      </c>
      <c r="B26" s="85" t="s">
        <v>961</v>
      </c>
      <c r="C26" s="82" t="s">
        <v>962</v>
      </c>
      <c r="D26" s="86">
        <v>102734000</v>
      </c>
      <c r="E26" s="82" t="s">
        <v>963</v>
      </c>
      <c r="F26" s="82" t="str">
        <f>VLOOKUP(D26,'[1]Bến Cát'!$E$4:$F$177,2,0)</f>
        <v>11.1528836, 106.6024231</v>
      </c>
      <c r="G26" s="82" t="s">
        <v>962</v>
      </c>
      <c r="H26" s="82" t="s">
        <v>878</v>
      </c>
      <c r="I26" s="82" t="s">
        <v>964</v>
      </c>
      <c r="J26" s="82" t="s">
        <v>880</v>
      </c>
      <c r="K26" s="82"/>
      <c r="L26" s="82">
        <v>75</v>
      </c>
      <c r="M26" s="82">
        <f t="shared" si="1"/>
        <v>75</v>
      </c>
      <c r="N26" s="82" t="s">
        <v>91</v>
      </c>
      <c r="O26" s="82" t="s">
        <v>90</v>
      </c>
      <c r="P26" s="82" t="s">
        <v>91</v>
      </c>
      <c r="Q26" s="82" t="s">
        <v>881</v>
      </c>
      <c r="R26" s="82" t="s">
        <v>882</v>
      </c>
      <c r="S26" s="87"/>
      <c r="T26" s="87"/>
      <c r="U26" s="87"/>
      <c r="V26" s="87"/>
      <c r="W26" s="82">
        <v>4</v>
      </c>
      <c r="X26" s="87"/>
      <c r="Y26" s="82">
        <f t="shared" si="2"/>
        <v>4</v>
      </c>
      <c r="Z26" s="82">
        <v>4</v>
      </c>
      <c r="AA26" s="87"/>
      <c r="AB26" s="87"/>
      <c r="AC26" s="82">
        <f t="shared" si="3"/>
        <v>4</v>
      </c>
      <c r="AD26" s="87"/>
      <c r="AE26" s="82">
        <v>4</v>
      </c>
      <c r="AF26" s="87"/>
      <c r="AG26" s="87"/>
      <c r="AH26" s="87"/>
      <c r="AI26" s="82">
        <f t="shared" si="4"/>
        <v>4</v>
      </c>
      <c r="AJ26" s="82" t="s">
        <v>883</v>
      </c>
      <c r="AK26" s="82">
        <v>3</v>
      </c>
      <c r="AL26" s="82" t="s">
        <v>884</v>
      </c>
      <c r="AM26" s="88">
        <v>46133</v>
      </c>
      <c r="AN26" s="87"/>
      <c r="AO26" s="82" t="s">
        <v>892</v>
      </c>
      <c r="AY26" s="71"/>
    </row>
    <row r="27" spans="1:51" ht="65.25" customHeight="1" x14ac:dyDescent="0.3">
      <c r="A27" s="84">
        <v>1752</v>
      </c>
      <c r="B27" s="85" t="s">
        <v>965</v>
      </c>
      <c r="C27" s="82" t="s">
        <v>966</v>
      </c>
      <c r="D27" s="86">
        <v>100887000</v>
      </c>
      <c r="E27" s="82" t="s">
        <v>967</v>
      </c>
      <c r="F27" s="82" t="str">
        <f>VLOOKUP(D27,'[1]Bến Cát'!$E$4:$F$177,2,0)</f>
        <v>11.1556583, 106.610485</v>
      </c>
      <c r="G27" s="82" t="s">
        <v>966</v>
      </c>
      <c r="H27" s="82" t="s">
        <v>878</v>
      </c>
      <c r="I27" s="82" t="s">
        <v>968</v>
      </c>
      <c r="J27" s="82" t="s">
        <v>969</v>
      </c>
      <c r="K27" s="82"/>
      <c r="L27" s="82">
        <v>555</v>
      </c>
      <c r="M27" s="82">
        <f t="shared" si="1"/>
        <v>555</v>
      </c>
      <c r="N27" s="82" t="s">
        <v>91</v>
      </c>
      <c r="O27" s="82" t="s">
        <v>90</v>
      </c>
      <c r="P27" s="82" t="s">
        <v>91</v>
      </c>
      <c r="Q27" s="82" t="s">
        <v>881</v>
      </c>
      <c r="R27" s="82" t="s">
        <v>897</v>
      </c>
      <c r="S27" s="87"/>
      <c r="T27" s="87"/>
      <c r="U27" s="87"/>
      <c r="V27" s="87"/>
      <c r="W27" s="82">
        <v>17</v>
      </c>
      <c r="X27" s="87"/>
      <c r="Y27" s="82">
        <f t="shared" si="2"/>
        <v>17</v>
      </c>
      <c r="Z27" s="82">
        <v>17</v>
      </c>
      <c r="AA27" s="87"/>
      <c r="AB27" s="87"/>
      <c r="AC27" s="82">
        <f t="shared" si="3"/>
        <v>17</v>
      </c>
      <c r="AD27" s="87"/>
      <c r="AE27" s="82">
        <v>17</v>
      </c>
      <c r="AF27" s="87"/>
      <c r="AG27" s="87"/>
      <c r="AH27" s="87"/>
      <c r="AI27" s="82">
        <f t="shared" si="4"/>
        <v>17</v>
      </c>
      <c r="AJ27" s="82" t="s">
        <v>883</v>
      </c>
      <c r="AK27" s="82">
        <v>2</v>
      </c>
      <c r="AL27" s="82" t="s">
        <v>884</v>
      </c>
      <c r="AM27" s="88">
        <v>46133</v>
      </c>
      <c r="AN27" s="87"/>
      <c r="AO27" s="82" t="s">
        <v>892</v>
      </c>
      <c r="AY27" s="71"/>
    </row>
    <row r="28" spans="1:51" ht="65.25" customHeight="1" x14ac:dyDescent="0.3">
      <c r="A28" s="84">
        <v>1709</v>
      </c>
      <c r="B28" s="85" t="s">
        <v>970</v>
      </c>
      <c r="C28" s="82" t="s">
        <v>971</v>
      </c>
      <c r="D28" s="86">
        <v>102059000</v>
      </c>
      <c r="E28" s="82" t="s">
        <v>972</v>
      </c>
      <c r="F28" s="82" t="str">
        <f>VLOOKUP(D28,'[1]Bến Cát'!$E$4:$F$177,2,0)</f>
        <v>11.19066872315915, 106.64794286024285</v>
      </c>
      <c r="G28" s="82" t="s">
        <v>947</v>
      </c>
      <c r="H28" s="82" t="s">
        <v>878</v>
      </c>
      <c r="I28" s="82" t="s">
        <v>973</v>
      </c>
      <c r="J28" s="82" t="s">
        <v>891</v>
      </c>
      <c r="K28" s="82"/>
      <c r="L28" s="82">
        <v>850</v>
      </c>
      <c r="M28" s="82">
        <f t="shared" si="1"/>
        <v>850</v>
      </c>
      <c r="N28" s="82" t="s">
        <v>91</v>
      </c>
      <c r="O28" s="82" t="s">
        <v>90</v>
      </c>
      <c r="P28" s="82" t="s">
        <v>91</v>
      </c>
      <c r="Q28" s="82" t="s">
        <v>881</v>
      </c>
      <c r="R28" s="82" t="s">
        <v>897</v>
      </c>
      <c r="S28" s="87"/>
      <c r="T28" s="87"/>
      <c r="U28" s="87"/>
      <c r="V28" s="87"/>
      <c r="W28" s="82">
        <v>17</v>
      </c>
      <c r="X28" s="87"/>
      <c r="Y28" s="82">
        <f t="shared" si="2"/>
        <v>17</v>
      </c>
      <c r="Z28" s="82">
        <v>17</v>
      </c>
      <c r="AA28" s="87"/>
      <c r="AB28" s="87"/>
      <c r="AC28" s="82">
        <f t="shared" si="3"/>
        <v>17</v>
      </c>
      <c r="AD28" s="87"/>
      <c r="AE28" s="82">
        <v>17</v>
      </c>
      <c r="AF28" s="87"/>
      <c r="AG28" s="87"/>
      <c r="AH28" s="87"/>
      <c r="AI28" s="82">
        <f t="shared" si="4"/>
        <v>17</v>
      </c>
      <c r="AJ28" s="82" t="s">
        <v>883</v>
      </c>
      <c r="AK28" s="82">
        <v>2</v>
      </c>
      <c r="AL28" s="82" t="s">
        <v>884</v>
      </c>
      <c r="AM28" s="88">
        <v>46133</v>
      </c>
      <c r="AN28" s="87"/>
      <c r="AO28" s="82" t="s">
        <v>892</v>
      </c>
      <c r="AY28" s="71"/>
    </row>
    <row r="29" spans="1:51" ht="65.25" customHeight="1" x14ac:dyDescent="0.3">
      <c r="A29" s="84">
        <v>1749</v>
      </c>
      <c r="B29" s="85" t="s">
        <v>974</v>
      </c>
      <c r="C29" s="82" t="s">
        <v>975</v>
      </c>
      <c r="D29" s="86">
        <v>102152000</v>
      </c>
      <c r="E29" s="82" t="s">
        <v>976</v>
      </c>
      <c r="F29" s="82" t="str">
        <f>VLOOKUP(D29,'[1]Bến Cát'!$E$4:$F$177,2,0)</f>
        <v>11.153224433791264, 106.61792472033443</v>
      </c>
      <c r="G29" s="82" t="s">
        <v>975</v>
      </c>
      <c r="H29" s="82" t="s">
        <v>878</v>
      </c>
      <c r="I29" s="82" t="s">
        <v>977</v>
      </c>
      <c r="J29" s="82" t="s">
        <v>891</v>
      </c>
      <c r="K29" s="82"/>
      <c r="L29" s="82">
        <v>400</v>
      </c>
      <c r="M29" s="82">
        <f t="shared" si="1"/>
        <v>400</v>
      </c>
      <c r="N29" s="82" t="s">
        <v>91</v>
      </c>
      <c r="O29" s="82" t="s">
        <v>90</v>
      </c>
      <c r="P29" s="82" t="s">
        <v>91</v>
      </c>
      <c r="Q29" s="82" t="s">
        <v>881</v>
      </c>
      <c r="R29" s="82" t="s">
        <v>882</v>
      </c>
      <c r="S29" s="87"/>
      <c r="T29" s="87"/>
      <c r="U29" s="87"/>
      <c r="V29" s="87"/>
      <c r="W29" s="82">
        <v>10</v>
      </c>
      <c r="X29" s="87"/>
      <c r="Y29" s="82">
        <f t="shared" si="2"/>
        <v>10</v>
      </c>
      <c r="Z29" s="82">
        <v>10</v>
      </c>
      <c r="AA29" s="87"/>
      <c r="AB29" s="87"/>
      <c r="AC29" s="82">
        <f t="shared" si="3"/>
        <v>10</v>
      </c>
      <c r="AD29" s="87"/>
      <c r="AE29" s="82">
        <v>10</v>
      </c>
      <c r="AF29" s="87"/>
      <c r="AG29" s="87"/>
      <c r="AH29" s="87"/>
      <c r="AI29" s="82">
        <f t="shared" si="4"/>
        <v>10</v>
      </c>
      <c r="AJ29" s="82" t="s">
        <v>883</v>
      </c>
      <c r="AK29" s="82">
        <v>2</v>
      </c>
      <c r="AL29" s="82" t="s">
        <v>884</v>
      </c>
      <c r="AM29" s="88">
        <v>46133</v>
      </c>
      <c r="AN29" s="87"/>
      <c r="AO29" s="82" t="s">
        <v>885</v>
      </c>
      <c r="AY29" s="71"/>
    </row>
    <row r="30" spans="1:51" ht="65.25" customHeight="1" x14ac:dyDescent="0.3">
      <c r="A30" s="84">
        <v>1754</v>
      </c>
      <c r="B30" s="85" t="s">
        <v>978</v>
      </c>
      <c r="C30" s="82" t="s">
        <v>979</v>
      </c>
      <c r="D30" s="86">
        <v>102735000</v>
      </c>
      <c r="E30" s="82" t="s">
        <v>980</v>
      </c>
      <c r="F30" s="82" t="str">
        <f>VLOOKUP(D30,'[1]Bến Cát'!$E$4:$F$177,2,0)</f>
        <v>11.1543737, 106.6039045</v>
      </c>
      <c r="G30" s="82" t="s">
        <v>979</v>
      </c>
      <c r="H30" s="82" t="s">
        <v>878</v>
      </c>
      <c r="I30" s="82" t="s">
        <v>981</v>
      </c>
      <c r="J30" s="82" t="s">
        <v>891</v>
      </c>
      <c r="K30" s="82"/>
      <c r="L30" s="82">
        <v>325</v>
      </c>
      <c r="M30" s="82">
        <f t="shared" si="1"/>
        <v>325</v>
      </c>
      <c r="N30" s="82" t="s">
        <v>90</v>
      </c>
      <c r="O30" s="82" t="s">
        <v>91</v>
      </c>
      <c r="P30" s="82" t="s">
        <v>91</v>
      </c>
      <c r="Q30" s="82" t="s">
        <v>881</v>
      </c>
      <c r="R30" s="82" t="s">
        <v>897</v>
      </c>
      <c r="S30" s="87"/>
      <c r="T30" s="87"/>
      <c r="U30" s="87"/>
      <c r="V30" s="87"/>
      <c r="W30" s="82">
        <v>10</v>
      </c>
      <c r="X30" s="87"/>
      <c r="Y30" s="82">
        <f t="shared" si="2"/>
        <v>10</v>
      </c>
      <c r="Z30" s="82">
        <v>10</v>
      </c>
      <c r="AA30" s="87"/>
      <c r="AB30" s="87"/>
      <c r="AC30" s="82">
        <f t="shared" si="3"/>
        <v>10</v>
      </c>
      <c r="AD30" s="87"/>
      <c r="AE30" s="82">
        <v>10</v>
      </c>
      <c r="AF30" s="87"/>
      <c r="AG30" s="87"/>
      <c r="AH30" s="87"/>
      <c r="AI30" s="82">
        <f t="shared" si="4"/>
        <v>10</v>
      </c>
      <c r="AJ30" s="82" t="s">
        <v>883</v>
      </c>
      <c r="AK30" s="82">
        <v>3</v>
      </c>
      <c r="AL30" s="82" t="s">
        <v>884</v>
      </c>
      <c r="AM30" s="88">
        <v>46133</v>
      </c>
      <c r="AN30" s="87"/>
      <c r="AO30" s="82" t="s">
        <v>892</v>
      </c>
      <c r="AY30" s="71"/>
    </row>
    <row r="31" spans="1:51" ht="65.25" customHeight="1" x14ac:dyDescent="0.3">
      <c r="A31" s="84">
        <v>1711</v>
      </c>
      <c r="B31" s="85" t="s">
        <v>982</v>
      </c>
      <c r="C31" s="82" t="s">
        <v>983</v>
      </c>
      <c r="D31" s="86">
        <v>102060000</v>
      </c>
      <c r="E31" s="82" t="s">
        <v>984</v>
      </c>
      <c r="F31" s="82" t="str">
        <f>VLOOKUP(D31,'[1]Bến Cát'!$E$4:$F$177,2,0)</f>
        <v>11.191838198440674, 106.64259462865893</v>
      </c>
      <c r="G31" s="82" t="s">
        <v>983</v>
      </c>
      <c r="H31" s="82" t="s">
        <v>878</v>
      </c>
      <c r="I31" s="82" t="s">
        <v>985</v>
      </c>
      <c r="J31" s="82" t="s">
        <v>880</v>
      </c>
      <c r="K31" s="82"/>
      <c r="L31" s="82">
        <v>520</v>
      </c>
      <c r="M31" s="82">
        <f t="shared" si="1"/>
        <v>520</v>
      </c>
      <c r="N31" s="82" t="s">
        <v>90</v>
      </c>
      <c r="O31" s="82" t="s">
        <v>91</v>
      </c>
      <c r="P31" s="82" t="s">
        <v>91</v>
      </c>
      <c r="Q31" s="82" t="s">
        <v>881</v>
      </c>
      <c r="R31" s="82" t="s">
        <v>897</v>
      </c>
      <c r="S31" s="87"/>
      <c r="T31" s="87"/>
      <c r="U31" s="87"/>
      <c r="V31" s="87"/>
      <c r="W31" s="82">
        <v>14</v>
      </c>
      <c r="X31" s="87"/>
      <c r="Y31" s="82">
        <f t="shared" si="2"/>
        <v>14</v>
      </c>
      <c r="Z31" s="82">
        <v>14</v>
      </c>
      <c r="AA31" s="87"/>
      <c r="AB31" s="87"/>
      <c r="AC31" s="82">
        <f t="shared" si="3"/>
        <v>14</v>
      </c>
      <c r="AD31" s="87"/>
      <c r="AE31" s="82">
        <v>14</v>
      </c>
      <c r="AF31" s="87"/>
      <c r="AG31" s="87"/>
      <c r="AH31" s="87"/>
      <c r="AI31" s="82">
        <f t="shared" si="4"/>
        <v>14</v>
      </c>
      <c r="AJ31" s="82" t="s">
        <v>883</v>
      </c>
      <c r="AK31" s="82">
        <v>3</v>
      </c>
      <c r="AL31" s="82" t="s">
        <v>884</v>
      </c>
      <c r="AM31" s="88">
        <v>46133</v>
      </c>
      <c r="AN31" s="87"/>
      <c r="AO31" s="82" t="s">
        <v>892</v>
      </c>
      <c r="AY31" s="71"/>
    </row>
    <row r="32" spans="1:51" ht="65.25" customHeight="1" x14ac:dyDescent="0.3">
      <c r="A32" s="84">
        <v>1753</v>
      </c>
      <c r="B32" s="85" t="s">
        <v>986</v>
      </c>
      <c r="C32" s="82" t="s">
        <v>987</v>
      </c>
      <c r="D32" s="86">
        <v>100888000</v>
      </c>
      <c r="E32" s="82" t="s">
        <v>988</v>
      </c>
      <c r="F32" s="82" t="str">
        <f>VLOOKUP(D32,'[1]Bến Cát'!$E$4:$F$177,2,0)</f>
        <v>11.1553594, 106.6086122</v>
      </c>
      <c r="G32" s="82" t="s">
        <v>987</v>
      </c>
      <c r="H32" s="82" t="s">
        <v>878</v>
      </c>
      <c r="I32" s="82" t="s">
        <v>989</v>
      </c>
      <c r="J32" s="82" t="s">
        <v>969</v>
      </c>
      <c r="K32" s="82"/>
      <c r="L32" s="82">
        <v>670</v>
      </c>
      <c r="M32" s="82">
        <f t="shared" si="1"/>
        <v>670</v>
      </c>
      <c r="N32" s="82" t="s">
        <v>90</v>
      </c>
      <c r="O32" s="82" t="s">
        <v>91</v>
      </c>
      <c r="P32" s="82" t="s">
        <v>91</v>
      </c>
      <c r="Q32" s="82" t="s">
        <v>881</v>
      </c>
      <c r="R32" s="82" t="s">
        <v>897</v>
      </c>
      <c r="S32" s="87"/>
      <c r="T32" s="87"/>
      <c r="U32" s="87"/>
      <c r="V32" s="87"/>
      <c r="W32" s="82">
        <v>15</v>
      </c>
      <c r="X32" s="87"/>
      <c r="Y32" s="82">
        <f t="shared" si="2"/>
        <v>15</v>
      </c>
      <c r="Z32" s="82">
        <v>15</v>
      </c>
      <c r="AA32" s="87"/>
      <c r="AB32" s="87"/>
      <c r="AC32" s="82">
        <f t="shared" si="3"/>
        <v>15</v>
      </c>
      <c r="AD32" s="87"/>
      <c r="AE32" s="82">
        <v>15</v>
      </c>
      <c r="AF32" s="87"/>
      <c r="AG32" s="87"/>
      <c r="AH32" s="87"/>
      <c r="AI32" s="82">
        <f t="shared" si="4"/>
        <v>15</v>
      </c>
      <c r="AJ32" s="82" t="s">
        <v>883</v>
      </c>
      <c r="AK32" s="82">
        <v>3</v>
      </c>
      <c r="AL32" s="82" t="s">
        <v>884</v>
      </c>
      <c r="AM32" s="88">
        <v>46133</v>
      </c>
      <c r="AN32" s="87"/>
      <c r="AO32" s="82" t="s">
        <v>892</v>
      </c>
      <c r="AY32" s="71"/>
    </row>
    <row r="33" spans="1:51" ht="65.25" customHeight="1" x14ac:dyDescent="0.3">
      <c r="A33" s="84">
        <v>1707</v>
      </c>
      <c r="B33" s="85" t="s">
        <v>990</v>
      </c>
      <c r="C33" s="82" t="s">
        <v>991</v>
      </c>
      <c r="D33" s="86">
        <v>102061000</v>
      </c>
      <c r="E33" s="82" t="s">
        <v>992</v>
      </c>
      <c r="F33" s="82" t="str">
        <f>VLOOKUP(D33,'[1]Bến Cát'!$E$4:$F$177,2,0)</f>
        <v>11.182484457741387, 106.62715112197783</v>
      </c>
      <c r="G33" s="82" t="s">
        <v>993</v>
      </c>
      <c r="H33" s="82" t="s">
        <v>878</v>
      </c>
      <c r="I33" s="82" t="s">
        <v>994</v>
      </c>
      <c r="J33" s="82" t="s">
        <v>880</v>
      </c>
      <c r="K33" s="82"/>
      <c r="L33" s="82">
        <v>480</v>
      </c>
      <c r="M33" s="82">
        <f t="shared" si="1"/>
        <v>480</v>
      </c>
      <c r="N33" s="82" t="s">
        <v>90</v>
      </c>
      <c r="O33" s="82" t="s">
        <v>91</v>
      </c>
      <c r="P33" s="82" t="s">
        <v>91</v>
      </c>
      <c r="Q33" s="82" t="s">
        <v>881</v>
      </c>
      <c r="R33" s="82" t="s">
        <v>897</v>
      </c>
      <c r="S33" s="87"/>
      <c r="T33" s="87"/>
      <c r="U33" s="87"/>
      <c r="V33" s="87"/>
      <c r="W33" s="82">
        <v>9</v>
      </c>
      <c r="X33" s="87"/>
      <c r="Y33" s="82">
        <f t="shared" si="2"/>
        <v>9</v>
      </c>
      <c r="Z33" s="82">
        <v>9</v>
      </c>
      <c r="AA33" s="87"/>
      <c r="AB33" s="87"/>
      <c r="AC33" s="82">
        <f t="shared" si="3"/>
        <v>9</v>
      </c>
      <c r="AD33" s="87"/>
      <c r="AE33" s="82">
        <v>9</v>
      </c>
      <c r="AF33" s="87"/>
      <c r="AG33" s="87"/>
      <c r="AH33" s="87"/>
      <c r="AI33" s="82">
        <f t="shared" si="4"/>
        <v>9</v>
      </c>
      <c r="AJ33" s="82" t="s">
        <v>883</v>
      </c>
      <c r="AK33" s="82">
        <v>3</v>
      </c>
      <c r="AL33" s="82" t="s">
        <v>884</v>
      </c>
      <c r="AM33" s="88">
        <v>46133</v>
      </c>
      <c r="AN33" s="87"/>
      <c r="AO33" s="82" t="s">
        <v>892</v>
      </c>
      <c r="AY33" s="71"/>
    </row>
    <row r="34" spans="1:51" ht="65.25" customHeight="1" x14ac:dyDescent="0.3">
      <c r="A34" s="84">
        <v>1751</v>
      </c>
      <c r="B34" s="85" t="s">
        <v>995</v>
      </c>
      <c r="C34" s="82" t="s">
        <v>996</v>
      </c>
      <c r="D34" s="86">
        <v>102153000</v>
      </c>
      <c r="E34" s="82" t="s">
        <v>997</v>
      </c>
      <c r="F34" s="82" t="str">
        <f>VLOOKUP(D34,'[1]Bến Cát'!$E$4:$F$177,2,0)</f>
        <v>11.15576358823094, 106.6124875673707</v>
      </c>
      <c r="G34" s="82" t="s">
        <v>996</v>
      </c>
      <c r="H34" s="82" t="s">
        <v>878</v>
      </c>
      <c r="I34" s="82" t="s">
        <v>998</v>
      </c>
      <c r="J34" s="82" t="s">
        <v>891</v>
      </c>
      <c r="K34" s="82"/>
      <c r="L34" s="82">
        <v>400</v>
      </c>
      <c r="M34" s="82">
        <f t="shared" si="1"/>
        <v>400</v>
      </c>
      <c r="N34" s="82" t="s">
        <v>90</v>
      </c>
      <c r="O34" s="82" t="s">
        <v>91</v>
      </c>
      <c r="P34" s="82" t="s">
        <v>91</v>
      </c>
      <c r="Q34" s="82" t="s">
        <v>881</v>
      </c>
      <c r="R34" s="82" t="s">
        <v>897</v>
      </c>
      <c r="S34" s="87"/>
      <c r="T34" s="87"/>
      <c r="U34" s="87"/>
      <c r="V34" s="87"/>
      <c r="W34" s="82">
        <v>12</v>
      </c>
      <c r="X34" s="87"/>
      <c r="Y34" s="82">
        <f t="shared" si="2"/>
        <v>12</v>
      </c>
      <c r="Z34" s="82">
        <v>12</v>
      </c>
      <c r="AA34" s="87"/>
      <c r="AB34" s="87"/>
      <c r="AC34" s="82">
        <f t="shared" si="3"/>
        <v>12</v>
      </c>
      <c r="AD34" s="87"/>
      <c r="AE34" s="82">
        <v>12</v>
      </c>
      <c r="AF34" s="87"/>
      <c r="AG34" s="87"/>
      <c r="AH34" s="87"/>
      <c r="AI34" s="82">
        <f t="shared" si="4"/>
        <v>12</v>
      </c>
      <c r="AJ34" s="82" t="s">
        <v>883</v>
      </c>
      <c r="AK34" s="82">
        <v>3</v>
      </c>
      <c r="AL34" s="82" t="s">
        <v>884</v>
      </c>
      <c r="AM34" s="88">
        <v>46133</v>
      </c>
      <c r="AN34" s="87"/>
      <c r="AO34" s="82" t="s">
        <v>892</v>
      </c>
      <c r="AY34" s="71"/>
    </row>
    <row r="35" spans="1:51" ht="65.25" customHeight="1" x14ac:dyDescent="0.3">
      <c r="A35" s="84">
        <v>1726</v>
      </c>
      <c r="B35" s="85" t="s">
        <v>999</v>
      </c>
      <c r="C35" s="82" t="s">
        <v>1000</v>
      </c>
      <c r="D35" s="86">
        <v>102154000</v>
      </c>
      <c r="E35" s="82" t="s">
        <v>1001</v>
      </c>
      <c r="F35" s="82" t="str">
        <f>VLOOKUP(D35,'[1]Bến Cát'!$E$4:$F$177,2,0)</f>
        <v>11.15425811982715, 106.61412073981683</v>
      </c>
      <c r="G35" s="82" t="s">
        <v>1000</v>
      </c>
      <c r="H35" s="82" t="s">
        <v>878</v>
      </c>
      <c r="I35" s="82" t="s">
        <v>1002</v>
      </c>
      <c r="J35" s="82" t="s">
        <v>911</v>
      </c>
      <c r="K35" s="82"/>
      <c r="L35" s="82">
        <v>640</v>
      </c>
      <c r="M35" s="82">
        <f t="shared" si="1"/>
        <v>640</v>
      </c>
      <c r="N35" s="82" t="s">
        <v>91</v>
      </c>
      <c r="O35" s="82" t="s">
        <v>90</v>
      </c>
      <c r="P35" s="82" t="s">
        <v>91</v>
      </c>
      <c r="Q35" s="82" t="s">
        <v>881</v>
      </c>
      <c r="R35" s="82" t="s">
        <v>882</v>
      </c>
      <c r="S35" s="87"/>
      <c r="T35" s="87"/>
      <c r="U35" s="87"/>
      <c r="V35" s="87"/>
      <c r="W35" s="82">
        <v>19</v>
      </c>
      <c r="X35" s="87"/>
      <c r="Y35" s="82">
        <f t="shared" si="2"/>
        <v>19</v>
      </c>
      <c r="Z35" s="82">
        <v>19</v>
      </c>
      <c r="AA35" s="87"/>
      <c r="AB35" s="87"/>
      <c r="AC35" s="82">
        <f t="shared" si="3"/>
        <v>19</v>
      </c>
      <c r="AD35" s="87"/>
      <c r="AE35" s="82">
        <v>19</v>
      </c>
      <c r="AF35" s="87"/>
      <c r="AG35" s="87"/>
      <c r="AH35" s="87"/>
      <c r="AI35" s="82">
        <f t="shared" si="4"/>
        <v>19</v>
      </c>
      <c r="AJ35" s="82" t="s">
        <v>883</v>
      </c>
      <c r="AK35" s="82">
        <v>3</v>
      </c>
      <c r="AL35" s="82" t="s">
        <v>884</v>
      </c>
      <c r="AM35" s="88">
        <v>46133</v>
      </c>
      <c r="AN35" s="87"/>
      <c r="AO35" s="82" t="s">
        <v>885</v>
      </c>
      <c r="AY35" s="71"/>
    </row>
    <row r="36" spans="1:51" ht="65.25" customHeight="1" x14ac:dyDescent="0.3">
      <c r="A36" s="84" t="s">
        <v>1003</v>
      </c>
      <c r="B36" s="85" t="s">
        <v>1004</v>
      </c>
      <c r="C36" s="82" t="s">
        <v>1005</v>
      </c>
      <c r="D36" s="86">
        <v>102736000</v>
      </c>
      <c r="E36" s="82" t="s">
        <v>1006</v>
      </c>
      <c r="F36" s="82" t="str">
        <f>VLOOKUP(D36,'[1]Bến Cát'!$E$4:$F$177,2,0)</f>
        <v>11.1520701, 106.6015212</v>
      </c>
      <c r="G36" s="82" t="s">
        <v>1005</v>
      </c>
      <c r="H36" s="82" t="s">
        <v>878</v>
      </c>
      <c r="I36" s="82" t="s">
        <v>1007</v>
      </c>
      <c r="J36" s="82" t="s">
        <v>969</v>
      </c>
      <c r="K36" s="82"/>
      <c r="L36" s="82">
        <v>455</v>
      </c>
      <c r="M36" s="82">
        <f t="shared" si="1"/>
        <v>455</v>
      </c>
      <c r="N36" s="82" t="s">
        <v>91</v>
      </c>
      <c r="O36" s="82" t="s">
        <v>90</v>
      </c>
      <c r="P36" s="82" t="s">
        <v>91</v>
      </c>
      <c r="Q36" s="82" t="s">
        <v>881</v>
      </c>
      <c r="R36" s="82" t="s">
        <v>897</v>
      </c>
      <c r="S36" s="87"/>
      <c r="T36" s="87"/>
      <c r="U36" s="87"/>
      <c r="V36" s="87"/>
      <c r="W36" s="82">
        <v>14</v>
      </c>
      <c r="X36" s="87"/>
      <c r="Y36" s="82">
        <f t="shared" si="2"/>
        <v>14</v>
      </c>
      <c r="Z36" s="82">
        <v>14</v>
      </c>
      <c r="AA36" s="87"/>
      <c r="AB36" s="87"/>
      <c r="AC36" s="82">
        <f t="shared" si="3"/>
        <v>14</v>
      </c>
      <c r="AD36" s="87"/>
      <c r="AE36" s="82">
        <v>14</v>
      </c>
      <c r="AF36" s="87"/>
      <c r="AG36" s="87"/>
      <c r="AH36" s="87"/>
      <c r="AI36" s="82">
        <f t="shared" si="4"/>
        <v>14</v>
      </c>
      <c r="AJ36" s="82" t="s">
        <v>883</v>
      </c>
      <c r="AK36" s="82">
        <v>3</v>
      </c>
      <c r="AL36" s="82" t="s">
        <v>884</v>
      </c>
      <c r="AM36" s="88">
        <v>46133</v>
      </c>
      <c r="AN36" s="87"/>
      <c r="AO36" s="82" t="s">
        <v>892</v>
      </c>
      <c r="AY36" s="71"/>
    </row>
    <row r="37" spans="1:51" ht="65.25" customHeight="1" x14ac:dyDescent="0.3">
      <c r="A37" s="84">
        <v>1707</v>
      </c>
      <c r="B37" s="85" t="s">
        <v>1008</v>
      </c>
      <c r="C37" s="82" t="s">
        <v>1009</v>
      </c>
      <c r="D37" s="86">
        <v>102062000</v>
      </c>
      <c r="E37" s="82" t="s">
        <v>1010</v>
      </c>
      <c r="F37" s="82" t="str">
        <f>VLOOKUP(D37,'[1]Bến Cát'!$E$4:$F$177,2,0)</f>
        <v>11.18838528387074, 106.63109407297449</v>
      </c>
      <c r="G37" s="82" t="s">
        <v>993</v>
      </c>
      <c r="H37" s="82" t="s">
        <v>878</v>
      </c>
      <c r="I37" s="82" t="s">
        <v>1011</v>
      </c>
      <c r="J37" s="82" t="s">
        <v>880</v>
      </c>
      <c r="K37" s="82"/>
      <c r="L37" s="82">
        <v>1040</v>
      </c>
      <c r="M37" s="82">
        <f t="shared" si="1"/>
        <v>1040</v>
      </c>
      <c r="N37" s="82" t="s">
        <v>90</v>
      </c>
      <c r="O37" s="82" t="s">
        <v>91</v>
      </c>
      <c r="P37" s="82" t="s">
        <v>91</v>
      </c>
      <c r="Q37" s="82" t="s">
        <v>881</v>
      </c>
      <c r="R37" s="82" t="s">
        <v>882</v>
      </c>
      <c r="S37" s="87"/>
      <c r="T37" s="87"/>
      <c r="U37" s="87"/>
      <c r="V37" s="87"/>
      <c r="W37" s="82">
        <v>14</v>
      </c>
      <c r="X37" s="87"/>
      <c r="Y37" s="82">
        <f t="shared" si="2"/>
        <v>14</v>
      </c>
      <c r="Z37" s="82">
        <v>14</v>
      </c>
      <c r="AA37" s="87"/>
      <c r="AB37" s="87"/>
      <c r="AC37" s="82">
        <f t="shared" si="3"/>
        <v>14</v>
      </c>
      <c r="AD37" s="87"/>
      <c r="AE37" s="82">
        <v>14</v>
      </c>
      <c r="AF37" s="87"/>
      <c r="AG37" s="87"/>
      <c r="AH37" s="87"/>
      <c r="AI37" s="82">
        <f t="shared" si="4"/>
        <v>14</v>
      </c>
      <c r="AJ37" s="82" t="s">
        <v>883</v>
      </c>
      <c r="AK37" s="82">
        <v>3</v>
      </c>
      <c r="AL37" s="82" t="s">
        <v>884</v>
      </c>
      <c r="AM37" s="88">
        <v>46133</v>
      </c>
      <c r="AN37" s="87"/>
      <c r="AO37" s="82" t="s">
        <v>885</v>
      </c>
      <c r="AY37" s="71"/>
    </row>
    <row r="38" spans="1:51" ht="65.25" customHeight="1" x14ac:dyDescent="0.3">
      <c r="A38" s="84">
        <v>1705</v>
      </c>
      <c r="B38" s="85" t="s">
        <v>1012</v>
      </c>
      <c r="C38" s="82" t="s">
        <v>1013</v>
      </c>
      <c r="D38" s="86">
        <v>102063000</v>
      </c>
      <c r="E38" s="82" t="s">
        <v>1014</v>
      </c>
      <c r="F38" s="82" t="str">
        <f>VLOOKUP(D38,'[1]Bến Cát'!$E$4:$F$177,2,0)</f>
        <v>11.18673276802226, 106.62830232107365</v>
      </c>
      <c r="G38" s="82" t="s">
        <v>1013</v>
      </c>
      <c r="H38" s="82" t="s">
        <v>878</v>
      </c>
      <c r="I38" s="82" t="s">
        <v>1015</v>
      </c>
      <c r="J38" s="82" t="s">
        <v>926</v>
      </c>
      <c r="K38" s="82"/>
      <c r="L38" s="82">
        <v>1215</v>
      </c>
      <c r="M38" s="82">
        <f t="shared" si="1"/>
        <v>1215</v>
      </c>
      <c r="N38" s="82" t="s">
        <v>90</v>
      </c>
      <c r="O38" s="82" t="s">
        <v>91</v>
      </c>
      <c r="P38" s="82" t="s">
        <v>91</v>
      </c>
      <c r="Q38" s="82" t="s">
        <v>881</v>
      </c>
      <c r="R38" s="82" t="s">
        <v>882</v>
      </c>
      <c r="S38" s="87"/>
      <c r="T38" s="87"/>
      <c r="U38" s="87"/>
      <c r="V38" s="87"/>
      <c r="W38" s="82">
        <v>31</v>
      </c>
      <c r="X38" s="87"/>
      <c r="Y38" s="82">
        <f t="shared" si="2"/>
        <v>31</v>
      </c>
      <c r="Z38" s="82">
        <v>31</v>
      </c>
      <c r="AA38" s="87"/>
      <c r="AB38" s="87"/>
      <c r="AC38" s="82">
        <f t="shared" si="3"/>
        <v>31</v>
      </c>
      <c r="AD38" s="87"/>
      <c r="AE38" s="82">
        <v>31</v>
      </c>
      <c r="AF38" s="87"/>
      <c r="AG38" s="87"/>
      <c r="AH38" s="87"/>
      <c r="AI38" s="82">
        <f t="shared" si="4"/>
        <v>31</v>
      </c>
      <c r="AJ38" s="82" t="s">
        <v>883</v>
      </c>
      <c r="AK38" s="82">
        <v>3</v>
      </c>
      <c r="AL38" s="82" t="s">
        <v>884</v>
      </c>
      <c r="AM38" s="88">
        <v>46133</v>
      </c>
      <c r="AN38" s="87"/>
      <c r="AO38" s="82" t="s">
        <v>885</v>
      </c>
      <c r="AY38" s="71"/>
    </row>
    <row r="39" spans="1:51" ht="65.25" customHeight="1" x14ac:dyDescent="0.3">
      <c r="A39" s="84">
        <v>1713</v>
      </c>
      <c r="B39" s="85" t="s">
        <v>1016</v>
      </c>
      <c r="C39" s="82" t="s">
        <v>1017</v>
      </c>
      <c r="D39" s="86">
        <v>102155000</v>
      </c>
      <c r="E39" s="82" t="s">
        <v>1018</v>
      </c>
      <c r="F39" s="82" t="str">
        <f>VLOOKUP(D39,'[1]Bến Cát'!$E$4:$F$177,2,0)</f>
        <v>11.150511296525957, 106.59954031848338</v>
      </c>
      <c r="G39" s="82" t="s">
        <v>1017</v>
      </c>
      <c r="H39" s="82" t="s">
        <v>878</v>
      </c>
      <c r="I39" s="82" t="s">
        <v>1019</v>
      </c>
      <c r="J39" s="82" t="s">
        <v>911</v>
      </c>
      <c r="K39" s="82"/>
      <c r="L39" s="82">
        <v>600</v>
      </c>
      <c r="M39" s="82">
        <f t="shared" si="1"/>
        <v>600</v>
      </c>
      <c r="N39" s="82" t="s">
        <v>91</v>
      </c>
      <c r="O39" s="82" t="s">
        <v>90</v>
      </c>
      <c r="P39" s="82" t="s">
        <v>91</v>
      </c>
      <c r="Q39" s="82" t="s">
        <v>881</v>
      </c>
      <c r="R39" s="82" t="s">
        <v>897</v>
      </c>
      <c r="S39" s="87"/>
      <c r="T39" s="87"/>
      <c r="U39" s="82">
        <v>1</v>
      </c>
      <c r="V39" s="87"/>
      <c r="W39" s="82">
        <v>18</v>
      </c>
      <c r="X39" s="87"/>
      <c r="Y39" s="82">
        <f t="shared" si="2"/>
        <v>19</v>
      </c>
      <c r="Z39" s="82">
        <v>18</v>
      </c>
      <c r="AA39" s="87"/>
      <c r="AB39" s="87"/>
      <c r="AC39" s="82">
        <f t="shared" si="3"/>
        <v>18</v>
      </c>
      <c r="AD39" s="87"/>
      <c r="AE39" s="82">
        <v>19</v>
      </c>
      <c r="AF39" s="87"/>
      <c r="AG39" s="87"/>
      <c r="AH39" s="87"/>
      <c r="AI39" s="82">
        <f t="shared" si="4"/>
        <v>19</v>
      </c>
      <c r="AJ39" s="82" t="s">
        <v>883</v>
      </c>
      <c r="AK39" s="82">
        <v>2</v>
      </c>
      <c r="AL39" s="82" t="s">
        <v>884</v>
      </c>
      <c r="AM39" s="88">
        <v>46133</v>
      </c>
      <c r="AN39" s="87"/>
      <c r="AO39" s="82" t="s">
        <v>892</v>
      </c>
      <c r="AY39" s="71"/>
    </row>
    <row r="40" spans="1:51" ht="65.25" customHeight="1" x14ac:dyDescent="0.3">
      <c r="A40" s="84">
        <v>1700</v>
      </c>
      <c r="B40" s="85" t="s">
        <v>1020</v>
      </c>
      <c r="C40" s="82" t="s">
        <v>1021</v>
      </c>
      <c r="D40" s="86">
        <v>102064000</v>
      </c>
      <c r="E40" s="82" t="s">
        <v>1022</v>
      </c>
      <c r="F40" s="82" t="str">
        <f>VLOOKUP(D40,'[1]Bến Cát'!$E$4:$F$177,2,0)</f>
        <v>11.184791635733395, 106.6239862301753</v>
      </c>
      <c r="G40" s="82" t="s">
        <v>1023</v>
      </c>
      <c r="H40" s="82" t="s">
        <v>878</v>
      </c>
      <c r="I40" s="82" t="s">
        <v>1024</v>
      </c>
      <c r="J40" s="82" t="s">
        <v>880</v>
      </c>
      <c r="K40" s="82"/>
      <c r="L40" s="82">
        <v>400</v>
      </c>
      <c r="M40" s="82">
        <f t="shared" si="1"/>
        <v>400</v>
      </c>
      <c r="N40" s="82" t="s">
        <v>90</v>
      </c>
      <c r="O40" s="82" t="s">
        <v>91</v>
      </c>
      <c r="P40" s="82" t="s">
        <v>91</v>
      </c>
      <c r="Q40" s="82" t="s">
        <v>881</v>
      </c>
      <c r="R40" s="82" t="s">
        <v>897</v>
      </c>
      <c r="S40" s="87"/>
      <c r="T40" s="87"/>
      <c r="U40" s="87"/>
      <c r="V40" s="87"/>
      <c r="W40" s="82">
        <v>11</v>
      </c>
      <c r="X40" s="87"/>
      <c r="Y40" s="82">
        <f t="shared" si="2"/>
        <v>11</v>
      </c>
      <c r="Z40" s="82">
        <v>11</v>
      </c>
      <c r="AA40" s="87"/>
      <c r="AB40" s="87"/>
      <c r="AC40" s="82">
        <f t="shared" si="3"/>
        <v>11</v>
      </c>
      <c r="AD40" s="87"/>
      <c r="AE40" s="82">
        <v>11</v>
      </c>
      <c r="AF40" s="87"/>
      <c r="AG40" s="87"/>
      <c r="AH40" s="87"/>
      <c r="AI40" s="82">
        <f t="shared" si="4"/>
        <v>11</v>
      </c>
      <c r="AJ40" s="82" t="s">
        <v>883</v>
      </c>
      <c r="AK40" s="82">
        <v>3</v>
      </c>
      <c r="AL40" s="82" t="s">
        <v>884</v>
      </c>
      <c r="AM40" s="88">
        <v>46133</v>
      </c>
      <c r="AN40" s="87"/>
      <c r="AO40" s="82" t="s">
        <v>892</v>
      </c>
      <c r="AY40" s="71"/>
    </row>
    <row r="41" spans="1:51" ht="65.25" customHeight="1" x14ac:dyDescent="0.3">
      <c r="A41" s="84">
        <v>1702</v>
      </c>
      <c r="B41" s="85" t="s">
        <v>1025</v>
      </c>
      <c r="C41" s="82" t="s">
        <v>1026</v>
      </c>
      <c r="D41" s="86">
        <v>102065000</v>
      </c>
      <c r="E41" s="82" t="s">
        <v>1027</v>
      </c>
      <c r="F41" s="82" t="str">
        <f>VLOOKUP(D41,'[1]Bến Cát'!$E$4:$F$177,2,0)</f>
        <v>11.184408873124928, 106.62454690093392</v>
      </c>
      <c r="G41" s="82" t="s">
        <v>1028</v>
      </c>
      <c r="H41" s="82" t="s">
        <v>878</v>
      </c>
      <c r="I41" s="82" t="s">
        <v>1029</v>
      </c>
      <c r="J41" s="82" t="s">
        <v>880</v>
      </c>
      <c r="K41" s="82"/>
      <c r="L41" s="82">
        <v>850</v>
      </c>
      <c r="M41" s="82">
        <f t="shared" si="1"/>
        <v>850</v>
      </c>
      <c r="N41" s="82" t="s">
        <v>90</v>
      </c>
      <c r="O41" s="82" t="s">
        <v>91</v>
      </c>
      <c r="P41" s="82" t="s">
        <v>91</v>
      </c>
      <c r="Q41" s="82" t="s">
        <v>881</v>
      </c>
      <c r="R41" s="82" t="s">
        <v>897</v>
      </c>
      <c r="S41" s="87"/>
      <c r="T41" s="87"/>
      <c r="U41" s="87"/>
      <c r="V41" s="87"/>
      <c r="W41" s="82">
        <v>20</v>
      </c>
      <c r="X41" s="87"/>
      <c r="Y41" s="82">
        <f t="shared" si="2"/>
        <v>20</v>
      </c>
      <c r="Z41" s="82">
        <v>20</v>
      </c>
      <c r="AA41" s="87"/>
      <c r="AB41" s="87"/>
      <c r="AC41" s="82">
        <f t="shared" si="3"/>
        <v>20</v>
      </c>
      <c r="AD41" s="87"/>
      <c r="AE41" s="82">
        <v>20</v>
      </c>
      <c r="AF41" s="87"/>
      <c r="AG41" s="87"/>
      <c r="AH41" s="87"/>
      <c r="AI41" s="82">
        <f t="shared" si="4"/>
        <v>20</v>
      </c>
      <c r="AJ41" s="82" t="s">
        <v>883</v>
      </c>
      <c r="AK41" s="82">
        <v>3</v>
      </c>
      <c r="AL41" s="82" t="s">
        <v>884</v>
      </c>
      <c r="AM41" s="88">
        <v>46134</v>
      </c>
      <c r="AN41" s="87"/>
      <c r="AO41" s="82" t="s">
        <v>892</v>
      </c>
      <c r="AY41" s="71"/>
    </row>
    <row r="42" spans="1:51" ht="65.25" customHeight="1" x14ac:dyDescent="0.3">
      <c r="A42" s="84">
        <v>1771</v>
      </c>
      <c r="B42" s="85" t="s">
        <v>1030</v>
      </c>
      <c r="C42" s="82" t="s">
        <v>1031</v>
      </c>
      <c r="D42" s="86">
        <v>102156000</v>
      </c>
      <c r="E42" s="82" t="s">
        <v>1032</v>
      </c>
      <c r="F42" s="82" t="str">
        <f>VLOOKUP(D42,'[1]Bến Cát'!$E$4:$F$177,2,0)</f>
        <v>11.151814853120626, 106.59871220457713</v>
      </c>
      <c r="G42" s="82" t="s">
        <v>1031</v>
      </c>
      <c r="H42" s="82" t="s">
        <v>878</v>
      </c>
      <c r="I42" s="82" t="s">
        <v>1033</v>
      </c>
      <c r="J42" s="82" t="s">
        <v>880</v>
      </c>
      <c r="K42" s="82"/>
      <c r="L42" s="82">
        <v>120</v>
      </c>
      <c r="M42" s="82">
        <f t="shared" si="1"/>
        <v>120</v>
      </c>
      <c r="N42" s="82" t="s">
        <v>90</v>
      </c>
      <c r="O42" s="82" t="s">
        <v>91</v>
      </c>
      <c r="P42" s="82" t="s">
        <v>91</v>
      </c>
      <c r="Q42" s="82" t="s">
        <v>881</v>
      </c>
      <c r="R42" s="82" t="s">
        <v>897</v>
      </c>
      <c r="S42" s="87"/>
      <c r="T42" s="87"/>
      <c r="U42" s="87"/>
      <c r="V42" s="87"/>
      <c r="W42" s="82">
        <v>4</v>
      </c>
      <c r="X42" s="87"/>
      <c r="Y42" s="82">
        <f t="shared" si="2"/>
        <v>4</v>
      </c>
      <c r="Z42" s="82">
        <v>4</v>
      </c>
      <c r="AA42" s="87"/>
      <c r="AB42" s="87"/>
      <c r="AC42" s="82">
        <f t="shared" si="3"/>
        <v>4</v>
      </c>
      <c r="AD42" s="87"/>
      <c r="AE42" s="82">
        <v>4</v>
      </c>
      <c r="AF42" s="87"/>
      <c r="AG42" s="87"/>
      <c r="AH42" s="87"/>
      <c r="AI42" s="82">
        <f t="shared" si="4"/>
        <v>4</v>
      </c>
      <c r="AJ42" s="82" t="s">
        <v>883</v>
      </c>
      <c r="AK42" s="82">
        <v>3</v>
      </c>
      <c r="AL42" s="82" t="s">
        <v>884</v>
      </c>
      <c r="AM42" s="88">
        <v>46134</v>
      </c>
      <c r="AN42" s="87"/>
      <c r="AO42" s="82" t="s">
        <v>892</v>
      </c>
      <c r="AY42" s="71"/>
    </row>
    <row r="43" spans="1:51" ht="65.25" customHeight="1" x14ac:dyDescent="0.3">
      <c r="A43" s="84">
        <v>1716</v>
      </c>
      <c r="B43" s="85" t="s">
        <v>1034</v>
      </c>
      <c r="C43" s="82" t="s">
        <v>1035</v>
      </c>
      <c r="D43" s="86">
        <v>102477000</v>
      </c>
      <c r="E43" s="82" t="s">
        <v>1036</v>
      </c>
      <c r="F43" s="82" t="str">
        <f>VLOOKUP(D43,'[1]Bến Cát'!$E$4:$F$177,2,0)</f>
        <v>11.1515782, 106.5995131</v>
      </c>
      <c r="G43" s="82" t="s">
        <v>1035</v>
      </c>
      <c r="H43" s="82" t="s">
        <v>878</v>
      </c>
      <c r="I43" s="82" t="s">
        <v>1037</v>
      </c>
      <c r="J43" s="82" t="s">
        <v>880</v>
      </c>
      <c r="K43" s="82"/>
      <c r="L43" s="82">
        <v>90</v>
      </c>
      <c r="M43" s="82">
        <f t="shared" si="1"/>
        <v>90</v>
      </c>
      <c r="N43" s="82" t="s">
        <v>91</v>
      </c>
      <c r="O43" s="82" t="s">
        <v>90</v>
      </c>
      <c r="P43" s="82" t="s">
        <v>91</v>
      </c>
      <c r="Q43" s="82" t="s">
        <v>881</v>
      </c>
      <c r="R43" s="82" t="s">
        <v>897</v>
      </c>
      <c r="S43" s="87"/>
      <c r="T43" s="87"/>
      <c r="U43" s="87"/>
      <c r="V43" s="87"/>
      <c r="W43" s="82">
        <v>3</v>
      </c>
      <c r="X43" s="87"/>
      <c r="Y43" s="82">
        <f t="shared" si="2"/>
        <v>3</v>
      </c>
      <c r="Z43" s="82">
        <v>3</v>
      </c>
      <c r="AA43" s="87"/>
      <c r="AB43" s="87"/>
      <c r="AC43" s="82">
        <f t="shared" si="3"/>
        <v>3</v>
      </c>
      <c r="AD43" s="87"/>
      <c r="AE43" s="82">
        <v>3</v>
      </c>
      <c r="AF43" s="87"/>
      <c r="AG43" s="87"/>
      <c r="AH43" s="87"/>
      <c r="AI43" s="82">
        <f t="shared" si="4"/>
        <v>3</v>
      </c>
      <c r="AJ43" s="82" t="s">
        <v>883</v>
      </c>
      <c r="AK43" s="82">
        <v>3</v>
      </c>
      <c r="AL43" s="82" t="s">
        <v>884</v>
      </c>
      <c r="AM43" s="88">
        <v>46134</v>
      </c>
      <c r="AN43" s="87"/>
      <c r="AO43" s="82" t="s">
        <v>892</v>
      </c>
      <c r="AY43" s="71"/>
    </row>
    <row r="44" spans="1:51" ht="65.25" customHeight="1" x14ac:dyDescent="0.3">
      <c r="A44" s="84">
        <v>1702</v>
      </c>
      <c r="B44" s="85" t="s">
        <v>1038</v>
      </c>
      <c r="C44" s="82" t="s">
        <v>1039</v>
      </c>
      <c r="D44" s="86">
        <v>102066000</v>
      </c>
      <c r="E44" s="82" t="s">
        <v>1040</v>
      </c>
      <c r="F44" s="82" t="str">
        <f>VLOOKUP(D44,'[1]Bến Cát'!$E$4:$F$177,2,0)</f>
        <v>11.191414203792698, 106.63021916784415</v>
      </c>
      <c r="G44" s="82" t="s">
        <v>1028</v>
      </c>
      <c r="H44" s="82" t="s">
        <v>878</v>
      </c>
      <c r="I44" s="82" t="s">
        <v>1041</v>
      </c>
      <c r="J44" s="82" t="s">
        <v>891</v>
      </c>
      <c r="K44" s="82"/>
      <c r="L44" s="82">
        <v>540</v>
      </c>
      <c r="M44" s="82">
        <f t="shared" si="1"/>
        <v>540</v>
      </c>
      <c r="N44" s="82" t="s">
        <v>90</v>
      </c>
      <c r="O44" s="82" t="s">
        <v>91</v>
      </c>
      <c r="P44" s="82" t="s">
        <v>91</v>
      </c>
      <c r="Q44" s="82" t="s">
        <v>881</v>
      </c>
      <c r="R44" s="82" t="s">
        <v>882</v>
      </c>
      <c r="S44" s="87"/>
      <c r="T44" s="87"/>
      <c r="U44" s="87"/>
      <c r="V44" s="87"/>
      <c r="W44" s="82">
        <v>13</v>
      </c>
      <c r="X44" s="87"/>
      <c r="Y44" s="82">
        <f t="shared" si="2"/>
        <v>13</v>
      </c>
      <c r="Z44" s="82">
        <v>13</v>
      </c>
      <c r="AA44" s="87"/>
      <c r="AB44" s="87"/>
      <c r="AC44" s="82">
        <f t="shared" si="3"/>
        <v>13</v>
      </c>
      <c r="AD44" s="87"/>
      <c r="AE44" s="82">
        <v>13</v>
      </c>
      <c r="AF44" s="87"/>
      <c r="AG44" s="87"/>
      <c r="AH44" s="87"/>
      <c r="AI44" s="82">
        <f t="shared" si="4"/>
        <v>13</v>
      </c>
      <c r="AJ44" s="82" t="s">
        <v>883</v>
      </c>
      <c r="AK44" s="82">
        <v>3</v>
      </c>
      <c r="AL44" s="82" t="s">
        <v>884</v>
      </c>
      <c r="AM44" s="88">
        <v>46134</v>
      </c>
      <c r="AN44" s="87"/>
      <c r="AO44" s="82" t="s">
        <v>885</v>
      </c>
      <c r="AY44" s="71"/>
    </row>
    <row r="45" spans="1:51" ht="65.25" customHeight="1" x14ac:dyDescent="0.3">
      <c r="A45" s="84">
        <v>1755</v>
      </c>
      <c r="B45" s="85" t="s">
        <v>1042</v>
      </c>
      <c r="C45" s="82" t="s">
        <v>1043</v>
      </c>
      <c r="D45" s="86">
        <v>102157000</v>
      </c>
      <c r="E45" s="82" t="s">
        <v>1044</v>
      </c>
      <c r="F45" s="82" t="str">
        <f>VLOOKUP(D45,'[1]Bến Cát'!$E$4:$F$177,2,0)</f>
        <v>11.1549549, 106.597962</v>
      </c>
      <c r="G45" s="82" t="s">
        <v>1043</v>
      </c>
      <c r="H45" s="82" t="s">
        <v>878</v>
      </c>
      <c r="I45" s="82" t="s">
        <v>1045</v>
      </c>
      <c r="J45" s="82" t="s">
        <v>911</v>
      </c>
      <c r="K45" s="82"/>
      <c r="L45" s="82">
        <v>780</v>
      </c>
      <c r="M45" s="82">
        <f t="shared" si="1"/>
        <v>780</v>
      </c>
      <c r="N45" s="82" t="s">
        <v>91</v>
      </c>
      <c r="O45" s="82" t="s">
        <v>90</v>
      </c>
      <c r="P45" s="82" t="s">
        <v>91</v>
      </c>
      <c r="Q45" s="82" t="s">
        <v>881</v>
      </c>
      <c r="R45" s="82" t="s">
        <v>897</v>
      </c>
      <c r="S45" s="87"/>
      <c r="T45" s="87"/>
      <c r="U45" s="87"/>
      <c r="V45" s="87"/>
      <c r="W45" s="82">
        <v>19</v>
      </c>
      <c r="X45" s="87"/>
      <c r="Y45" s="82">
        <f t="shared" si="2"/>
        <v>19</v>
      </c>
      <c r="Z45" s="82">
        <v>19</v>
      </c>
      <c r="AA45" s="87"/>
      <c r="AB45" s="87"/>
      <c r="AC45" s="82">
        <f t="shared" si="3"/>
        <v>19</v>
      </c>
      <c r="AD45" s="87"/>
      <c r="AE45" s="82">
        <v>19</v>
      </c>
      <c r="AF45" s="87"/>
      <c r="AG45" s="87"/>
      <c r="AH45" s="87"/>
      <c r="AI45" s="82">
        <f t="shared" si="4"/>
        <v>19</v>
      </c>
      <c r="AJ45" s="82" t="s">
        <v>883</v>
      </c>
      <c r="AK45" s="82">
        <v>2</v>
      </c>
      <c r="AL45" s="82" t="s">
        <v>884</v>
      </c>
      <c r="AM45" s="88">
        <v>46134</v>
      </c>
      <c r="AN45" s="87"/>
      <c r="AO45" s="82" t="s">
        <v>892</v>
      </c>
      <c r="AY45" s="71"/>
    </row>
    <row r="46" spans="1:51" ht="65.25" customHeight="1" x14ac:dyDescent="0.3">
      <c r="A46" s="84">
        <v>1756</v>
      </c>
      <c r="B46" s="85" t="s">
        <v>1046</v>
      </c>
      <c r="C46" s="82" t="s">
        <v>1047</v>
      </c>
      <c r="D46" s="86">
        <v>102158000</v>
      </c>
      <c r="E46" s="82" t="s">
        <v>1048</v>
      </c>
      <c r="F46" s="82" t="str">
        <f>VLOOKUP(D46,'[1]Bến Cát'!$E$4:$F$177,2,0)</f>
        <v>11.1553468, 106.5947692</v>
      </c>
      <c r="G46" s="82" t="s">
        <v>1047</v>
      </c>
      <c r="H46" s="82" t="s">
        <v>878</v>
      </c>
      <c r="I46" s="82" t="s">
        <v>1049</v>
      </c>
      <c r="J46" s="82" t="s">
        <v>911</v>
      </c>
      <c r="K46" s="82"/>
      <c r="L46" s="82">
        <v>175</v>
      </c>
      <c r="M46" s="82">
        <f t="shared" si="1"/>
        <v>175</v>
      </c>
      <c r="N46" s="82" t="s">
        <v>91</v>
      </c>
      <c r="O46" s="82" t="s">
        <v>90</v>
      </c>
      <c r="P46" s="82" t="s">
        <v>91</v>
      </c>
      <c r="Q46" s="82" t="s">
        <v>881</v>
      </c>
      <c r="R46" s="82" t="s">
        <v>897</v>
      </c>
      <c r="S46" s="87"/>
      <c r="T46" s="87"/>
      <c r="U46" s="87"/>
      <c r="V46" s="87"/>
      <c r="W46" s="82">
        <v>6</v>
      </c>
      <c r="X46" s="87"/>
      <c r="Y46" s="82">
        <f t="shared" si="2"/>
        <v>6</v>
      </c>
      <c r="Z46" s="82">
        <v>6</v>
      </c>
      <c r="AA46" s="87"/>
      <c r="AB46" s="87"/>
      <c r="AC46" s="82">
        <f t="shared" si="3"/>
        <v>6</v>
      </c>
      <c r="AD46" s="87"/>
      <c r="AE46" s="82">
        <v>6</v>
      </c>
      <c r="AF46" s="87"/>
      <c r="AG46" s="87"/>
      <c r="AH46" s="87"/>
      <c r="AI46" s="82">
        <f t="shared" si="4"/>
        <v>6</v>
      </c>
      <c r="AJ46" s="82" t="s">
        <v>883</v>
      </c>
      <c r="AK46" s="82">
        <v>2</v>
      </c>
      <c r="AL46" s="82" t="s">
        <v>884</v>
      </c>
      <c r="AM46" s="88">
        <v>46134</v>
      </c>
      <c r="AN46" s="87"/>
      <c r="AO46" s="82" t="s">
        <v>885</v>
      </c>
      <c r="AY46" s="71"/>
    </row>
    <row r="47" spans="1:51" ht="65.25" customHeight="1" x14ac:dyDescent="0.3">
      <c r="A47" s="84">
        <v>1775</v>
      </c>
      <c r="B47" s="85" t="s">
        <v>1050</v>
      </c>
      <c r="C47" s="82" t="s">
        <v>1051</v>
      </c>
      <c r="D47" s="86">
        <v>102159000</v>
      </c>
      <c r="E47" s="82" t="s">
        <v>1052</v>
      </c>
      <c r="F47" s="82" t="str">
        <f>VLOOKUP(D47,'[1]Bến Cát'!$E$4:$F$177,2,0)</f>
        <v>11.15688093246751, 106.59302476089084</v>
      </c>
      <c r="G47" s="82" t="s">
        <v>1051</v>
      </c>
      <c r="H47" s="82" t="s">
        <v>878</v>
      </c>
      <c r="I47" s="82" t="s">
        <v>1053</v>
      </c>
      <c r="J47" s="82" t="s">
        <v>880</v>
      </c>
      <c r="K47" s="82"/>
      <c r="L47" s="82">
        <v>160</v>
      </c>
      <c r="M47" s="82">
        <f t="shared" si="1"/>
        <v>160</v>
      </c>
      <c r="N47" s="82" t="s">
        <v>90</v>
      </c>
      <c r="O47" s="82" t="s">
        <v>91</v>
      </c>
      <c r="P47" s="82" t="s">
        <v>91</v>
      </c>
      <c r="Q47" s="82" t="s">
        <v>881</v>
      </c>
      <c r="R47" s="82" t="s">
        <v>897</v>
      </c>
      <c r="S47" s="87"/>
      <c r="T47" s="87"/>
      <c r="U47" s="87"/>
      <c r="V47" s="87"/>
      <c r="W47" s="82">
        <v>4</v>
      </c>
      <c r="X47" s="87"/>
      <c r="Y47" s="82">
        <f t="shared" si="2"/>
        <v>4</v>
      </c>
      <c r="Z47" s="82">
        <v>4</v>
      </c>
      <c r="AA47" s="87"/>
      <c r="AB47" s="87"/>
      <c r="AC47" s="82">
        <f t="shared" si="3"/>
        <v>4</v>
      </c>
      <c r="AD47" s="87"/>
      <c r="AE47" s="82">
        <v>4</v>
      </c>
      <c r="AF47" s="87"/>
      <c r="AG47" s="87"/>
      <c r="AH47" s="87"/>
      <c r="AI47" s="82">
        <f t="shared" si="4"/>
        <v>4</v>
      </c>
      <c r="AJ47" s="82" t="s">
        <v>883</v>
      </c>
      <c r="AK47" s="82">
        <v>3</v>
      </c>
      <c r="AL47" s="82" t="s">
        <v>884</v>
      </c>
      <c r="AM47" s="88">
        <v>46134</v>
      </c>
      <c r="AN47" s="87"/>
      <c r="AO47" s="82" t="s">
        <v>892</v>
      </c>
      <c r="AY47" s="71"/>
    </row>
    <row r="48" spans="1:51" ht="65.25" customHeight="1" x14ac:dyDescent="0.3">
      <c r="A48" s="84">
        <v>1700</v>
      </c>
      <c r="B48" s="85" t="s">
        <v>1054</v>
      </c>
      <c r="C48" s="82" t="s">
        <v>1055</v>
      </c>
      <c r="D48" s="86">
        <v>102067000</v>
      </c>
      <c r="E48" s="82" t="s">
        <v>1056</v>
      </c>
      <c r="F48" s="82" t="s">
        <v>1624</v>
      </c>
      <c r="G48" s="82" t="s">
        <v>1023</v>
      </c>
      <c r="H48" s="82" t="s">
        <v>878</v>
      </c>
      <c r="I48" s="82" t="s">
        <v>1057</v>
      </c>
      <c r="J48" s="82" t="s">
        <v>891</v>
      </c>
      <c r="K48" s="82"/>
      <c r="L48" s="82">
        <v>600</v>
      </c>
      <c r="M48" s="82">
        <f t="shared" si="1"/>
        <v>600</v>
      </c>
      <c r="N48" s="82" t="s">
        <v>91</v>
      </c>
      <c r="O48" s="82" t="s">
        <v>90</v>
      </c>
      <c r="P48" s="82" t="s">
        <v>91</v>
      </c>
      <c r="Q48" s="82" t="s">
        <v>881</v>
      </c>
      <c r="R48" s="82" t="s">
        <v>882</v>
      </c>
      <c r="S48" s="87"/>
      <c r="T48" s="87"/>
      <c r="U48" s="87"/>
      <c r="V48" s="87"/>
      <c r="W48" s="82">
        <v>16</v>
      </c>
      <c r="X48" s="87"/>
      <c r="Y48" s="82">
        <f t="shared" si="2"/>
        <v>16</v>
      </c>
      <c r="Z48" s="82">
        <v>16</v>
      </c>
      <c r="AA48" s="87"/>
      <c r="AB48" s="87"/>
      <c r="AC48" s="82">
        <f t="shared" si="3"/>
        <v>16</v>
      </c>
      <c r="AD48" s="87"/>
      <c r="AE48" s="82">
        <v>16</v>
      </c>
      <c r="AF48" s="87"/>
      <c r="AG48" s="87"/>
      <c r="AH48" s="87"/>
      <c r="AI48" s="82">
        <f t="shared" si="4"/>
        <v>16</v>
      </c>
      <c r="AJ48" s="82" t="s">
        <v>883</v>
      </c>
      <c r="AK48" s="82">
        <v>3</v>
      </c>
      <c r="AL48" s="82" t="s">
        <v>884</v>
      </c>
      <c r="AM48" s="88">
        <v>46134</v>
      </c>
      <c r="AN48" s="87"/>
      <c r="AO48" s="82" t="s">
        <v>885</v>
      </c>
      <c r="AY48" s="71"/>
    </row>
    <row r="49" spans="1:51" ht="65.25" customHeight="1" x14ac:dyDescent="0.3">
      <c r="A49" s="84">
        <v>1757</v>
      </c>
      <c r="B49" s="85" t="s">
        <v>1058</v>
      </c>
      <c r="C49" s="82" t="s">
        <v>1059</v>
      </c>
      <c r="D49" s="86">
        <v>102669000</v>
      </c>
      <c r="E49" s="82" t="s">
        <v>1060</v>
      </c>
      <c r="F49" s="82" t="str">
        <f>VLOOKUP(D49,'[1]Bến Cát'!$E$4:$F$177,2,0)</f>
        <v>11.160015, 106.5958217</v>
      </c>
      <c r="G49" s="82" t="s">
        <v>1059</v>
      </c>
      <c r="H49" s="82" t="s">
        <v>878</v>
      </c>
      <c r="I49" s="82" t="s">
        <v>1061</v>
      </c>
      <c r="J49" s="82" t="s">
        <v>880</v>
      </c>
      <c r="K49" s="82"/>
      <c r="L49" s="82">
        <v>100</v>
      </c>
      <c r="M49" s="82">
        <f t="shared" si="1"/>
        <v>100</v>
      </c>
      <c r="N49" s="82" t="s">
        <v>91</v>
      </c>
      <c r="O49" s="82" t="s">
        <v>90</v>
      </c>
      <c r="P49" s="82" t="s">
        <v>91</v>
      </c>
      <c r="Q49" s="82" t="s">
        <v>881</v>
      </c>
      <c r="R49" s="82" t="s">
        <v>882</v>
      </c>
      <c r="S49" s="87"/>
      <c r="T49" s="87"/>
      <c r="U49" s="87"/>
      <c r="V49" s="87"/>
      <c r="W49" s="82">
        <v>4</v>
      </c>
      <c r="X49" s="87"/>
      <c r="Y49" s="82">
        <f t="shared" si="2"/>
        <v>4</v>
      </c>
      <c r="Z49" s="82">
        <v>4</v>
      </c>
      <c r="AA49" s="87"/>
      <c r="AB49" s="87"/>
      <c r="AC49" s="82">
        <f t="shared" si="3"/>
        <v>4</v>
      </c>
      <c r="AD49" s="87"/>
      <c r="AE49" s="82">
        <v>4</v>
      </c>
      <c r="AF49" s="87"/>
      <c r="AG49" s="87"/>
      <c r="AH49" s="87"/>
      <c r="AI49" s="82">
        <f t="shared" si="4"/>
        <v>4</v>
      </c>
      <c r="AJ49" s="82" t="s">
        <v>883</v>
      </c>
      <c r="AK49" s="82">
        <v>2</v>
      </c>
      <c r="AL49" s="82" t="s">
        <v>884</v>
      </c>
      <c r="AM49" s="88">
        <v>46134</v>
      </c>
      <c r="AN49" s="87"/>
      <c r="AO49" s="82" t="s">
        <v>885</v>
      </c>
      <c r="AY49" s="71"/>
    </row>
    <row r="50" spans="1:51" ht="65.25" customHeight="1" x14ac:dyDescent="0.3">
      <c r="A50" s="84" t="s">
        <v>1062</v>
      </c>
      <c r="B50" s="85" t="s">
        <v>1063</v>
      </c>
      <c r="C50" s="82" t="s">
        <v>1064</v>
      </c>
      <c r="D50" s="86">
        <v>102737000</v>
      </c>
      <c r="E50" s="82" t="s">
        <v>1065</v>
      </c>
      <c r="F50" s="82" t="str">
        <f>VLOOKUP(D50,'[1]Bến Cát'!$E$4:$F$177,2,0)</f>
        <v>11.1571164, 106.5835292</v>
      </c>
      <c r="G50" s="82" t="s">
        <v>1064</v>
      </c>
      <c r="H50" s="82" t="s">
        <v>878</v>
      </c>
      <c r="I50" s="82" t="s">
        <v>1066</v>
      </c>
      <c r="J50" s="82" t="s">
        <v>926</v>
      </c>
      <c r="K50" s="82"/>
      <c r="L50" s="82">
        <v>305</v>
      </c>
      <c r="M50" s="82">
        <f t="shared" si="1"/>
        <v>305</v>
      </c>
      <c r="N50" s="82" t="s">
        <v>91</v>
      </c>
      <c r="O50" s="82" t="s">
        <v>90</v>
      </c>
      <c r="P50" s="82" t="s">
        <v>91</v>
      </c>
      <c r="Q50" s="82" t="s">
        <v>881</v>
      </c>
      <c r="R50" s="82" t="s">
        <v>897</v>
      </c>
      <c r="S50" s="87"/>
      <c r="T50" s="87"/>
      <c r="U50" s="87"/>
      <c r="V50" s="87"/>
      <c r="W50" s="82">
        <v>10</v>
      </c>
      <c r="X50" s="87"/>
      <c r="Y50" s="82">
        <f t="shared" si="2"/>
        <v>10</v>
      </c>
      <c r="Z50" s="82">
        <v>10</v>
      </c>
      <c r="AA50" s="87"/>
      <c r="AB50" s="87"/>
      <c r="AC50" s="82">
        <f t="shared" si="3"/>
        <v>10</v>
      </c>
      <c r="AD50" s="87"/>
      <c r="AE50" s="82">
        <v>10</v>
      </c>
      <c r="AF50" s="87"/>
      <c r="AG50" s="87"/>
      <c r="AH50" s="87"/>
      <c r="AI50" s="82">
        <f t="shared" si="4"/>
        <v>10</v>
      </c>
      <c r="AJ50" s="82" t="s">
        <v>883</v>
      </c>
      <c r="AK50" s="82">
        <v>2</v>
      </c>
      <c r="AL50" s="82" t="s">
        <v>884</v>
      </c>
      <c r="AM50" s="88">
        <v>46134</v>
      </c>
      <c r="AN50" s="87"/>
      <c r="AO50" s="82" t="s">
        <v>892</v>
      </c>
      <c r="AY50" s="71"/>
    </row>
    <row r="51" spans="1:51" ht="65.25" customHeight="1" x14ac:dyDescent="0.3">
      <c r="A51" s="84">
        <v>1700</v>
      </c>
      <c r="B51" s="85" t="s">
        <v>1067</v>
      </c>
      <c r="C51" s="82" t="s">
        <v>1068</v>
      </c>
      <c r="D51" s="86">
        <v>102068000</v>
      </c>
      <c r="E51" s="82" t="s">
        <v>1069</v>
      </c>
      <c r="F51" s="82" t="str">
        <f>VLOOKUP(D51,'[1]Bến Cát'!$E$4:$F$177,2,0)</f>
        <v>11.192900390217979, 106.63041645271332</v>
      </c>
      <c r="G51" s="82" t="s">
        <v>1023</v>
      </c>
      <c r="H51" s="82" t="s">
        <v>878</v>
      </c>
      <c r="I51" s="82" t="s">
        <v>1070</v>
      </c>
      <c r="J51" s="82" t="s">
        <v>891</v>
      </c>
      <c r="K51" s="82"/>
      <c r="L51" s="82">
        <v>680</v>
      </c>
      <c r="M51" s="82">
        <f t="shared" si="1"/>
        <v>680</v>
      </c>
      <c r="N51" s="82" t="s">
        <v>90</v>
      </c>
      <c r="O51" s="82" t="s">
        <v>91</v>
      </c>
      <c r="P51" s="82" t="s">
        <v>91</v>
      </c>
      <c r="Q51" s="82" t="s">
        <v>881</v>
      </c>
      <c r="R51" s="82" t="s">
        <v>882</v>
      </c>
      <c r="S51" s="87"/>
      <c r="T51" s="87"/>
      <c r="U51" s="87"/>
      <c r="V51" s="87"/>
      <c r="W51" s="82">
        <v>17</v>
      </c>
      <c r="X51" s="87"/>
      <c r="Y51" s="82">
        <f t="shared" si="2"/>
        <v>17</v>
      </c>
      <c r="Z51" s="82">
        <v>17</v>
      </c>
      <c r="AA51" s="87"/>
      <c r="AB51" s="87"/>
      <c r="AC51" s="82">
        <f t="shared" si="3"/>
        <v>17</v>
      </c>
      <c r="AD51" s="87"/>
      <c r="AE51" s="82">
        <v>17</v>
      </c>
      <c r="AF51" s="87"/>
      <c r="AG51" s="87"/>
      <c r="AH51" s="87"/>
      <c r="AI51" s="82">
        <f t="shared" si="4"/>
        <v>17</v>
      </c>
      <c r="AJ51" s="82" t="s">
        <v>883</v>
      </c>
      <c r="AK51" s="82">
        <v>3</v>
      </c>
      <c r="AL51" s="82" t="s">
        <v>884</v>
      </c>
      <c r="AM51" s="88">
        <v>46134</v>
      </c>
      <c r="AN51" s="87"/>
      <c r="AO51" s="82" t="s">
        <v>885</v>
      </c>
      <c r="AY51" s="71"/>
    </row>
    <row r="52" spans="1:51" ht="65.25" customHeight="1" x14ac:dyDescent="0.3">
      <c r="A52" s="84">
        <v>1729</v>
      </c>
      <c r="B52" s="85" t="s">
        <v>1071</v>
      </c>
      <c r="C52" s="82" t="s">
        <v>1072</v>
      </c>
      <c r="D52" s="86">
        <v>102160000</v>
      </c>
      <c r="E52" s="82" t="s">
        <v>1073</v>
      </c>
      <c r="F52" s="82" t="str">
        <f>VLOOKUP(D52,'[1]Bến Cát'!$E$4:$F$177,2,0)</f>
        <v>11.159274179144479, 106.59477740468068</v>
      </c>
      <c r="G52" s="82" t="s">
        <v>1072</v>
      </c>
      <c r="H52" s="82" t="s">
        <v>878</v>
      </c>
      <c r="I52" s="82" t="s">
        <v>1074</v>
      </c>
      <c r="J52" s="82" t="s">
        <v>880</v>
      </c>
      <c r="K52" s="82"/>
      <c r="L52" s="82">
        <v>120</v>
      </c>
      <c r="M52" s="82">
        <f t="shared" si="1"/>
        <v>120</v>
      </c>
      <c r="N52" s="82" t="s">
        <v>91</v>
      </c>
      <c r="O52" s="82" t="s">
        <v>90</v>
      </c>
      <c r="P52" s="82" t="s">
        <v>91</v>
      </c>
      <c r="Q52" s="82" t="s">
        <v>881</v>
      </c>
      <c r="R52" s="82" t="s">
        <v>897</v>
      </c>
      <c r="S52" s="87"/>
      <c r="T52" s="87"/>
      <c r="U52" s="87"/>
      <c r="V52" s="87"/>
      <c r="W52" s="82">
        <v>4</v>
      </c>
      <c r="X52" s="87"/>
      <c r="Y52" s="82">
        <f t="shared" si="2"/>
        <v>4</v>
      </c>
      <c r="Z52" s="82">
        <v>4</v>
      </c>
      <c r="AA52" s="87"/>
      <c r="AB52" s="87"/>
      <c r="AC52" s="82">
        <f t="shared" si="3"/>
        <v>4</v>
      </c>
      <c r="AD52" s="87"/>
      <c r="AE52" s="82">
        <v>4</v>
      </c>
      <c r="AF52" s="87"/>
      <c r="AG52" s="87"/>
      <c r="AH52" s="87"/>
      <c r="AI52" s="82">
        <f t="shared" si="4"/>
        <v>4</v>
      </c>
      <c r="AJ52" s="82" t="s">
        <v>883</v>
      </c>
      <c r="AK52" s="82">
        <v>2</v>
      </c>
      <c r="AL52" s="82" t="s">
        <v>884</v>
      </c>
      <c r="AM52" s="88">
        <v>46134</v>
      </c>
      <c r="AN52" s="87"/>
      <c r="AO52" s="82" t="s">
        <v>892</v>
      </c>
      <c r="AY52" s="71"/>
    </row>
    <row r="53" spans="1:51" ht="65.25" customHeight="1" x14ac:dyDescent="0.3">
      <c r="A53" s="84">
        <v>1774</v>
      </c>
      <c r="B53" s="85" t="s">
        <v>1075</v>
      </c>
      <c r="C53" s="82" t="s">
        <v>1076</v>
      </c>
      <c r="D53" s="86">
        <v>102738000</v>
      </c>
      <c r="E53" s="82" t="s">
        <v>1077</v>
      </c>
      <c r="F53" s="82" t="str">
        <f>VLOOKUP(D53,'[1]Bến Cát'!$E$4:$F$177,2,0)</f>
        <v>11.1581122, 106.5833316</v>
      </c>
      <c r="G53" s="82" t="s">
        <v>1076</v>
      </c>
      <c r="H53" s="82" t="s">
        <v>878</v>
      </c>
      <c r="I53" s="82" t="s">
        <v>1078</v>
      </c>
      <c r="J53" s="82" t="s">
        <v>891</v>
      </c>
      <c r="K53" s="82"/>
      <c r="L53" s="82">
        <v>350</v>
      </c>
      <c r="M53" s="82">
        <f t="shared" si="1"/>
        <v>350</v>
      </c>
      <c r="N53" s="82" t="s">
        <v>91</v>
      </c>
      <c r="O53" s="82" t="s">
        <v>90</v>
      </c>
      <c r="P53" s="82" t="s">
        <v>91</v>
      </c>
      <c r="Q53" s="82" t="s">
        <v>881</v>
      </c>
      <c r="R53" s="82" t="s">
        <v>897</v>
      </c>
      <c r="S53" s="87"/>
      <c r="T53" s="87"/>
      <c r="U53" s="87"/>
      <c r="V53" s="87"/>
      <c r="W53" s="82">
        <v>11</v>
      </c>
      <c r="X53" s="87"/>
      <c r="Y53" s="82">
        <f t="shared" si="2"/>
        <v>11</v>
      </c>
      <c r="Z53" s="82">
        <v>11</v>
      </c>
      <c r="AA53" s="87"/>
      <c r="AB53" s="87"/>
      <c r="AC53" s="82">
        <f t="shared" si="3"/>
        <v>11</v>
      </c>
      <c r="AD53" s="87"/>
      <c r="AE53" s="82">
        <v>11</v>
      </c>
      <c r="AF53" s="87"/>
      <c r="AG53" s="87"/>
      <c r="AH53" s="87"/>
      <c r="AI53" s="82">
        <f t="shared" si="4"/>
        <v>11</v>
      </c>
      <c r="AJ53" s="82" t="s">
        <v>883</v>
      </c>
      <c r="AK53" s="82">
        <v>2</v>
      </c>
      <c r="AL53" s="82" t="s">
        <v>884</v>
      </c>
      <c r="AM53" s="88">
        <v>46134</v>
      </c>
      <c r="AN53" s="87"/>
      <c r="AO53" s="82" t="s">
        <v>892</v>
      </c>
      <c r="AY53" s="71"/>
    </row>
    <row r="54" spans="1:51" ht="65.25" customHeight="1" x14ac:dyDescent="0.3">
      <c r="A54" s="84">
        <v>1758</v>
      </c>
      <c r="B54" s="85" t="s">
        <v>1079</v>
      </c>
      <c r="C54" s="82" t="s">
        <v>1080</v>
      </c>
      <c r="D54" s="86">
        <v>102161000</v>
      </c>
      <c r="E54" s="82" t="s">
        <v>1081</v>
      </c>
      <c r="F54" s="82" t="str">
        <f>VLOOKUP(D54,'[1]Bến Cát'!$E$4:$F$177,2,0)</f>
        <v>11.162507889309161, 106.60158038976043</v>
      </c>
      <c r="G54" s="82" t="s">
        <v>1080</v>
      </c>
      <c r="H54" s="82" t="s">
        <v>878</v>
      </c>
      <c r="I54" s="82" t="s">
        <v>1082</v>
      </c>
      <c r="J54" s="82" t="s">
        <v>880</v>
      </c>
      <c r="K54" s="82"/>
      <c r="L54" s="82">
        <v>240</v>
      </c>
      <c r="M54" s="82">
        <f t="shared" si="1"/>
        <v>240</v>
      </c>
      <c r="N54" s="82" t="s">
        <v>90</v>
      </c>
      <c r="O54" s="82" t="s">
        <v>91</v>
      </c>
      <c r="P54" s="82" t="s">
        <v>91</v>
      </c>
      <c r="Q54" s="82" t="s">
        <v>881</v>
      </c>
      <c r="R54" s="82" t="s">
        <v>897</v>
      </c>
      <c r="S54" s="87"/>
      <c r="T54" s="87"/>
      <c r="U54" s="87"/>
      <c r="V54" s="87"/>
      <c r="W54" s="82">
        <v>7</v>
      </c>
      <c r="X54" s="87"/>
      <c r="Y54" s="82">
        <f t="shared" si="2"/>
        <v>7</v>
      </c>
      <c r="Z54" s="82">
        <v>7</v>
      </c>
      <c r="AA54" s="87"/>
      <c r="AB54" s="87"/>
      <c r="AC54" s="82">
        <f t="shared" si="3"/>
        <v>7</v>
      </c>
      <c r="AD54" s="87"/>
      <c r="AE54" s="82">
        <v>7</v>
      </c>
      <c r="AF54" s="87"/>
      <c r="AG54" s="87"/>
      <c r="AH54" s="87"/>
      <c r="AI54" s="82">
        <f t="shared" si="4"/>
        <v>7</v>
      </c>
      <c r="AJ54" s="82" t="s">
        <v>883</v>
      </c>
      <c r="AK54" s="82">
        <v>3</v>
      </c>
      <c r="AL54" s="82" t="s">
        <v>884</v>
      </c>
      <c r="AM54" s="88">
        <v>46134</v>
      </c>
      <c r="AN54" s="87"/>
      <c r="AO54" s="82" t="s">
        <v>892</v>
      </c>
      <c r="AY54" s="71"/>
    </row>
    <row r="55" spans="1:51" ht="65.25" customHeight="1" x14ac:dyDescent="0.3">
      <c r="A55" s="84">
        <v>1746</v>
      </c>
      <c r="B55" s="85" t="s">
        <v>1083</v>
      </c>
      <c r="C55" s="82" t="s">
        <v>1084</v>
      </c>
      <c r="D55" s="86">
        <v>102478000</v>
      </c>
      <c r="E55" s="82" t="s">
        <v>1085</v>
      </c>
      <c r="F55" s="82" t="str">
        <f>VLOOKUP(D55,'[1]Bến Cát'!$E$4:$F$177,2,0)</f>
        <v>11.1471271, 106.6307246</v>
      </c>
      <c r="G55" s="82" t="s">
        <v>1084</v>
      </c>
      <c r="H55" s="82" t="s">
        <v>878</v>
      </c>
      <c r="I55" s="82" t="s">
        <v>1086</v>
      </c>
      <c r="J55" s="82" t="s">
        <v>880</v>
      </c>
      <c r="K55" s="82"/>
      <c r="L55" s="82">
        <v>280</v>
      </c>
      <c r="M55" s="82">
        <f t="shared" si="1"/>
        <v>280</v>
      </c>
      <c r="N55" s="82" t="s">
        <v>91</v>
      </c>
      <c r="O55" s="82" t="s">
        <v>90</v>
      </c>
      <c r="P55" s="82" t="s">
        <v>91</v>
      </c>
      <c r="Q55" s="82" t="s">
        <v>881</v>
      </c>
      <c r="R55" s="82" t="s">
        <v>882</v>
      </c>
      <c r="S55" s="87"/>
      <c r="T55" s="87"/>
      <c r="U55" s="87"/>
      <c r="V55" s="87"/>
      <c r="W55" s="82">
        <v>8</v>
      </c>
      <c r="X55" s="87"/>
      <c r="Y55" s="82">
        <f t="shared" si="2"/>
        <v>8</v>
      </c>
      <c r="Z55" s="82">
        <v>8</v>
      </c>
      <c r="AA55" s="87"/>
      <c r="AB55" s="87"/>
      <c r="AC55" s="82">
        <f t="shared" si="3"/>
        <v>8</v>
      </c>
      <c r="AD55" s="87"/>
      <c r="AE55" s="82">
        <v>8</v>
      </c>
      <c r="AF55" s="87"/>
      <c r="AG55" s="87"/>
      <c r="AH55" s="87"/>
      <c r="AI55" s="82">
        <f t="shared" si="4"/>
        <v>8</v>
      </c>
      <c r="AJ55" s="82" t="s">
        <v>883</v>
      </c>
      <c r="AK55" s="82">
        <v>3</v>
      </c>
      <c r="AL55" s="82" t="s">
        <v>884</v>
      </c>
      <c r="AM55" s="88">
        <v>46134</v>
      </c>
      <c r="AN55" s="87"/>
      <c r="AO55" s="82" t="s">
        <v>885</v>
      </c>
      <c r="AY55" s="71"/>
    </row>
    <row r="56" spans="1:51" ht="65.25" customHeight="1" x14ac:dyDescent="0.3">
      <c r="A56" s="84">
        <v>1704</v>
      </c>
      <c r="B56" s="85" t="s">
        <v>1087</v>
      </c>
      <c r="C56" s="82" t="s">
        <v>1088</v>
      </c>
      <c r="D56" s="86">
        <v>102069000</v>
      </c>
      <c r="E56" s="82" t="s">
        <v>1089</v>
      </c>
      <c r="F56" s="82" t="str">
        <f>VLOOKUP(D56,'[1]Bến Cát'!$E$4:$F$177,2,0)</f>
        <v>11.18304788541824, 106.62576983256025</v>
      </c>
      <c r="G56" s="82" t="s">
        <v>1090</v>
      </c>
      <c r="H56" s="82" t="s">
        <v>878</v>
      </c>
      <c r="I56" s="82" t="s">
        <v>1091</v>
      </c>
      <c r="J56" s="82" t="s">
        <v>926</v>
      </c>
      <c r="K56" s="82"/>
      <c r="L56" s="82">
        <v>945</v>
      </c>
      <c r="M56" s="82">
        <f t="shared" si="1"/>
        <v>945</v>
      </c>
      <c r="N56" s="82" t="s">
        <v>91</v>
      </c>
      <c r="O56" s="82" t="s">
        <v>90</v>
      </c>
      <c r="P56" s="82" t="s">
        <v>91</v>
      </c>
      <c r="Q56" s="82" t="s">
        <v>881</v>
      </c>
      <c r="R56" s="82" t="s">
        <v>897</v>
      </c>
      <c r="S56" s="87"/>
      <c r="T56" s="87"/>
      <c r="U56" s="87"/>
      <c r="V56" s="87"/>
      <c r="W56" s="82">
        <v>15</v>
      </c>
      <c r="X56" s="87"/>
      <c r="Y56" s="82">
        <f t="shared" si="2"/>
        <v>15</v>
      </c>
      <c r="Z56" s="82">
        <v>15</v>
      </c>
      <c r="AA56" s="87"/>
      <c r="AB56" s="87"/>
      <c r="AC56" s="82">
        <f t="shared" si="3"/>
        <v>15</v>
      </c>
      <c r="AD56" s="87"/>
      <c r="AE56" s="82">
        <v>15</v>
      </c>
      <c r="AF56" s="87"/>
      <c r="AG56" s="87"/>
      <c r="AH56" s="87"/>
      <c r="AI56" s="82">
        <f t="shared" si="4"/>
        <v>15</v>
      </c>
      <c r="AJ56" s="82" t="s">
        <v>883</v>
      </c>
      <c r="AK56" s="82">
        <v>3</v>
      </c>
      <c r="AL56" s="82" t="s">
        <v>884</v>
      </c>
      <c r="AM56" s="88">
        <v>46134</v>
      </c>
      <c r="AN56" s="87"/>
      <c r="AO56" s="82" t="s">
        <v>892</v>
      </c>
      <c r="AY56" s="71"/>
    </row>
    <row r="57" spans="1:51" ht="65.25" customHeight="1" x14ac:dyDescent="0.3">
      <c r="A57" s="84">
        <v>1802</v>
      </c>
      <c r="B57" s="85" t="s">
        <v>1092</v>
      </c>
      <c r="C57" s="82" t="s">
        <v>1093</v>
      </c>
      <c r="D57" s="86">
        <v>102739000</v>
      </c>
      <c r="E57" s="82" t="s">
        <v>1094</v>
      </c>
      <c r="F57" s="82" t="str">
        <f>VLOOKUP(D57,'[1]Bến Cát'!$E$4:$F$177,2,0)</f>
        <v>11.1576477, 106.5807023</v>
      </c>
      <c r="G57" s="82" t="s">
        <v>1093</v>
      </c>
      <c r="H57" s="82" t="s">
        <v>878</v>
      </c>
      <c r="I57" s="82" t="s">
        <v>1095</v>
      </c>
      <c r="J57" s="82" t="s">
        <v>880</v>
      </c>
      <c r="K57" s="82"/>
      <c r="L57" s="82">
        <v>140</v>
      </c>
      <c r="M57" s="82">
        <f t="shared" si="1"/>
        <v>140</v>
      </c>
      <c r="N57" s="82" t="s">
        <v>91</v>
      </c>
      <c r="O57" s="82" t="s">
        <v>90</v>
      </c>
      <c r="P57" s="82" t="s">
        <v>91</v>
      </c>
      <c r="Q57" s="82" t="s">
        <v>881</v>
      </c>
      <c r="R57" s="82" t="s">
        <v>897</v>
      </c>
      <c r="S57" s="87"/>
      <c r="T57" s="87"/>
      <c r="U57" s="87"/>
      <c r="V57" s="87"/>
      <c r="W57" s="82">
        <v>4</v>
      </c>
      <c r="X57" s="87"/>
      <c r="Y57" s="82">
        <f t="shared" si="2"/>
        <v>4</v>
      </c>
      <c r="Z57" s="82">
        <v>4</v>
      </c>
      <c r="AA57" s="87"/>
      <c r="AB57" s="87"/>
      <c r="AC57" s="82">
        <f t="shared" si="3"/>
        <v>4</v>
      </c>
      <c r="AD57" s="87"/>
      <c r="AE57" s="82">
        <v>4</v>
      </c>
      <c r="AF57" s="87"/>
      <c r="AG57" s="87"/>
      <c r="AH57" s="87"/>
      <c r="AI57" s="82">
        <f t="shared" si="4"/>
        <v>4</v>
      </c>
      <c r="AJ57" s="82" t="s">
        <v>883</v>
      </c>
      <c r="AK57" s="82">
        <v>2</v>
      </c>
      <c r="AL57" s="82" t="s">
        <v>884</v>
      </c>
      <c r="AM57" s="88">
        <v>46134</v>
      </c>
      <c r="AN57" s="87"/>
      <c r="AO57" s="82" t="s">
        <v>892</v>
      </c>
      <c r="AY57" s="71"/>
    </row>
    <row r="58" spans="1:51" ht="65.25" customHeight="1" x14ac:dyDescent="0.3">
      <c r="A58" s="84">
        <v>1704</v>
      </c>
      <c r="B58" s="85" t="s">
        <v>1096</v>
      </c>
      <c r="C58" s="82" t="s">
        <v>1097</v>
      </c>
      <c r="D58" s="86">
        <v>102070000</v>
      </c>
      <c r="E58" s="82" t="s">
        <v>1098</v>
      </c>
      <c r="F58" s="82" t="str">
        <f>VLOOKUP(D58,'[1]Bến Cát'!$E$4:$F$177,2,0)</f>
        <v>11.17678433440675, 106.62094545971433</v>
      </c>
      <c r="G58" s="82" t="s">
        <v>1090</v>
      </c>
      <c r="H58" s="82" t="s">
        <v>878</v>
      </c>
      <c r="I58" s="82" t="s">
        <v>1099</v>
      </c>
      <c r="J58" s="82" t="s">
        <v>880</v>
      </c>
      <c r="K58" s="82"/>
      <c r="L58" s="82">
        <v>320</v>
      </c>
      <c r="M58" s="82">
        <f t="shared" si="1"/>
        <v>320</v>
      </c>
      <c r="N58" s="82" t="s">
        <v>91</v>
      </c>
      <c r="O58" s="82" t="s">
        <v>90</v>
      </c>
      <c r="P58" s="82" t="s">
        <v>91</v>
      </c>
      <c r="Q58" s="82" t="s">
        <v>881</v>
      </c>
      <c r="R58" s="82" t="s">
        <v>882</v>
      </c>
      <c r="S58" s="87"/>
      <c r="T58" s="87"/>
      <c r="U58" s="87"/>
      <c r="V58" s="87"/>
      <c r="W58" s="82">
        <v>5</v>
      </c>
      <c r="X58" s="87"/>
      <c r="Y58" s="82">
        <f t="shared" si="2"/>
        <v>5</v>
      </c>
      <c r="Z58" s="82">
        <v>5</v>
      </c>
      <c r="AA58" s="87"/>
      <c r="AB58" s="87"/>
      <c r="AC58" s="82">
        <f t="shared" si="3"/>
        <v>5</v>
      </c>
      <c r="AD58" s="87"/>
      <c r="AE58" s="82">
        <v>5</v>
      </c>
      <c r="AF58" s="87"/>
      <c r="AG58" s="87"/>
      <c r="AH58" s="87"/>
      <c r="AI58" s="82">
        <f t="shared" si="4"/>
        <v>5</v>
      </c>
      <c r="AJ58" s="82" t="s">
        <v>883</v>
      </c>
      <c r="AK58" s="82">
        <v>3</v>
      </c>
      <c r="AL58" s="82" t="s">
        <v>884</v>
      </c>
      <c r="AM58" s="88">
        <v>46134</v>
      </c>
      <c r="AN58" s="87"/>
      <c r="AO58" s="82" t="s">
        <v>885</v>
      </c>
      <c r="AY58" s="71"/>
    </row>
    <row r="59" spans="1:51" ht="65.25" customHeight="1" x14ac:dyDescent="0.3">
      <c r="A59" s="84" t="s">
        <v>1100</v>
      </c>
      <c r="B59" s="85" t="s">
        <v>1101</v>
      </c>
      <c r="C59" s="82" t="s">
        <v>1102</v>
      </c>
      <c r="D59" s="86">
        <v>102740000</v>
      </c>
      <c r="E59" s="82" t="s">
        <v>1103</v>
      </c>
      <c r="F59" s="82" t="str">
        <f>VLOOKUP(D59,'[1]Bến Cát'!$E$4:$F$177,2,0)</f>
        <v>11.1557743, 106.5798114</v>
      </c>
      <c r="G59" s="82" t="s">
        <v>1102</v>
      </c>
      <c r="H59" s="82" t="s">
        <v>878</v>
      </c>
      <c r="I59" s="82" t="s">
        <v>1104</v>
      </c>
      <c r="J59" s="82" t="s">
        <v>911</v>
      </c>
      <c r="K59" s="82"/>
      <c r="L59" s="82">
        <v>215</v>
      </c>
      <c r="M59" s="82">
        <f t="shared" si="1"/>
        <v>215</v>
      </c>
      <c r="N59" s="82" t="s">
        <v>90</v>
      </c>
      <c r="O59" s="82" t="s">
        <v>91</v>
      </c>
      <c r="P59" s="82" t="s">
        <v>91</v>
      </c>
      <c r="Q59" s="82" t="s">
        <v>881</v>
      </c>
      <c r="R59" s="82" t="s">
        <v>897</v>
      </c>
      <c r="S59" s="87"/>
      <c r="T59" s="87"/>
      <c r="U59" s="87"/>
      <c r="V59" s="87"/>
      <c r="W59" s="82">
        <v>7</v>
      </c>
      <c r="X59" s="87"/>
      <c r="Y59" s="82">
        <f t="shared" si="2"/>
        <v>7</v>
      </c>
      <c r="Z59" s="82">
        <v>7</v>
      </c>
      <c r="AA59" s="87"/>
      <c r="AB59" s="87"/>
      <c r="AC59" s="82">
        <f t="shared" si="3"/>
        <v>7</v>
      </c>
      <c r="AD59" s="87"/>
      <c r="AE59" s="82">
        <v>7</v>
      </c>
      <c r="AF59" s="87"/>
      <c r="AG59" s="87"/>
      <c r="AH59" s="87"/>
      <c r="AI59" s="82">
        <f t="shared" si="4"/>
        <v>7</v>
      </c>
      <c r="AJ59" s="82" t="s">
        <v>883</v>
      </c>
      <c r="AK59" s="82">
        <v>3</v>
      </c>
      <c r="AL59" s="82" t="s">
        <v>884</v>
      </c>
      <c r="AM59" s="88">
        <v>46134</v>
      </c>
      <c r="AN59" s="87"/>
      <c r="AO59" s="82" t="s">
        <v>892</v>
      </c>
      <c r="AY59" s="71"/>
    </row>
    <row r="60" spans="1:51" ht="65.25" customHeight="1" x14ac:dyDescent="0.3">
      <c r="A60" s="84">
        <v>1777</v>
      </c>
      <c r="B60" s="85" t="s">
        <v>1105</v>
      </c>
      <c r="C60" s="82" t="s">
        <v>1106</v>
      </c>
      <c r="D60" s="86">
        <v>102741000</v>
      </c>
      <c r="E60" s="82" t="s">
        <v>1107</v>
      </c>
      <c r="F60" s="82" t="str">
        <f>VLOOKUP(D60,'[1]Bến Cát'!$E$4:$F$177,2,0)</f>
        <v>11.1556588, 106.5827505</v>
      </c>
      <c r="G60" s="82" t="s">
        <v>1106</v>
      </c>
      <c r="H60" s="82" t="s">
        <v>878</v>
      </c>
      <c r="I60" s="82" t="s">
        <v>1108</v>
      </c>
      <c r="J60" s="82" t="s">
        <v>891</v>
      </c>
      <c r="K60" s="82"/>
      <c r="L60" s="82">
        <v>365</v>
      </c>
      <c r="M60" s="82">
        <f t="shared" si="1"/>
        <v>365</v>
      </c>
      <c r="N60" s="82" t="s">
        <v>91</v>
      </c>
      <c r="O60" s="82" t="s">
        <v>90</v>
      </c>
      <c r="P60" s="82" t="s">
        <v>91</v>
      </c>
      <c r="Q60" s="82" t="s">
        <v>881</v>
      </c>
      <c r="R60" s="82" t="s">
        <v>882</v>
      </c>
      <c r="S60" s="87"/>
      <c r="T60" s="87"/>
      <c r="U60" s="87"/>
      <c r="V60" s="87"/>
      <c r="W60" s="82">
        <v>12</v>
      </c>
      <c r="X60" s="87"/>
      <c r="Y60" s="82">
        <f t="shared" si="2"/>
        <v>12</v>
      </c>
      <c r="Z60" s="82">
        <v>12</v>
      </c>
      <c r="AA60" s="87"/>
      <c r="AB60" s="87"/>
      <c r="AC60" s="82">
        <f t="shared" si="3"/>
        <v>12</v>
      </c>
      <c r="AD60" s="87"/>
      <c r="AE60" s="82">
        <v>12</v>
      </c>
      <c r="AF60" s="87"/>
      <c r="AG60" s="87"/>
      <c r="AH60" s="87"/>
      <c r="AI60" s="82">
        <f t="shared" si="4"/>
        <v>12</v>
      </c>
      <c r="AJ60" s="82" t="s">
        <v>883</v>
      </c>
      <c r="AK60" s="82">
        <v>2</v>
      </c>
      <c r="AL60" s="82" t="s">
        <v>884</v>
      </c>
      <c r="AM60" s="88">
        <v>46134</v>
      </c>
      <c r="AN60" s="87"/>
      <c r="AO60" s="82" t="s">
        <v>892</v>
      </c>
      <c r="AY60" s="71"/>
    </row>
    <row r="61" spans="1:51" ht="65.25" customHeight="1" x14ac:dyDescent="0.3">
      <c r="A61" s="84">
        <v>1701</v>
      </c>
      <c r="B61" s="85" t="s">
        <v>1109</v>
      </c>
      <c r="C61" s="82" t="s">
        <v>1110</v>
      </c>
      <c r="D61" s="86">
        <v>102071000</v>
      </c>
      <c r="E61" s="82" t="s">
        <v>1111</v>
      </c>
      <c r="F61" s="82" t="str">
        <f>VLOOKUP(D61,'[1]Bến Cát'!$E$4:$F$177,2,0)</f>
        <v>11.184099933653002, 106.62437546331435</v>
      </c>
      <c r="G61" s="82" t="s">
        <v>1110</v>
      </c>
      <c r="H61" s="82" t="s">
        <v>878</v>
      </c>
      <c r="I61" s="82" t="s">
        <v>1112</v>
      </c>
      <c r="J61" s="82" t="s">
        <v>891</v>
      </c>
      <c r="K61" s="82"/>
      <c r="L61" s="82">
        <v>160</v>
      </c>
      <c r="M61" s="82">
        <f t="shared" si="1"/>
        <v>160</v>
      </c>
      <c r="N61" s="82" t="s">
        <v>90</v>
      </c>
      <c r="O61" s="82" t="s">
        <v>91</v>
      </c>
      <c r="P61" s="82" t="s">
        <v>91</v>
      </c>
      <c r="Q61" s="82" t="s">
        <v>881</v>
      </c>
      <c r="R61" s="82" t="s">
        <v>897</v>
      </c>
      <c r="S61" s="87"/>
      <c r="T61" s="87"/>
      <c r="U61" s="87"/>
      <c r="V61" s="87"/>
      <c r="W61" s="82">
        <v>6</v>
      </c>
      <c r="X61" s="87"/>
      <c r="Y61" s="82">
        <f t="shared" si="2"/>
        <v>6</v>
      </c>
      <c r="Z61" s="82">
        <v>6</v>
      </c>
      <c r="AA61" s="87"/>
      <c r="AB61" s="87"/>
      <c r="AC61" s="82">
        <f t="shared" si="3"/>
        <v>6</v>
      </c>
      <c r="AD61" s="87"/>
      <c r="AE61" s="82">
        <v>6</v>
      </c>
      <c r="AF61" s="87"/>
      <c r="AG61" s="87"/>
      <c r="AH61" s="87"/>
      <c r="AI61" s="82">
        <f t="shared" si="4"/>
        <v>6</v>
      </c>
      <c r="AJ61" s="82" t="s">
        <v>883</v>
      </c>
      <c r="AK61" s="82">
        <v>3</v>
      </c>
      <c r="AL61" s="82" t="s">
        <v>884</v>
      </c>
      <c r="AM61" s="88">
        <v>46134</v>
      </c>
      <c r="AN61" s="87"/>
      <c r="AO61" s="82" t="s">
        <v>892</v>
      </c>
      <c r="AY61" s="71"/>
    </row>
    <row r="62" spans="1:51" ht="65.25" customHeight="1" x14ac:dyDescent="0.3">
      <c r="A62" s="84">
        <v>1699</v>
      </c>
      <c r="B62" s="85" t="s">
        <v>1113</v>
      </c>
      <c r="C62" s="82" t="s">
        <v>1114</v>
      </c>
      <c r="D62" s="86">
        <v>100946000</v>
      </c>
      <c r="E62" s="82" t="s">
        <v>1115</v>
      </c>
      <c r="F62" s="82" t="str">
        <f>VLOOKUP(D62,'[1]Bến Cát'!$E$4:$F$177,2,0)</f>
        <v>11.184723241798816, 106.62390803409622</v>
      </c>
      <c r="G62" s="82" t="s">
        <v>1114</v>
      </c>
      <c r="H62" s="82" t="s">
        <v>878</v>
      </c>
      <c r="I62" s="82" t="s">
        <v>1116</v>
      </c>
      <c r="J62" s="82" t="s">
        <v>880</v>
      </c>
      <c r="K62" s="82"/>
      <c r="L62" s="82">
        <v>1080</v>
      </c>
      <c r="M62" s="82">
        <f t="shared" si="1"/>
        <v>1080</v>
      </c>
      <c r="N62" s="82" t="s">
        <v>91</v>
      </c>
      <c r="O62" s="82" t="s">
        <v>90</v>
      </c>
      <c r="P62" s="82" t="s">
        <v>91</v>
      </c>
      <c r="Q62" s="82" t="s">
        <v>881</v>
      </c>
      <c r="R62" s="82" t="s">
        <v>897</v>
      </c>
      <c r="S62" s="87"/>
      <c r="T62" s="87"/>
      <c r="U62" s="87"/>
      <c r="V62" s="87"/>
      <c r="W62" s="82">
        <v>27</v>
      </c>
      <c r="X62" s="87"/>
      <c r="Y62" s="82">
        <f t="shared" si="2"/>
        <v>27</v>
      </c>
      <c r="Z62" s="82">
        <v>27</v>
      </c>
      <c r="AA62" s="87"/>
      <c r="AB62" s="87"/>
      <c r="AC62" s="82">
        <f t="shared" si="3"/>
        <v>27</v>
      </c>
      <c r="AD62" s="87"/>
      <c r="AE62" s="82">
        <v>27</v>
      </c>
      <c r="AF62" s="87"/>
      <c r="AG62" s="87"/>
      <c r="AH62" s="87"/>
      <c r="AI62" s="82">
        <f t="shared" si="4"/>
        <v>27</v>
      </c>
      <c r="AJ62" s="82" t="s">
        <v>883</v>
      </c>
      <c r="AK62" s="82">
        <v>3</v>
      </c>
      <c r="AL62" s="82" t="s">
        <v>884</v>
      </c>
      <c r="AM62" s="88">
        <v>46134</v>
      </c>
      <c r="AN62" s="87"/>
      <c r="AO62" s="82" t="s">
        <v>892</v>
      </c>
      <c r="AY62" s="71"/>
    </row>
    <row r="63" spans="1:51" ht="65.25" customHeight="1" x14ac:dyDescent="0.3">
      <c r="A63" s="84">
        <v>1778</v>
      </c>
      <c r="B63" s="85" t="s">
        <v>1117</v>
      </c>
      <c r="C63" s="82" t="s">
        <v>1118</v>
      </c>
      <c r="D63" s="86">
        <v>102742000</v>
      </c>
      <c r="E63" s="82" t="s">
        <v>1119</v>
      </c>
      <c r="F63" s="82" t="str">
        <f>VLOOKUP(D63,'[1]Bến Cát'!$E$4:$F$177,2,0)</f>
        <v>11.1565713, 106.582123</v>
      </c>
      <c r="G63" s="82" t="s">
        <v>1118</v>
      </c>
      <c r="H63" s="82" t="s">
        <v>878</v>
      </c>
      <c r="I63" s="82" t="s">
        <v>1120</v>
      </c>
      <c r="J63" s="82" t="s">
        <v>911</v>
      </c>
      <c r="K63" s="82"/>
      <c r="L63" s="82">
        <v>180</v>
      </c>
      <c r="M63" s="82">
        <f t="shared" si="1"/>
        <v>180</v>
      </c>
      <c r="N63" s="82" t="s">
        <v>91</v>
      </c>
      <c r="O63" s="82" t="s">
        <v>90</v>
      </c>
      <c r="P63" s="82" t="s">
        <v>91</v>
      </c>
      <c r="Q63" s="82" t="s">
        <v>881</v>
      </c>
      <c r="R63" s="82" t="s">
        <v>882</v>
      </c>
      <c r="S63" s="87"/>
      <c r="T63" s="87"/>
      <c r="U63" s="87"/>
      <c r="V63" s="87"/>
      <c r="W63" s="82">
        <v>7</v>
      </c>
      <c r="X63" s="87"/>
      <c r="Y63" s="82">
        <f t="shared" si="2"/>
        <v>7</v>
      </c>
      <c r="Z63" s="82">
        <v>7</v>
      </c>
      <c r="AA63" s="87"/>
      <c r="AB63" s="87"/>
      <c r="AC63" s="82">
        <f t="shared" si="3"/>
        <v>7</v>
      </c>
      <c r="AD63" s="87"/>
      <c r="AE63" s="82">
        <v>7</v>
      </c>
      <c r="AF63" s="87"/>
      <c r="AG63" s="87"/>
      <c r="AH63" s="87"/>
      <c r="AI63" s="82">
        <f t="shared" si="4"/>
        <v>7</v>
      </c>
      <c r="AJ63" s="82" t="s">
        <v>883</v>
      </c>
      <c r="AK63" s="82">
        <v>2</v>
      </c>
      <c r="AL63" s="82" t="s">
        <v>884</v>
      </c>
      <c r="AM63" s="88">
        <v>46134</v>
      </c>
      <c r="AN63" s="87"/>
      <c r="AO63" s="82" t="s">
        <v>892</v>
      </c>
      <c r="AY63" s="71"/>
    </row>
    <row r="64" spans="1:51" ht="65.25" customHeight="1" x14ac:dyDescent="0.3">
      <c r="A64" s="84">
        <v>1697</v>
      </c>
      <c r="B64" s="85" t="s">
        <v>1121</v>
      </c>
      <c r="C64" s="82" t="s">
        <v>1122</v>
      </c>
      <c r="D64" s="86" t="s">
        <v>1123</v>
      </c>
      <c r="E64" s="82" t="s">
        <v>1124</v>
      </c>
      <c r="F64" s="82" t="s">
        <v>1625</v>
      </c>
      <c r="G64" s="82" t="s">
        <v>1122</v>
      </c>
      <c r="H64" s="82" t="s">
        <v>878</v>
      </c>
      <c r="I64" s="82" t="s">
        <v>1125</v>
      </c>
      <c r="J64" s="82" t="s">
        <v>880</v>
      </c>
      <c r="K64" s="82"/>
      <c r="L64" s="82">
        <v>600</v>
      </c>
      <c r="M64" s="82">
        <f t="shared" si="1"/>
        <v>600</v>
      </c>
      <c r="N64" s="82" t="s">
        <v>90</v>
      </c>
      <c r="O64" s="82" t="s">
        <v>91</v>
      </c>
      <c r="P64" s="82" t="s">
        <v>91</v>
      </c>
      <c r="Q64" s="82" t="s">
        <v>881</v>
      </c>
      <c r="R64" s="82" t="s">
        <v>897</v>
      </c>
      <c r="S64" s="87"/>
      <c r="T64" s="87"/>
      <c r="U64" s="87"/>
      <c r="V64" s="87"/>
      <c r="W64" s="82">
        <v>17</v>
      </c>
      <c r="X64" s="87"/>
      <c r="Y64" s="82">
        <f t="shared" si="2"/>
        <v>17</v>
      </c>
      <c r="Z64" s="82">
        <v>16</v>
      </c>
      <c r="AA64" s="87"/>
      <c r="AB64" s="87"/>
      <c r="AC64" s="82">
        <f t="shared" si="3"/>
        <v>16</v>
      </c>
      <c r="AD64" s="87"/>
      <c r="AE64" s="82">
        <v>17</v>
      </c>
      <c r="AF64" s="87"/>
      <c r="AG64" s="87"/>
      <c r="AH64" s="87"/>
      <c r="AI64" s="82">
        <f t="shared" si="4"/>
        <v>17</v>
      </c>
      <c r="AJ64" s="82" t="s">
        <v>883</v>
      </c>
      <c r="AK64" s="82">
        <v>3</v>
      </c>
      <c r="AL64" s="82" t="s">
        <v>884</v>
      </c>
      <c r="AM64" s="88">
        <v>46134</v>
      </c>
      <c r="AN64" s="87"/>
      <c r="AO64" s="82" t="s">
        <v>892</v>
      </c>
      <c r="AY64" s="71"/>
    </row>
    <row r="65" spans="1:51" ht="65.25" customHeight="1" x14ac:dyDescent="0.3">
      <c r="A65" s="84">
        <v>1779</v>
      </c>
      <c r="B65" s="85" t="s">
        <v>1126</v>
      </c>
      <c r="C65" s="82" t="s">
        <v>1127</v>
      </c>
      <c r="D65" s="86">
        <v>102743000</v>
      </c>
      <c r="E65" s="82" t="s">
        <v>1128</v>
      </c>
      <c r="F65" s="82" t="str">
        <f>VLOOKUP(D65,'[1]Bến Cát'!$E$4:$F$177,2,0)</f>
        <v>11.1534517, 106.5879582</v>
      </c>
      <c r="G65" s="82" t="s">
        <v>1127</v>
      </c>
      <c r="H65" s="82" t="s">
        <v>878</v>
      </c>
      <c r="I65" s="82" t="s">
        <v>1129</v>
      </c>
      <c r="J65" s="82" t="s">
        <v>880</v>
      </c>
      <c r="K65" s="82"/>
      <c r="L65" s="82">
        <v>150</v>
      </c>
      <c r="M65" s="82">
        <f t="shared" si="1"/>
        <v>150</v>
      </c>
      <c r="N65" s="82" t="s">
        <v>90</v>
      </c>
      <c r="O65" s="82" t="s">
        <v>91</v>
      </c>
      <c r="P65" s="82" t="s">
        <v>91</v>
      </c>
      <c r="Q65" s="82" t="s">
        <v>881</v>
      </c>
      <c r="R65" s="82" t="s">
        <v>897</v>
      </c>
      <c r="S65" s="87"/>
      <c r="T65" s="87"/>
      <c r="U65" s="87"/>
      <c r="V65" s="87"/>
      <c r="W65" s="82">
        <v>6</v>
      </c>
      <c r="X65" s="87"/>
      <c r="Y65" s="82">
        <f t="shared" si="2"/>
        <v>6</v>
      </c>
      <c r="Z65" s="82">
        <v>6</v>
      </c>
      <c r="AA65" s="87"/>
      <c r="AB65" s="87"/>
      <c r="AC65" s="82">
        <f t="shared" si="3"/>
        <v>6</v>
      </c>
      <c r="AD65" s="87"/>
      <c r="AE65" s="82">
        <v>6</v>
      </c>
      <c r="AF65" s="87"/>
      <c r="AG65" s="87"/>
      <c r="AH65" s="87"/>
      <c r="AI65" s="82">
        <f t="shared" si="4"/>
        <v>6</v>
      </c>
      <c r="AJ65" s="82" t="s">
        <v>883</v>
      </c>
      <c r="AK65" s="82">
        <v>3</v>
      </c>
      <c r="AL65" s="82" t="s">
        <v>884</v>
      </c>
      <c r="AM65" s="88">
        <v>46134</v>
      </c>
      <c r="AN65" s="87"/>
      <c r="AO65" s="82" t="s">
        <v>892</v>
      </c>
      <c r="AY65" s="71"/>
    </row>
    <row r="66" spans="1:51" ht="65.25" customHeight="1" x14ac:dyDescent="0.3">
      <c r="A66" s="84">
        <v>1696</v>
      </c>
      <c r="B66" s="85" t="s">
        <v>1130</v>
      </c>
      <c r="C66" s="82" t="s">
        <v>1131</v>
      </c>
      <c r="D66" s="86">
        <v>100948000</v>
      </c>
      <c r="E66" s="82" t="s">
        <v>1132</v>
      </c>
      <c r="F66" s="82" t="str">
        <f>VLOOKUP(D66,'[1]Bến Cát'!$E$4:$F$177,2,0)</f>
        <v>11.181478294490885, 106.62015002821889</v>
      </c>
      <c r="G66" s="82" t="s">
        <v>1131</v>
      </c>
      <c r="H66" s="82" t="s">
        <v>878</v>
      </c>
      <c r="I66" s="82" t="s">
        <v>1133</v>
      </c>
      <c r="J66" s="82" t="s">
        <v>880</v>
      </c>
      <c r="K66" s="82"/>
      <c r="L66" s="82">
        <v>320</v>
      </c>
      <c r="M66" s="82">
        <f t="shared" si="1"/>
        <v>320</v>
      </c>
      <c r="N66" s="82" t="s">
        <v>90</v>
      </c>
      <c r="O66" s="82" t="s">
        <v>91</v>
      </c>
      <c r="P66" s="82" t="s">
        <v>91</v>
      </c>
      <c r="Q66" s="82" t="s">
        <v>881</v>
      </c>
      <c r="R66" s="82" t="s">
        <v>882</v>
      </c>
      <c r="S66" s="87"/>
      <c r="T66" s="87"/>
      <c r="U66" s="87"/>
      <c r="V66" s="87"/>
      <c r="W66" s="82">
        <v>8</v>
      </c>
      <c r="X66" s="87"/>
      <c r="Y66" s="82">
        <f t="shared" si="2"/>
        <v>8</v>
      </c>
      <c r="Z66" s="82">
        <v>8</v>
      </c>
      <c r="AA66" s="87"/>
      <c r="AB66" s="87"/>
      <c r="AC66" s="82">
        <f t="shared" si="3"/>
        <v>8</v>
      </c>
      <c r="AD66" s="87"/>
      <c r="AE66" s="82">
        <v>8</v>
      </c>
      <c r="AF66" s="87"/>
      <c r="AG66" s="87"/>
      <c r="AH66" s="87"/>
      <c r="AI66" s="82">
        <f t="shared" si="4"/>
        <v>8</v>
      </c>
      <c r="AJ66" s="82" t="s">
        <v>883</v>
      </c>
      <c r="AK66" s="82">
        <v>3</v>
      </c>
      <c r="AL66" s="82" t="s">
        <v>884</v>
      </c>
      <c r="AM66" s="88">
        <v>46134</v>
      </c>
      <c r="AN66" s="87"/>
      <c r="AO66" s="82" t="s">
        <v>885</v>
      </c>
      <c r="AY66" s="71"/>
    </row>
    <row r="67" spans="1:51" ht="65.25" customHeight="1" x14ac:dyDescent="0.3">
      <c r="A67" s="84">
        <v>1737</v>
      </c>
      <c r="B67" s="85" t="s">
        <v>1134</v>
      </c>
      <c r="C67" s="82" t="s">
        <v>1135</v>
      </c>
      <c r="D67" s="86">
        <v>102479000</v>
      </c>
      <c r="E67" s="82" t="s">
        <v>1136</v>
      </c>
      <c r="F67" s="82" t="str">
        <f>VLOOKUP(D67,'[1]Bến Cát'!$E$4:$F$177,2,0)</f>
        <v>11.1512873, 106.5904045</v>
      </c>
      <c r="G67" s="82" t="s">
        <v>1135</v>
      </c>
      <c r="H67" s="82" t="s">
        <v>878</v>
      </c>
      <c r="I67" s="82" t="s">
        <v>1137</v>
      </c>
      <c r="J67" s="82" t="s">
        <v>880</v>
      </c>
      <c r="K67" s="82"/>
      <c r="L67" s="82">
        <v>60</v>
      </c>
      <c r="M67" s="82">
        <f t="shared" si="1"/>
        <v>60</v>
      </c>
      <c r="N67" s="82" t="s">
        <v>91</v>
      </c>
      <c r="O67" s="82" t="s">
        <v>90</v>
      </c>
      <c r="P67" s="82" t="s">
        <v>91</v>
      </c>
      <c r="Q67" s="82" t="s">
        <v>881</v>
      </c>
      <c r="R67" s="82" t="s">
        <v>897</v>
      </c>
      <c r="S67" s="87"/>
      <c r="T67" s="87"/>
      <c r="U67" s="87"/>
      <c r="V67" s="87"/>
      <c r="W67" s="82">
        <v>3</v>
      </c>
      <c r="X67" s="87"/>
      <c r="Y67" s="82">
        <f t="shared" si="2"/>
        <v>3</v>
      </c>
      <c r="Z67" s="82">
        <v>3</v>
      </c>
      <c r="AA67" s="87"/>
      <c r="AB67" s="87"/>
      <c r="AC67" s="82">
        <f t="shared" si="3"/>
        <v>3</v>
      </c>
      <c r="AD67" s="87"/>
      <c r="AE67" s="82">
        <v>3</v>
      </c>
      <c r="AF67" s="87"/>
      <c r="AG67" s="87"/>
      <c r="AH67" s="87"/>
      <c r="AI67" s="82">
        <f t="shared" si="4"/>
        <v>3</v>
      </c>
      <c r="AJ67" s="82" t="s">
        <v>883</v>
      </c>
      <c r="AK67" s="82">
        <v>2</v>
      </c>
      <c r="AL67" s="82" t="s">
        <v>884</v>
      </c>
      <c r="AM67" s="88">
        <v>46134</v>
      </c>
      <c r="AN67" s="87"/>
      <c r="AO67" s="82" t="s">
        <v>892</v>
      </c>
      <c r="AY67" s="71"/>
    </row>
    <row r="68" spans="1:51" ht="65.25" customHeight="1" x14ac:dyDescent="0.3">
      <c r="A68" s="84">
        <v>1695</v>
      </c>
      <c r="B68" s="85" t="s">
        <v>1138</v>
      </c>
      <c r="C68" s="82" t="s">
        <v>1139</v>
      </c>
      <c r="D68" s="86">
        <v>100949000</v>
      </c>
      <c r="E68" s="82" t="s">
        <v>1140</v>
      </c>
      <c r="F68" s="82" t="str">
        <f>VLOOKUP(D68,'[1]Bến Cát'!$E$4:$F$177,2,0)</f>
        <v>11.180862478412852, 106.61945084309234</v>
      </c>
      <c r="G68" s="82" t="s">
        <v>1139</v>
      </c>
      <c r="H68" s="82" t="s">
        <v>878</v>
      </c>
      <c r="I68" s="82" t="s">
        <v>1141</v>
      </c>
      <c r="J68" s="82" t="s">
        <v>880</v>
      </c>
      <c r="K68" s="82"/>
      <c r="L68" s="82">
        <v>480</v>
      </c>
      <c r="M68" s="82">
        <f t="shared" si="1"/>
        <v>480</v>
      </c>
      <c r="N68" s="82" t="s">
        <v>91</v>
      </c>
      <c r="O68" s="82" t="s">
        <v>90</v>
      </c>
      <c r="P68" s="82" t="s">
        <v>91</v>
      </c>
      <c r="Q68" s="82" t="s">
        <v>881</v>
      </c>
      <c r="R68" s="82" t="s">
        <v>897</v>
      </c>
      <c r="S68" s="87"/>
      <c r="T68" s="87"/>
      <c r="U68" s="87"/>
      <c r="V68" s="87"/>
      <c r="W68" s="82">
        <v>12</v>
      </c>
      <c r="X68" s="87"/>
      <c r="Y68" s="82">
        <f t="shared" si="2"/>
        <v>12</v>
      </c>
      <c r="Z68" s="82">
        <v>12</v>
      </c>
      <c r="AA68" s="87"/>
      <c r="AB68" s="87"/>
      <c r="AC68" s="82">
        <f t="shared" si="3"/>
        <v>12</v>
      </c>
      <c r="AD68" s="87"/>
      <c r="AE68" s="82">
        <v>12</v>
      </c>
      <c r="AF68" s="87"/>
      <c r="AG68" s="87"/>
      <c r="AH68" s="87"/>
      <c r="AI68" s="82">
        <f t="shared" si="4"/>
        <v>12</v>
      </c>
      <c r="AJ68" s="82" t="s">
        <v>883</v>
      </c>
      <c r="AK68" s="82">
        <v>3</v>
      </c>
      <c r="AL68" s="82" t="s">
        <v>884</v>
      </c>
      <c r="AM68" s="88">
        <v>46134</v>
      </c>
      <c r="AN68" s="87"/>
      <c r="AO68" s="82" t="s">
        <v>892</v>
      </c>
      <c r="AY68" s="71"/>
    </row>
    <row r="69" spans="1:51" ht="65.25" customHeight="1" x14ac:dyDescent="0.3">
      <c r="A69" s="84">
        <v>1768</v>
      </c>
      <c r="B69" s="85" t="s">
        <v>1142</v>
      </c>
      <c r="C69" s="82" t="s">
        <v>1143</v>
      </c>
      <c r="D69" s="86">
        <v>102162000</v>
      </c>
      <c r="E69" s="82" t="s">
        <v>1144</v>
      </c>
      <c r="F69" s="82" t="str">
        <f>VLOOKUP(D69,'[1]Bến Cát'!$E$4:$F$177,2,0)</f>
        <v>11.165421068368653, 106.59088842749681</v>
      </c>
      <c r="G69" s="82" t="s">
        <v>1143</v>
      </c>
      <c r="H69" s="82" t="s">
        <v>878</v>
      </c>
      <c r="I69" s="82" t="s">
        <v>1145</v>
      </c>
      <c r="J69" s="82" t="s">
        <v>891</v>
      </c>
      <c r="K69" s="82"/>
      <c r="L69" s="82">
        <v>680</v>
      </c>
      <c r="M69" s="82">
        <f t="shared" si="1"/>
        <v>680</v>
      </c>
      <c r="N69" s="82" t="s">
        <v>91</v>
      </c>
      <c r="O69" s="82" t="s">
        <v>90</v>
      </c>
      <c r="P69" s="82" t="s">
        <v>91</v>
      </c>
      <c r="Q69" s="82" t="s">
        <v>881</v>
      </c>
      <c r="R69" s="82" t="s">
        <v>882</v>
      </c>
      <c r="S69" s="87"/>
      <c r="T69" s="87"/>
      <c r="U69" s="87"/>
      <c r="V69" s="87"/>
      <c r="W69" s="82">
        <v>17</v>
      </c>
      <c r="X69" s="87"/>
      <c r="Y69" s="82">
        <f t="shared" si="2"/>
        <v>17</v>
      </c>
      <c r="Z69" s="82">
        <v>17</v>
      </c>
      <c r="AA69" s="87"/>
      <c r="AB69" s="87"/>
      <c r="AC69" s="82">
        <f t="shared" si="3"/>
        <v>17</v>
      </c>
      <c r="AD69" s="87"/>
      <c r="AE69" s="82">
        <v>17</v>
      </c>
      <c r="AF69" s="87"/>
      <c r="AG69" s="87"/>
      <c r="AH69" s="87"/>
      <c r="AI69" s="82">
        <f t="shared" si="4"/>
        <v>17</v>
      </c>
      <c r="AJ69" s="82" t="s">
        <v>883</v>
      </c>
      <c r="AK69" s="82">
        <v>2</v>
      </c>
      <c r="AL69" s="82" t="s">
        <v>884</v>
      </c>
      <c r="AM69" s="88">
        <v>46134</v>
      </c>
      <c r="AN69" s="87"/>
      <c r="AO69" s="82" t="s">
        <v>885</v>
      </c>
      <c r="AY69" s="71"/>
    </row>
    <row r="70" spans="1:51" ht="65.25" customHeight="1" x14ac:dyDescent="0.3">
      <c r="A70" s="84">
        <v>1712</v>
      </c>
      <c r="B70" s="85" t="s">
        <v>1146</v>
      </c>
      <c r="C70" s="82" t="s">
        <v>1147</v>
      </c>
      <c r="D70" s="86">
        <v>100950000</v>
      </c>
      <c r="E70" s="82" t="s">
        <v>1148</v>
      </c>
      <c r="F70" s="82" t="str">
        <f>VLOOKUP(D70,'[1]Bến Cát'!$E$4:$F$177,2,0)</f>
        <v>11.188549287507353, 106.62487921019995</v>
      </c>
      <c r="G70" s="82" t="s">
        <v>1149</v>
      </c>
      <c r="H70" s="82" t="s">
        <v>878</v>
      </c>
      <c r="I70" s="82" t="s">
        <v>1150</v>
      </c>
      <c r="J70" s="82" t="s">
        <v>969</v>
      </c>
      <c r="K70" s="82"/>
      <c r="L70" s="82">
        <v>720</v>
      </c>
      <c r="M70" s="82">
        <f t="shared" si="1"/>
        <v>720</v>
      </c>
      <c r="N70" s="82" t="s">
        <v>90</v>
      </c>
      <c r="O70" s="82" t="s">
        <v>91</v>
      </c>
      <c r="P70" s="82" t="s">
        <v>91</v>
      </c>
      <c r="Q70" s="82" t="s">
        <v>881</v>
      </c>
      <c r="R70" s="82" t="s">
        <v>897</v>
      </c>
      <c r="S70" s="87"/>
      <c r="T70" s="87"/>
      <c r="U70" s="87"/>
      <c r="V70" s="87"/>
      <c r="W70" s="82">
        <v>23</v>
      </c>
      <c r="X70" s="87"/>
      <c r="Y70" s="82">
        <f t="shared" si="2"/>
        <v>23</v>
      </c>
      <c r="Z70" s="82">
        <v>23</v>
      </c>
      <c r="AA70" s="87"/>
      <c r="AB70" s="87"/>
      <c r="AC70" s="82">
        <f t="shared" si="3"/>
        <v>23</v>
      </c>
      <c r="AD70" s="87"/>
      <c r="AE70" s="82">
        <v>23</v>
      </c>
      <c r="AF70" s="87"/>
      <c r="AG70" s="87"/>
      <c r="AH70" s="87"/>
      <c r="AI70" s="82">
        <f t="shared" si="4"/>
        <v>23</v>
      </c>
      <c r="AJ70" s="82" t="s">
        <v>883</v>
      </c>
      <c r="AK70" s="82">
        <v>3</v>
      </c>
      <c r="AL70" s="82" t="s">
        <v>884</v>
      </c>
      <c r="AM70" s="88">
        <v>46134</v>
      </c>
      <c r="AN70" s="87"/>
      <c r="AO70" s="82" t="s">
        <v>892</v>
      </c>
      <c r="AY70" s="71"/>
    </row>
    <row r="71" spans="1:51" ht="65.25" customHeight="1" x14ac:dyDescent="0.3">
      <c r="A71" s="84">
        <v>1739</v>
      </c>
      <c r="B71" s="85" t="s">
        <v>1151</v>
      </c>
      <c r="C71" s="82" t="s">
        <v>1152</v>
      </c>
      <c r="D71" s="86">
        <v>102227000</v>
      </c>
      <c r="E71" s="82" t="s">
        <v>1153</v>
      </c>
      <c r="F71" s="82" t="str">
        <f>VLOOKUP(D71,'[1]Bến Cát'!$E$4:$F$177,2,0)</f>
        <v>11.1414537, 106.5940153</v>
      </c>
      <c r="G71" s="82" t="s">
        <v>1152</v>
      </c>
      <c r="H71" s="82" t="s">
        <v>878</v>
      </c>
      <c r="I71" s="82" t="s">
        <v>1154</v>
      </c>
      <c r="J71" s="82" t="s">
        <v>891</v>
      </c>
      <c r="K71" s="82"/>
      <c r="L71" s="82">
        <v>650</v>
      </c>
      <c r="M71" s="82">
        <f t="shared" si="1"/>
        <v>650</v>
      </c>
      <c r="N71" s="82" t="s">
        <v>91</v>
      </c>
      <c r="O71" s="82" t="s">
        <v>90</v>
      </c>
      <c r="P71" s="82" t="s">
        <v>91</v>
      </c>
      <c r="Q71" s="82" t="s">
        <v>881</v>
      </c>
      <c r="R71" s="82" t="s">
        <v>897</v>
      </c>
      <c r="S71" s="87"/>
      <c r="T71" s="87"/>
      <c r="U71" s="87"/>
      <c r="V71" s="87"/>
      <c r="W71" s="82">
        <v>19</v>
      </c>
      <c r="X71" s="87"/>
      <c r="Y71" s="82">
        <f t="shared" si="2"/>
        <v>19</v>
      </c>
      <c r="Z71" s="82">
        <v>19</v>
      </c>
      <c r="AA71" s="87"/>
      <c r="AB71" s="87"/>
      <c r="AC71" s="82">
        <f t="shared" si="3"/>
        <v>19</v>
      </c>
      <c r="AD71" s="87"/>
      <c r="AE71" s="82">
        <v>19</v>
      </c>
      <c r="AF71" s="87"/>
      <c r="AG71" s="87"/>
      <c r="AH71" s="87"/>
      <c r="AI71" s="82">
        <f t="shared" si="4"/>
        <v>19</v>
      </c>
      <c r="AJ71" s="82" t="s">
        <v>883</v>
      </c>
      <c r="AK71" s="82">
        <v>2</v>
      </c>
      <c r="AL71" s="82" t="s">
        <v>884</v>
      </c>
      <c r="AM71" s="88">
        <v>46134</v>
      </c>
      <c r="AN71" s="87"/>
      <c r="AO71" s="82" t="s">
        <v>892</v>
      </c>
      <c r="AY71" s="71"/>
    </row>
    <row r="72" spans="1:51" ht="65.25" customHeight="1" x14ac:dyDescent="0.3">
      <c r="A72" s="84">
        <v>1787</v>
      </c>
      <c r="B72" s="85" t="s">
        <v>1155</v>
      </c>
      <c r="C72" s="82" t="s">
        <v>1156</v>
      </c>
      <c r="D72" s="86">
        <v>100937000</v>
      </c>
      <c r="E72" s="82" t="s">
        <v>1157</v>
      </c>
      <c r="F72" s="82" t="str">
        <f>VLOOKUP(D72,'[1]Bến Cát'!$E$4:$F$177,2,0)</f>
        <v>11.1481114, 106.5920367</v>
      </c>
      <c r="G72" s="82" t="s">
        <v>1156</v>
      </c>
      <c r="H72" s="82" t="s">
        <v>878</v>
      </c>
      <c r="I72" s="82" t="s">
        <v>1158</v>
      </c>
      <c r="J72" s="82" t="s">
        <v>891</v>
      </c>
      <c r="K72" s="82"/>
      <c r="L72" s="82">
        <v>195</v>
      </c>
      <c r="M72" s="82">
        <f t="shared" si="1"/>
        <v>195</v>
      </c>
      <c r="N72" s="82" t="s">
        <v>90</v>
      </c>
      <c r="O72" s="82" t="s">
        <v>91</v>
      </c>
      <c r="P72" s="82" t="s">
        <v>91</v>
      </c>
      <c r="Q72" s="82" t="s">
        <v>881</v>
      </c>
      <c r="R72" s="82" t="s">
        <v>897</v>
      </c>
      <c r="S72" s="87"/>
      <c r="T72" s="87"/>
      <c r="U72" s="87"/>
      <c r="V72" s="87"/>
      <c r="W72" s="82">
        <v>7</v>
      </c>
      <c r="X72" s="87"/>
      <c r="Y72" s="82">
        <f t="shared" si="2"/>
        <v>7</v>
      </c>
      <c r="Z72" s="82">
        <v>7</v>
      </c>
      <c r="AA72" s="87"/>
      <c r="AB72" s="87"/>
      <c r="AC72" s="82">
        <f t="shared" si="3"/>
        <v>7</v>
      </c>
      <c r="AD72" s="87"/>
      <c r="AE72" s="82">
        <v>7</v>
      </c>
      <c r="AF72" s="87"/>
      <c r="AG72" s="87"/>
      <c r="AH72" s="87"/>
      <c r="AI72" s="82">
        <f t="shared" si="4"/>
        <v>7</v>
      </c>
      <c r="AJ72" s="82" t="s">
        <v>883</v>
      </c>
      <c r="AK72" s="82">
        <v>3</v>
      </c>
      <c r="AL72" s="82" t="s">
        <v>884</v>
      </c>
      <c r="AM72" s="88">
        <v>46134</v>
      </c>
      <c r="AN72" s="87"/>
      <c r="AO72" s="82" t="s">
        <v>892</v>
      </c>
      <c r="AY72" s="71"/>
    </row>
    <row r="73" spans="1:51" ht="65.25" customHeight="1" x14ac:dyDescent="0.3">
      <c r="A73" s="84">
        <v>1766</v>
      </c>
      <c r="B73" s="85" t="s">
        <v>1159</v>
      </c>
      <c r="C73" s="82" t="s">
        <v>1160</v>
      </c>
      <c r="D73" s="86">
        <v>102670000</v>
      </c>
      <c r="E73" s="82" t="s">
        <v>1161</v>
      </c>
      <c r="F73" s="82" t="str">
        <f>VLOOKUP(D73,'[1]Bến Cát'!$E$4:$F$177,2,0)</f>
        <v>11.1644325, 106.5921585</v>
      </c>
      <c r="G73" s="82" t="s">
        <v>1160</v>
      </c>
      <c r="H73" s="82" t="s">
        <v>878</v>
      </c>
      <c r="I73" s="82" t="s">
        <v>1162</v>
      </c>
      <c r="J73" s="82" t="s">
        <v>911</v>
      </c>
      <c r="K73" s="82"/>
      <c r="L73" s="82">
        <v>460</v>
      </c>
      <c r="M73" s="82">
        <f t="shared" si="1"/>
        <v>460</v>
      </c>
      <c r="N73" s="82" t="s">
        <v>91</v>
      </c>
      <c r="O73" s="82" t="s">
        <v>90</v>
      </c>
      <c r="P73" s="82" t="s">
        <v>91</v>
      </c>
      <c r="Q73" s="82" t="s">
        <v>881</v>
      </c>
      <c r="R73" s="82" t="s">
        <v>897</v>
      </c>
      <c r="S73" s="87"/>
      <c r="T73" s="87"/>
      <c r="U73" s="82">
        <v>12</v>
      </c>
      <c r="V73" s="87"/>
      <c r="W73" s="82">
        <v>3</v>
      </c>
      <c r="X73" s="87"/>
      <c r="Y73" s="82">
        <f t="shared" si="2"/>
        <v>15</v>
      </c>
      <c r="Z73" s="82">
        <v>15</v>
      </c>
      <c r="AA73" s="87"/>
      <c r="AB73" s="87"/>
      <c r="AC73" s="82">
        <f t="shared" si="3"/>
        <v>15</v>
      </c>
      <c r="AD73" s="87"/>
      <c r="AE73" s="82">
        <v>15</v>
      </c>
      <c r="AF73" s="87"/>
      <c r="AG73" s="87"/>
      <c r="AH73" s="87"/>
      <c r="AI73" s="82">
        <f t="shared" si="4"/>
        <v>15</v>
      </c>
      <c r="AJ73" s="82" t="s">
        <v>883</v>
      </c>
      <c r="AK73" s="82">
        <v>3</v>
      </c>
      <c r="AL73" s="82" t="s">
        <v>884</v>
      </c>
      <c r="AM73" s="88">
        <v>46134</v>
      </c>
      <c r="AN73" s="87"/>
      <c r="AO73" s="82" t="s">
        <v>892</v>
      </c>
      <c r="AY73" s="71"/>
    </row>
    <row r="74" spans="1:51" ht="65.25" customHeight="1" x14ac:dyDescent="0.3">
      <c r="A74" s="84">
        <v>1765</v>
      </c>
      <c r="B74" s="85" t="s">
        <v>1163</v>
      </c>
      <c r="C74" s="82" t="s">
        <v>1164</v>
      </c>
      <c r="D74" s="86">
        <v>102163000</v>
      </c>
      <c r="E74" s="82" t="s">
        <v>1165</v>
      </c>
      <c r="F74" s="82" t="str">
        <f>VLOOKUP(D74,'[1]Bến Cát'!$E$4:$F$177,2,0)</f>
        <v>11.163019107459043, 106.592496391235</v>
      </c>
      <c r="G74" s="82" t="s">
        <v>1164</v>
      </c>
      <c r="H74" s="82" t="s">
        <v>878</v>
      </c>
      <c r="I74" s="82" t="s">
        <v>1166</v>
      </c>
      <c r="J74" s="82" t="s">
        <v>880</v>
      </c>
      <c r="K74" s="82"/>
      <c r="L74" s="82">
        <v>160</v>
      </c>
      <c r="M74" s="82">
        <f t="shared" si="1"/>
        <v>160</v>
      </c>
      <c r="N74" s="82" t="s">
        <v>90</v>
      </c>
      <c r="O74" s="82" t="s">
        <v>91</v>
      </c>
      <c r="P74" s="82" t="s">
        <v>91</v>
      </c>
      <c r="Q74" s="82" t="s">
        <v>881</v>
      </c>
      <c r="R74" s="82" t="s">
        <v>897</v>
      </c>
      <c r="S74" s="87"/>
      <c r="T74" s="87"/>
      <c r="U74" s="87"/>
      <c r="V74" s="87"/>
      <c r="W74" s="82">
        <v>4</v>
      </c>
      <c r="X74" s="87"/>
      <c r="Y74" s="82">
        <f t="shared" si="2"/>
        <v>4</v>
      </c>
      <c r="Z74" s="82">
        <v>4</v>
      </c>
      <c r="AA74" s="87"/>
      <c r="AB74" s="87"/>
      <c r="AC74" s="82">
        <f t="shared" si="3"/>
        <v>4</v>
      </c>
      <c r="AD74" s="87"/>
      <c r="AE74" s="82">
        <v>4</v>
      </c>
      <c r="AF74" s="87"/>
      <c r="AG74" s="87"/>
      <c r="AH74" s="87"/>
      <c r="AI74" s="82">
        <f t="shared" si="4"/>
        <v>4</v>
      </c>
      <c r="AJ74" s="82" t="s">
        <v>883</v>
      </c>
      <c r="AK74" s="82">
        <v>3</v>
      </c>
      <c r="AL74" s="82" t="s">
        <v>884</v>
      </c>
      <c r="AM74" s="88">
        <v>46134</v>
      </c>
      <c r="AN74" s="87"/>
      <c r="AO74" s="82" t="s">
        <v>892</v>
      </c>
      <c r="AY74" s="71"/>
    </row>
    <row r="75" spans="1:51" ht="65.25" customHeight="1" x14ac:dyDescent="0.3">
      <c r="A75" s="84">
        <v>1712</v>
      </c>
      <c r="B75" s="85" t="s">
        <v>1167</v>
      </c>
      <c r="C75" s="82" t="s">
        <v>1168</v>
      </c>
      <c r="D75" s="86">
        <v>100651000</v>
      </c>
      <c r="E75" s="82" t="s">
        <v>1169</v>
      </c>
      <c r="F75" s="82" t="e">
        <f>VLOOKUP(D75,'[1]Bến Cát'!$E$4:$F$177,2,0)</f>
        <v>#N/A</v>
      </c>
      <c r="G75" s="82" t="s">
        <v>1149</v>
      </c>
      <c r="H75" s="82" t="s">
        <v>878</v>
      </c>
      <c r="I75" s="82" t="s">
        <v>1170</v>
      </c>
      <c r="J75" s="82" t="s">
        <v>891</v>
      </c>
      <c r="K75" s="82"/>
      <c r="L75" s="82">
        <v>330</v>
      </c>
      <c r="M75" s="82">
        <f t="shared" si="1"/>
        <v>330</v>
      </c>
      <c r="N75" s="82" t="s">
        <v>90</v>
      </c>
      <c r="O75" s="82" t="s">
        <v>91</v>
      </c>
      <c r="P75" s="82" t="s">
        <v>91</v>
      </c>
      <c r="Q75" s="82" t="s">
        <v>881</v>
      </c>
      <c r="R75" s="82" t="s">
        <v>897</v>
      </c>
      <c r="S75" s="87"/>
      <c r="T75" s="87"/>
      <c r="U75" s="87"/>
      <c r="V75" s="87"/>
      <c r="W75" s="82">
        <v>12</v>
      </c>
      <c r="X75" s="87"/>
      <c r="Y75" s="82">
        <f t="shared" si="2"/>
        <v>12</v>
      </c>
      <c r="Z75" s="82">
        <v>12</v>
      </c>
      <c r="AA75" s="87"/>
      <c r="AB75" s="87"/>
      <c r="AC75" s="82">
        <f t="shared" si="3"/>
        <v>12</v>
      </c>
      <c r="AD75" s="87"/>
      <c r="AE75" s="82">
        <v>12</v>
      </c>
      <c r="AF75" s="87"/>
      <c r="AG75" s="87"/>
      <c r="AH75" s="87"/>
      <c r="AI75" s="82">
        <f t="shared" si="4"/>
        <v>12</v>
      </c>
      <c r="AJ75" s="82" t="s">
        <v>883</v>
      </c>
      <c r="AK75" s="82">
        <v>3</v>
      </c>
      <c r="AL75" s="82" t="s">
        <v>884</v>
      </c>
      <c r="AM75" s="88">
        <v>46134</v>
      </c>
      <c r="AN75" s="87"/>
      <c r="AO75" s="82" t="s">
        <v>892</v>
      </c>
      <c r="AY75" s="71"/>
    </row>
    <row r="76" spans="1:51" ht="65.25" customHeight="1" x14ac:dyDescent="0.3">
      <c r="A76" s="84">
        <v>1741</v>
      </c>
      <c r="B76" s="85" t="s">
        <v>1171</v>
      </c>
      <c r="C76" s="82" t="s">
        <v>1172</v>
      </c>
      <c r="D76" s="86">
        <v>102228000</v>
      </c>
      <c r="E76" s="82" t="s">
        <v>1173</v>
      </c>
      <c r="F76" s="82" t="str">
        <f>VLOOKUP(D76,'[1]Bến Cát'!$E$4:$F$177,2,0)</f>
        <v>11.1356813, 106.6026166</v>
      </c>
      <c r="G76" s="82" t="s">
        <v>1172</v>
      </c>
      <c r="H76" s="82" t="s">
        <v>878</v>
      </c>
      <c r="I76" s="82" t="s">
        <v>1174</v>
      </c>
      <c r="J76" s="82" t="s">
        <v>880</v>
      </c>
      <c r="K76" s="82"/>
      <c r="L76" s="82">
        <v>400</v>
      </c>
      <c r="M76" s="82">
        <f t="shared" si="1"/>
        <v>400</v>
      </c>
      <c r="N76" s="82" t="s">
        <v>91</v>
      </c>
      <c r="O76" s="82" t="s">
        <v>90</v>
      </c>
      <c r="P76" s="82" t="s">
        <v>91</v>
      </c>
      <c r="Q76" s="82" t="s">
        <v>881</v>
      </c>
      <c r="R76" s="82" t="s">
        <v>897</v>
      </c>
      <c r="S76" s="87"/>
      <c r="T76" s="87"/>
      <c r="U76" s="87"/>
      <c r="V76" s="87"/>
      <c r="W76" s="82">
        <v>10</v>
      </c>
      <c r="X76" s="87"/>
      <c r="Y76" s="82">
        <f t="shared" si="2"/>
        <v>10</v>
      </c>
      <c r="Z76" s="82">
        <v>10</v>
      </c>
      <c r="AA76" s="87"/>
      <c r="AB76" s="87"/>
      <c r="AC76" s="82">
        <f t="shared" si="3"/>
        <v>10</v>
      </c>
      <c r="AD76" s="87"/>
      <c r="AE76" s="82">
        <v>10</v>
      </c>
      <c r="AF76" s="87"/>
      <c r="AG76" s="87"/>
      <c r="AH76" s="87"/>
      <c r="AI76" s="82">
        <f t="shared" si="4"/>
        <v>10</v>
      </c>
      <c r="AJ76" s="82" t="s">
        <v>883</v>
      </c>
      <c r="AK76" s="82">
        <v>3</v>
      </c>
      <c r="AL76" s="82" t="s">
        <v>884</v>
      </c>
      <c r="AM76" s="88">
        <v>46134</v>
      </c>
      <c r="AN76" s="87"/>
      <c r="AO76" s="82" t="s">
        <v>892</v>
      </c>
      <c r="AY76" s="71"/>
    </row>
    <row r="77" spans="1:51" ht="65.25" customHeight="1" x14ac:dyDescent="0.3">
      <c r="A77" s="84">
        <v>1712</v>
      </c>
      <c r="B77" s="85" t="s">
        <v>1175</v>
      </c>
      <c r="C77" s="82" t="s">
        <v>1176</v>
      </c>
      <c r="D77" s="86">
        <v>100952000</v>
      </c>
      <c r="E77" s="82" t="s">
        <v>1177</v>
      </c>
      <c r="F77" s="82" t="str">
        <f>VLOOKUP(D77,'[1]Bến Cát'!$E$4:$F$177,2,0)</f>
        <v>11.194743865985078, 106.62940941651634</v>
      </c>
      <c r="G77" s="82" t="s">
        <v>1149</v>
      </c>
      <c r="H77" s="82" t="s">
        <v>878</v>
      </c>
      <c r="I77" s="82" t="s">
        <v>1178</v>
      </c>
      <c r="J77" s="82" t="s">
        <v>891</v>
      </c>
      <c r="K77" s="82"/>
      <c r="L77" s="82">
        <v>210</v>
      </c>
      <c r="M77" s="82">
        <f t="shared" si="1"/>
        <v>210</v>
      </c>
      <c r="N77" s="82" t="s">
        <v>90</v>
      </c>
      <c r="O77" s="82" t="s">
        <v>91</v>
      </c>
      <c r="P77" s="82" t="s">
        <v>91</v>
      </c>
      <c r="Q77" s="82" t="s">
        <v>881</v>
      </c>
      <c r="R77" s="82" t="s">
        <v>897</v>
      </c>
      <c r="S77" s="87"/>
      <c r="T77" s="87"/>
      <c r="U77" s="87"/>
      <c r="V77" s="87"/>
      <c r="W77" s="82">
        <v>7</v>
      </c>
      <c r="X77" s="87"/>
      <c r="Y77" s="82">
        <f t="shared" si="2"/>
        <v>7</v>
      </c>
      <c r="Z77" s="82">
        <v>7</v>
      </c>
      <c r="AA77" s="87"/>
      <c r="AB77" s="87"/>
      <c r="AC77" s="82">
        <f t="shared" si="3"/>
        <v>7</v>
      </c>
      <c r="AD77" s="87"/>
      <c r="AE77" s="82">
        <v>7</v>
      </c>
      <c r="AF77" s="87"/>
      <c r="AG77" s="87"/>
      <c r="AH77" s="87"/>
      <c r="AI77" s="82">
        <f t="shared" si="4"/>
        <v>7</v>
      </c>
      <c r="AJ77" s="82" t="s">
        <v>883</v>
      </c>
      <c r="AK77" s="82">
        <v>3</v>
      </c>
      <c r="AL77" s="82" t="s">
        <v>884</v>
      </c>
      <c r="AM77" s="88">
        <v>46134</v>
      </c>
      <c r="AN77" s="87"/>
      <c r="AO77" s="82" t="s">
        <v>892</v>
      </c>
      <c r="AY77" s="71"/>
    </row>
    <row r="78" spans="1:51" ht="65.25" customHeight="1" x14ac:dyDescent="0.3">
      <c r="A78" s="84" t="s">
        <v>1179</v>
      </c>
      <c r="B78" s="85" t="s">
        <v>1180</v>
      </c>
      <c r="C78" s="82" t="s">
        <v>1181</v>
      </c>
      <c r="D78" s="86">
        <v>100938000</v>
      </c>
      <c r="E78" s="82" t="s">
        <v>1182</v>
      </c>
      <c r="F78" s="82" t="str">
        <f>VLOOKUP(D78,'[1]Bến Cát'!$E$4:$F$177,2,0)</f>
        <v>11.1495126, 106.5919162</v>
      </c>
      <c r="G78" s="82" t="s">
        <v>1181</v>
      </c>
      <c r="H78" s="82" t="s">
        <v>878</v>
      </c>
      <c r="I78" s="82" t="s">
        <v>1183</v>
      </c>
      <c r="J78" s="82" t="s">
        <v>911</v>
      </c>
      <c r="K78" s="82"/>
      <c r="L78" s="82">
        <v>220</v>
      </c>
      <c r="M78" s="82">
        <f t="shared" si="1"/>
        <v>220</v>
      </c>
      <c r="N78" s="82" t="s">
        <v>91</v>
      </c>
      <c r="O78" s="82" t="s">
        <v>90</v>
      </c>
      <c r="P78" s="82" t="s">
        <v>91</v>
      </c>
      <c r="Q78" s="82" t="s">
        <v>881</v>
      </c>
      <c r="R78" s="82" t="s">
        <v>882</v>
      </c>
      <c r="S78" s="87"/>
      <c r="T78" s="87"/>
      <c r="U78" s="87"/>
      <c r="V78" s="87"/>
      <c r="W78" s="82">
        <v>5</v>
      </c>
      <c r="X78" s="82">
        <v>3</v>
      </c>
      <c r="Y78" s="82">
        <f t="shared" si="2"/>
        <v>8</v>
      </c>
      <c r="Z78" s="82">
        <v>8</v>
      </c>
      <c r="AA78" s="87"/>
      <c r="AB78" s="87"/>
      <c r="AC78" s="82">
        <f t="shared" si="3"/>
        <v>8</v>
      </c>
      <c r="AD78" s="82">
        <v>3</v>
      </c>
      <c r="AE78" s="82">
        <v>5</v>
      </c>
      <c r="AF78" s="87"/>
      <c r="AG78" s="87"/>
      <c r="AH78" s="87"/>
      <c r="AI78" s="82">
        <f t="shared" si="4"/>
        <v>8</v>
      </c>
      <c r="AJ78" s="82" t="s">
        <v>883</v>
      </c>
      <c r="AK78" s="82">
        <v>2</v>
      </c>
      <c r="AL78" s="82" t="s">
        <v>884</v>
      </c>
      <c r="AM78" s="88">
        <v>46134</v>
      </c>
      <c r="AN78" s="87"/>
      <c r="AO78" s="82" t="s">
        <v>1184</v>
      </c>
      <c r="AY78" s="71"/>
    </row>
    <row r="79" spans="1:51" ht="65.25" customHeight="1" x14ac:dyDescent="0.3">
      <c r="A79" s="84">
        <v>1740</v>
      </c>
      <c r="B79" s="85" t="s">
        <v>1185</v>
      </c>
      <c r="C79" s="82" t="s">
        <v>1186</v>
      </c>
      <c r="D79" s="86">
        <v>102229000</v>
      </c>
      <c r="E79" s="82" t="s">
        <v>1187</v>
      </c>
      <c r="F79" s="82" t="str">
        <f>VLOOKUP(D79,'[1]Bến Cát'!$E$4:$F$177,2,0)</f>
        <v>11.1378854, 106.5998999</v>
      </c>
      <c r="G79" s="82" t="s">
        <v>1186</v>
      </c>
      <c r="H79" s="82" t="s">
        <v>878</v>
      </c>
      <c r="I79" s="82" t="s">
        <v>1188</v>
      </c>
      <c r="J79" s="82" t="s">
        <v>891</v>
      </c>
      <c r="K79" s="82">
        <v>1600</v>
      </c>
      <c r="L79" s="82"/>
      <c r="M79" s="82">
        <f t="shared" si="1"/>
        <v>1600</v>
      </c>
      <c r="N79" s="82" t="s">
        <v>91</v>
      </c>
      <c r="O79" s="82" t="s">
        <v>90</v>
      </c>
      <c r="P79" s="82" t="s">
        <v>91</v>
      </c>
      <c r="Q79" s="82" t="s">
        <v>881</v>
      </c>
      <c r="R79" s="82" t="s">
        <v>897</v>
      </c>
      <c r="S79" s="87"/>
      <c r="T79" s="87"/>
      <c r="U79" s="87"/>
      <c r="V79" s="87"/>
      <c r="W79" s="82">
        <v>40</v>
      </c>
      <c r="X79" s="87"/>
      <c r="Y79" s="82">
        <f t="shared" si="2"/>
        <v>40</v>
      </c>
      <c r="Z79" s="87"/>
      <c r="AA79" s="82">
        <v>40</v>
      </c>
      <c r="AB79" s="87"/>
      <c r="AC79" s="82">
        <f t="shared" si="3"/>
        <v>40</v>
      </c>
      <c r="AD79" s="82">
        <v>40</v>
      </c>
      <c r="AE79" s="87"/>
      <c r="AF79" s="87"/>
      <c r="AG79" s="87"/>
      <c r="AH79" s="87"/>
      <c r="AI79" s="82">
        <f t="shared" si="4"/>
        <v>40</v>
      </c>
      <c r="AJ79" s="82" t="s">
        <v>943</v>
      </c>
      <c r="AK79" s="82">
        <v>3</v>
      </c>
      <c r="AL79" s="82" t="s">
        <v>884</v>
      </c>
      <c r="AM79" s="88">
        <v>46134</v>
      </c>
      <c r="AN79" s="87"/>
      <c r="AO79" s="82" t="s">
        <v>892</v>
      </c>
      <c r="AY79" s="71"/>
    </row>
    <row r="80" spans="1:51" ht="65.25" customHeight="1" x14ac:dyDescent="0.3">
      <c r="A80" s="84">
        <v>1742</v>
      </c>
      <c r="B80" s="85" t="s">
        <v>1189</v>
      </c>
      <c r="C80" s="82" t="s">
        <v>1190</v>
      </c>
      <c r="D80" s="86">
        <v>102164000</v>
      </c>
      <c r="E80" s="82" t="s">
        <v>1191</v>
      </c>
      <c r="F80" s="82" t="str">
        <f>VLOOKUP(D80,'[1]Bến Cát'!$E$4:$F$177,2,0)</f>
        <v>11.13459111538605, 106.60546835573082</v>
      </c>
      <c r="G80" s="82" t="s">
        <v>1190</v>
      </c>
      <c r="H80" s="82" t="s">
        <v>878</v>
      </c>
      <c r="I80" s="82" t="s">
        <v>1192</v>
      </c>
      <c r="J80" s="82" t="s">
        <v>911</v>
      </c>
      <c r="K80" s="82"/>
      <c r="L80" s="82">
        <v>450</v>
      </c>
      <c r="M80" s="82">
        <f t="shared" si="1"/>
        <v>450</v>
      </c>
      <c r="N80" s="82" t="s">
        <v>91</v>
      </c>
      <c r="O80" s="82" t="s">
        <v>90</v>
      </c>
      <c r="P80" s="82" t="s">
        <v>91</v>
      </c>
      <c r="Q80" s="82" t="s">
        <v>881</v>
      </c>
      <c r="R80" s="82" t="s">
        <v>897</v>
      </c>
      <c r="S80" s="87"/>
      <c r="T80" s="87"/>
      <c r="U80" s="87"/>
      <c r="V80" s="87"/>
      <c r="W80" s="82">
        <v>11</v>
      </c>
      <c r="X80" s="87"/>
      <c r="Y80" s="82">
        <f t="shared" si="2"/>
        <v>11</v>
      </c>
      <c r="Z80" s="82">
        <v>11</v>
      </c>
      <c r="AA80" s="87"/>
      <c r="AB80" s="87"/>
      <c r="AC80" s="82">
        <f t="shared" si="3"/>
        <v>11</v>
      </c>
      <c r="AD80" s="87"/>
      <c r="AE80" s="82">
        <v>11</v>
      </c>
      <c r="AF80" s="87"/>
      <c r="AG80" s="87"/>
      <c r="AH80" s="87"/>
      <c r="AI80" s="82">
        <f t="shared" si="4"/>
        <v>11</v>
      </c>
      <c r="AJ80" s="82" t="s">
        <v>883</v>
      </c>
      <c r="AK80" s="82">
        <v>2</v>
      </c>
      <c r="AL80" s="82" t="s">
        <v>884</v>
      </c>
      <c r="AM80" s="88">
        <v>46135</v>
      </c>
      <c r="AN80" s="87"/>
      <c r="AO80" s="82" t="s">
        <v>892</v>
      </c>
      <c r="AY80" s="71"/>
    </row>
    <row r="81" spans="1:51" ht="65.25" customHeight="1" x14ac:dyDescent="0.3">
      <c r="A81" s="84">
        <v>1791</v>
      </c>
      <c r="B81" s="85" t="s">
        <v>1193</v>
      </c>
      <c r="C81" s="82" t="s">
        <v>1194</v>
      </c>
      <c r="D81" s="86">
        <v>100939000</v>
      </c>
      <c r="E81" s="82" t="s">
        <v>1195</v>
      </c>
      <c r="F81" s="82" t="str">
        <f>VLOOKUP(D81,'[1]Bến Cát'!$E$4:$F$177,2,0)</f>
        <v>11.1507476, 106.59561</v>
      </c>
      <c r="G81" s="82" t="s">
        <v>1194</v>
      </c>
      <c r="H81" s="82" t="s">
        <v>878</v>
      </c>
      <c r="I81" s="82" t="s">
        <v>1196</v>
      </c>
      <c r="J81" s="82" t="s">
        <v>880</v>
      </c>
      <c r="K81" s="82"/>
      <c r="L81" s="82">
        <v>60</v>
      </c>
      <c r="M81" s="82">
        <f t="shared" si="1"/>
        <v>60</v>
      </c>
      <c r="N81" s="82" t="s">
        <v>91</v>
      </c>
      <c r="O81" s="82" t="s">
        <v>90</v>
      </c>
      <c r="P81" s="82" t="s">
        <v>91</v>
      </c>
      <c r="Q81" s="82" t="s">
        <v>1197</v>
      </c>
      <c r="R81" s="82" t="s">
        <v>882</v>
      </c>
      <c r="S81" s="87"/>
      <c r="T81" s="87"/>
      <c r="U81" s="87"/>
      <c r="V81" s="82">
        <v>3</v>
      </c>
      <c r="W81" s="87"/>
      <c r="X81" s="87"/>
      <c r="Y81" s="82">
        <f t="shared" si="2"/>
        <v>3</v>
      </c>
      <c r="Z81" s="82">
        <v>3</v>
      </c>
      <c r="AA81" s="87"/>
      <c r="AB81" s="87"/>
      <c r="AC81" s="82">
        <f t="shared" si="3"/>
        <v>3</v>
      </c>
      <c r="AD81" s="87"/>
      <c r="AE81" s="82">
        <v>3</v>
      </c>
      <c r="AF81" s="87"/>
      <c r="AG81" s="87"/>
      <c r="AH81" s="87"/>
      <c r="AI81" s="82">
        <f t="shared" si="4"/>
        <v>3</v>
      </c>
      <c r="AJ81" s="82" t="s">
        <v>883</v>
      </c>
      <c r="AK81" s="82">
        <v>2</v>
      </c>
      <c r="AL81" s="82" t="s">
        <v>884</v>
      </c>
      <c r="AM81" s="88">
        <v>46135</v>
      </c>
      <c r="AN81" s="87"/>
      <c r="AO81" s="82" t="s">
        <v>885</v>
      </c>
      <c r="AY81" s="71"/>
    </row>
    <row r="82" spans="1:51" ht="65.25" customHeight="1" x14ac:dyDescent="0.3">
      <c r="A82" s="84">
        <v>1743</v>
      </c>
      <c r="B82" s="85" t="s">
        <v>1198</v>
      </c>
      <c r="C82" s="82" t="s">
        <v>1199</v>
      </c>
      <c r="D82" s="86">
        <v>102165000</v>
      </c>
      <c r="E82" s="82" t="s">
        <v>1200</v>
      </c>
      <c r="F82" s="82" t="str">
        <f>VLOOKUP(D82,'[1]Bến Cát'!$E$4:$F$177,2,0)</f>
        <v>11.135090015919635, 106.60511606558539</v>
      </c>
      <c r="G82" s="82" t="s">
        <v>1199</v>
      </c>
      <c r="H82" s="82" t="s">
        <v>878</v>
      </c>
      <c r="I82" s="82" t="s">
        <v>1201</v>
      </c>
      <c r="J82" s="82" t="s">
        <v>891</v>
      </c>
      <c r="K82" s="82"/>
      <c r="L82" s="82">
        <v>230</v>
      </c>
      <c r="M82" s="82">
        <f t="shared" si="1"/>
        <v>230</v>
      </c>
      <c r="N82" s="82" t="s">
        <v>91</v>
      </c>
      <c r="O82" s="82" t="s">
        <v>90</v>
      </c>
      <c r="P82" s="82" t="s">
        <v>91</v>
      </c>
      <c r="Q82" s="82" t="s">
        <v>881</v>
      </c>
      <c r="R82" s="82" t="s">
        <v>897</v>
      </c>
      <c r="S82" s="87"/>
      <c r="T82" s="87"/>
      <c r="U82" s="87"/>
      <c r="V82" s="87"/>
      <c r="W82" s="82">
        <v>7</v>
      </c>
      <c r="X82" s="87"/>
      <c r="Y82" s="82">
        <f t="shared" si="2"/>
        <v>7</v>
      </c>
      <c r="Z82" s="82">
        <v>7</v>
      </c>
      <c r="AA82" s="87"/>
      <c r="AB82" s="87"/>
      <c r="AC82" s="82">
        <f t="shared" si="3"/>
        <v>7</v>
      </c>
      <c r="AD82" s="87"/>
      <c r="AE82" s="82">
        <v>7</v>
      </c>
      <c r="AF82" s="87"/>
      <c r="AG82" s="87"/>
      <c r="AH82" s="87"/>
      <c r="AI82" s="82">
        <f t="shared" si="4"/>
        <v>7</v>
      </c>
      <c r="AJ82" s="82" t="s">
        <v>883</v>
      </c>
      <c r="AK82" s="82">
        <v>2</v>
      </c>
      <c r="AL82" s="82" t="s">
        <v>884</v>
      </c>
      <c r="AM82" s="88">
        <v>46135</v>
      </c>
      <c r="AN82" s="87"/>
      <c r="AO82" s="82" t="s">
        <v>892</v>
      </c>
      <c r="AY82" s="71"/>
    </row>
    <row r="83" spans="1:51" ht="65.25" customHeight="1" x14ac:dyDescent="0.3">
      <c r="A83" s="84">
        <v>1744</v>
      </c>
      <c r="B83" s="85" t="s">
        <v>1202</v>
      </c>
      <c r="C83" s="82" t="s">
        <v>1203</v>
      </c>
      <c r="D83" s="86">
        <v>102166000</v>
      </c>
      <c r="E83" s="82" t="s">
        <v>1204</v>
      </c>
      <c r="F83" s="82" t="str">
        <f>VLOOKUP(D83,'[1]Bến Cát'!$E$4:$F$177,2,0)</f>
        <v>11.136344137673486, 106.60485842383508</v>
      </c>
      <c r="G83" s="82" t="s">
        <v>1203</v>
      </c>
      <c r="H83" s="82" t="s">
        <v>878</v>
      </c>
      <c r="I83" s="82" t="s">
        <v>1201</v>
      </c>
      <c r="J83" s="82" t="s">
        <v>891</v>
      </c>
      <c r="K83" s="82"/>
      <c r="L83" s="82">
        <v>245</v>
      </c>
      <c r="M83" s="82">
        <f t="shared" si="1"/>
        <v>245</v>
      </c>
      <c r="N83" s="82" t="s">
        <v>91</v>
      </c>
      <c r="O83" s="82" t="s">
        <v>90</v>
      </c>
      <c r="P83" s="82" t="s">
        <v>91</v>
      </c>
      <c r="Q83" s="82" t="s">
        <v>881</v>
      </c>
      <c r="R83" s="82" t="s">
        <v>897</v>
      </c>
      <c r="S83" s="87"/>
      <c r="T83" s="87"/>
      <c r="U83" s="87"/>
      <c r="V83" s="87"/>
      <c r="W83" s="82">
        <v>8</v>
      </c>
      <c r="X83" s="87"/>
      <c r="Y83" s="82">
        <f t="shared" si="2"/>
        <v>8</v>
      </c>
      <c r="Z83" s="82">
        <v>8</v>
      </c>
      <c r="AA83" s="87"/>
      <c r="AB83" s="87"/>
      <c r="AC83" s="82">
        <f t="shared" si="3"/>
        <v>8</v>
      </c>
      <c r="AD83" s="87"/>
      <c r="AE83" s="82">
        <v>8</v>
      </c>
      <c r="AF83" s="87"/>
      <c r="AG83" s="87"/>
      <c r="AH83" s="87"/>
      <c r="AI83" s="82">
        <f t="shared" si="4"/>
        <v>8</v>
      </c>
      <c r="AJ83" s="82" t="s">
        <v>883</v>
      </c>
      <c r="AK83" s="82">
        <v>2</v>
      </c>
      <c r="AL83" s="82" t="s">
        <v>884</v>
      </c>
      <c r="AM83" s="88">
        <v>46135</v>
      </c>
      <c r="AN83" s="87"/>
      <c r="AO83" s="82" t="s">
        <v>892</v>
      </c>
      <c r="AY83" s="71"/>
    </row>
    <row r="84" spans="1:51" ht="65.25" customHeight="1" x14ac:dyDescent="0.3">
      <c r="A84" s="84">
        <v>1790</v>
      </c>
      <c r="B84" s="85" t="s">
        <v>1205</v>
      </c>
      <c r="C84" s="82" t="s">
        <v>1206</v>
      </c>
      <c r="D84" s="86">
        <v>100940000</v>
      </c>
      <c r="E84" s="82" t="s">
        <v>1207</v>
      </c>
      <c r="F84" s="82" t="str">
        <f>VLOOKUP(D84,'[1]Bến Cát'!$E$4:$F$177,2,0)</f>
        <v>11.1505694, 106.5953095</v>
      </c>
      <c r="G84" s="82" t="s">
        <v>1206</v>
      </c>
      <c r="H84" s="82" t="s">
        <v>878</v>
      </c>
      <c r="I84" s="82" t="s">
        <v>1208</v>
      </c>
      <c r="J84" s="82" t="s">
        <v>880</v>
      </c>
      <c r="K84" s="82"/>
      <c r="L84" s="82">
        <v>90</v>
      </c>
      <c r="M84" s="82">
        <f t="shared" si="1"/>
        <v>90</v>
      </c>
      <c r="N84" s="82" t="s">
        <v>91</v>
      </c>
      <c r="O84" s="82" t="s">
        <v>90</v>
      </c>
      <c r="P84" s="82" t="s">
        <v>91</v>
      </c>
      <c r="Q84" s="82" t="s">
        <v>1197</v>
      </c>
      <c r="R84" s="82" t="s">
        <v>882</v>
      </c>
      <c r="S84" s="87"/>
      <c r="T84" s="87"/>
      <c r="U84" s="87"/>
      <c r="V84" s="82">
        <v>3</v>
      </c>
      <c r="W84" s="87"/>
      <c r="X84" s="87"/>
      <c r="Y84" s="82">
        <f t="shared" si="2"/>
        <v>3</v>
      </c>
      <c r="Z84" s="82">
        <v>3</v>
      </c>
      <c r="AA84" s="87"/>
      <c r="AB84" s="87"/>
      <c r="AC84" s="82">
        <f t="shared" si="3"/>
        <v>3</v>
      </c>
      <c r="AD84" s="82">
        <v>3</v>
      </c>
      <c r="AE84" s="87"/>
      <c r="AF84" s="87"/>
      <c r="AG84" s="87"/>
      <c r="AH84" s="87"/>
      <c r="AI84" s="82">
        <f t="shared" si="4"/>
        <v>3</v>
      </c>
      <c r="AJ84" s="82" t="s">
        <v>883</v>
      </c>
      <c r="AK84" s="82">
        <v>2</v>
      </c>
      <c r="AL84" s="82" t="s">
        <v>884</v>
      </c>
      <c r="AM84" s="88">
        <v>46135</v>
      </c>
      <c r="AN84" s="87"/>
      <c r="AO84" s="82" t="s">
        <v>885</v>
      </c>
      <c r="AY84" s="71"/>
    </row>
    <row r="85" spans="1:51" ht="65.25" customHeight="1" x14ac:dyDescent="0.3">
      <c r="A85" s="84">
        <v>1745</v>
      </c>
      <c r="B85" s="85" t="s">
        <v>1209</v>
      </c>
      <c r="C85" s="82" t="s">
        <v>1210</v>
      </c>
      <c r="D85" s="86">
        <v>102617000</v>
      </c>
      <c r="E85" s="82" t="s">
        <v>1211</v>
      </c>
      <c r="F85" s="82" t="s">
        <v>1626</v>
      </c>
      <c r="G85" s="82" t="s">
        <v>1210</v>
      </c>
      <c r="H85" s="82" t="s">
        <v>878</v>
      </c>
      <c r="I85" s="82" t="s">
        <v>1212</v>
      </c>
      <c r="J85" s="82" t="s">
        <v>891</v>
      </c>
      <c r="K85" s="82"/>
      <c r="L85" s="82">
        <v>210</v>
      </c>
      <c r="M85" s="82">
        <f t="shared" si="1"/>
        <v>210</v>
      </c>
      <c r="N85" s="82" t="s">
        <v>91</v>
      </c>
      <c r="O85" s="82" t="s">
        <v>90</v>
      </c>
      <c r="P85" s="82" t="s">
        <v>91</v>
      </c>
      <c r="Q85" s="82" t="s">
        <v>881</v>
      </c>
      <c r="R85" s="82" t="s">
        <v>897</v>
      </c>
      <c r="S85" s="87"/>
      <c r="T85" s="87"/>
      <c r="U85" s="87"/>
      <c r="V85" s="87"/>
      <c r="W85" s="82">
        <v>7</v>
      </c>
      <c r="X85" s="87"/>
      <c r="Y85" s="82">
        <f t="shared" si="2"/>
        <v>7</v>
      </c>
      <c r="Z85" s="82">
        <v>7</v>
      </c>
      <c r="AA85" s="87"/>
      <c r="AB85" s="87"/>
      <c r="AC85" s="82">
        <f t="shared" si="3"/>
        <v>7</v>
      </c>
      <c r="AD85" s="87"/>
      <c r="AE85" s="82">
        <v>7</v>
      </c>
      <c r="AF85" s="87"/>
      <c r="AG85" s="87"/>
      <c r="AH85" s="87"/>
      <c r="AI85" s="82">
        <f t="shared" si="4"/>
        <v>7</v>
      </c>
      <c r="AJ85" s="82" t="s">
        <v>883</v>
      </c>
      <c r="AK85" s="82">
        <v>2</v>
      </c>
      <c r="AL85" s="82" t="s">
        <v>884</v>
      </c>
      <c r="AM85" s="88">
        <v>46135</v>
      </c>
      <c r="AN85" s="87"/>
      <c r="AO85" s="82" t="s">
        <v>892</v>
      </c>
      <c r="AY85" s="71"/>
    </row>
    <row r="86" spans="1:51" ht="65.25" customHeight="1" x14ac:dyDescent="0.3">
      <c r="A86" s="84">
        <v>1669</v>
      </c>
      <c r="B86" s="85" t="s">
        <v>1213</v>
      </c>
      <c r="C86" s="82" t="s">
        <v>1214</v>
      </c>
      <c r="D86" s="86">
        <v>100954000</v>
      </c>
      <c r="E86" s="82" t="s">
        <v>1215</v>
      </c>
      <c r="F86" s="82" t="str">
        <f>VLOOKUP(D86,'[1]Bến Cát'!$E$4:$F$177,2,0)</f>
        <v>11.19831480442755, 106.60706285371407</v>
      </c>
      <c r="G86" s="82" t="s">
        <v>1214</v>
      </c>
      <c r="H86" s="82" t="s">
        <v>878</v>
      </c>
      <c r="I86" s="82" t="s">
        <v>1216</v>
      </c>
      <c r="J86" s="82" t="s">
        <v>1217</v>
      </c>
      <c r="K86" s="82"/>
      <c r="L86" s="82">
        <v>960</v>
      </c>
      <c r="M86" s="82">
        <f t="shared" si="1"/>
        <v>960</v>
      </c>
      <c r="N86" s="82" t="s">
        <v>91</v>
      </c>
      <c r="O86" s="82" t="s">
        <v>90</v>
      </c>
      <c r="P86" s="82" t="s">
        <v>91</v>
      </c>
      <c r="Q86" s="82" t="s">
        <v>881</v>
      </c>
      <c r="R86" s="82" t="s">
        <v>897</v>
      </c>
      <c r="S86" s="87"/>
      <c r="T86" s="87"/>
      <c r="U86" s="87"/>
      <c r="V86" s="87"/>
      <c r="W86" s="82">
        <v>19</v>
      </c>
      <c r="X86" s="87"/>
      <c r="Y86" s="82">
        <f t="shared" si="2"/>
        <v>19</v>
      </c>
      <c r="Z86" s="82">
        <v>19</v>
      </c>
      <c r="AA86" s="87"/>
      <c r="AB86" s="87"/>
      <c r="AC86" s="82">
        <f t="shared" si="3"/>
        <v>19</v>
      </c>
      <c r="AD86" s="87"/>
      <c r="AE86" s="82">
        <v>19</v>
      </c>
      <c r="AF86" s="87"/>
      <c r="AG86" s="87"/>
      <c r="AH86" s="87"/>
      <c r="AI86" s="82">
        <f t="shared" si="4"/>
        <v>19</v>
      </c>
      <c r="AJ86" s="82" t="s">
        <v>883</v>
      </c>
      <c r="AK86" s="82">
        <v>2</v>
      </c>
      <c r="AL86" s="82" t="s">
        <v>884</v>
      </c>
      <c r="AM86" s="88">
        <v>46135</v>
      </c>
      <c r="AN86" s="82" t="s">
        <v>1218</v>
      </c>
      <c r="AO86" s="82" t="s">
        <v>892</v>
      </c>
      <c r="AY86" s="71"/>
    </row>
    <row r="87" spans="1:51" ht="65.25" customHeight="1" x14ac:dyDescent="0.3">
      <c r="A87" s="84">
        <v>1807</v>
      </c>
      <c r="B87" s="85" t="s">
        <v>1219</v>
      </c>
      <c r="C87" s="82" t="s">
        <v>1220</v>
      </c>
      <c r="D87" s="86">
        <v>100953000</v>
      </c>
      <c r="E87" s="82" t="s">
        <v>1221</v>
      </c>
      <c r="F87" s="82" t="str">
        <f>VLOOKUP(D87,'[1]Bến Cát'!$E$4:$F$177,2,0)</f>
        <v>11.180048594793364, 106.6102754852669</v>
      </c>
      <c r="G87" s="82" t="s">
        <v>1222</v>
      </c>
      <c r="H87" s="82" t="s">
        <v>878</v>
      </c>
      <c r="I87" s="82" t="s">
        <v>1223</v>
      </c>
      <c r="J87" s="82" t="s">
        <v>891</v>
      </c>
      <c r="K87" s="82"/>
      <c r="L87" s="82">
        <v>1750</v>
      </c>
      <c r="M87" s="82">
        <f t="shared" si="1"/>
        <v>1750</v>
      </c>
      <c r="N87" s="82" t="s">
        <v>91</v>
      </c>
      <c r="O87" s="82" t="s">
        <v>90</v>
      </c>
      <c r="P87" s="82" t="s">
        <v>91</v>
      </c>
      <c r="Q87" s="82" t="s">
        <v>881</v>
      </c>
      <c r="R87" s="82" t="s">
        <v>882</v>
      </c>
      <c r="S87" s="87"/>
      <c r="T87" s="87"/>
      <c r="U87" s="82">
        <v>27</v>
      </c>
      <c r="V87" s="87"/>
      <c r="W87" s="87"/>
      <c r="X87" s="87"/>
      <c r="Y87" s="82">
        <f t="shared" si="2"/>
        <v>27</v>
      </c>
      <c r="Z87" s="82">
        <v>27</v>
      </c>
      <c r="AA87" s="87"/>
      <c r="AB87" s="87"/>
      <c r="AC87" s="82">
        <f t="shared" si="3"/>
        <v>27</v>
      </c>
      <c r="AD87" s="87"/>
      <c r="AE87" s="82">
        <v>27</v>
      </c>
      <c r="AF87" s="87"/>
      <c r="AG87" s="87"/>
      <c r="AH87" s="87"/>
      <c r="AI87" s="82">
        <f t="shared" si="4"/>
        <v>27</v>
      </c>
      <c r="AJ87" s="82" t="s">
        <v>883</v>
      </c>
      <c r="AK87" s="82">
        <v>3</v>
      </c>
      <c r="AL87" s="82" t="s">
        <v>884</v>
      </c>
      <c r="AM87" s="88">
        <v>46135</v>
      </c>
      <c r="AN87" s="87"/>
      <c r="AO87" s="82" t="s">
        <v>885</v>
      </c>
      <c r="AY87" s="71"/>
    </row>
    <row r="88" spans="1:51" ht="65.25" customHeight="1" x14ac:dyDescent="0.3">
      <c r="A88" s="84">
        <v>1807</v>
      </c>
      <c r="B88" s="85" t="s">
        <v>1224</v>
      </c>
      <c r="C88" s="82" t="s">
        <v>1225</v>
      </c>
      <c r="D88" s="86">
        <v>102052000</v>
      </c>
      <c r="E88" s="82" t="s">
        <v>895</v>
      </c>
      <c r="F88" s="82" t="str">
        <f>VLOOKUP(D88,'[1]Bến Cát'!$E$4:$F$177,2,0)</f>
        <v>11.183175321419446, 106.62606501263701</v>
      </c>
      <c r="G88" s="82" t="s">
        <v>1222</v>
      </c>
      <c r="H88" s="82" t="s">
        <v>878</v>
      </c>
      <c r="I88" s="82" t="s">
        <v>896</v>
      </c>
      <c r="J88" s="82" t="s">
        <v>891</v>
      </c>
      <c r="K88" s="82"/>
      <c r="L88" s="82">
        <v>1960</v>
      </c>
      <c r="M88" s="82">
        <f t="shared" si="1"/>
        <v>1960</v>
      </c>
      <c r="N88" s="82" t="s">
        <v>91</v>
      </c>
      <c r="O88" s="82" t="s">
        <v>90</v>
      </c>
      <c r="P88" s="82" t="s">
        <v>91</v>
      </c>
      <c r="Q88" s="82" t="s">
        <v>881</v>
      </c>
      <c r="R88" s="82" t="s">
        <v>897</v>
      </c>
      <c r="S88" s="87"/>
      <c r="T88" s="87"/>
      <c r="U88" s="82">
        <v>28</v>
      </c>
      <c r="V88" s="87"/>
      <c r="W88" s="87"/>
      <c r="X88" s="87"/>
      <c r="Y88" s="82">
        <f t="shared" si="2"/>
        <v>28</v>
      </c>
      <c r="Z88" s="82">
        <v>28</v>
      </c>
      <c r="AA88" s="87"/>
      <c r="AB88" s="87"/>
      <c r="AC88" s="82">
        <f t="shared" si="3"/>
        <v>28</v>
      </c>
      <c r="AD88" s="87"/>
      <c r="AE88" s="82">
        <v>28</v>
      </c>
      <c r="AF88" s="87"/>
      <c r="AG88" s="87"/>
      <c r="AH88" s="87"/>
      <c r="AI88" s="82">
        <f t="shared" si="4"/>
        <v>28</v>
      </c>
      <c r="AJ88" s="82" t="s">
        <v>883</v>
      </c>
      <c r="AK88" s="82">
        <v>3</v>
      </c>
      <c r="AL88" s="82" t="s">
        <v>884</v>
      </c>
      <c r="AM88" s="88">
        <v>46135</v>
      </c>
      <c r="AN88" s="87"/>
      <c r="AO88" s="82" t="s">
        <v>892</v>
      </c>
      <c r="AY88" s="71"/>
    </row>
    <row r="89" spans="1:51" ht="65.25" customHeight="1" x14ac:dyDescent="0.3">
      <c r="A89" s="84">
        <v>1789</v>
      </c>
      <c r="B89" s="85" t="s">
        <v>1226</v>
      </c>
      <c r="C89" s="82" t="s">
        <v>1227</v>
      </c>
      <c r="D89" s="86">
        <v>100941000</v>
      </c>
      <c r="E89" s="82" t="s">
        <v>1228</v>
      </c>
      <c r="F89" s="82" t="str">
        <f>VLOOKUP(D89,'[1]Bến Cát'!$E$4:$F$177,2,0)</f>
        <v>11.1542689, 106.5910606</v>
      </c>
      <c r="G89" s="82" t="s">
        <v>1227</v>
      </c>
      <c r="H89" s="82" t="s">
        <v>878</v>
      </c>
      <c r="I89" s="82" t="s">
        <v>1229</v>
      </c>
      <c r="J89" s="82" t="s">
        <v>880</v>
      </c>
      <c r="K89" s="82"/>
      <c r="L89" s="82">
        <v>40</v>
      </c>
      <c r="M89" s="82">
        <f t="shared" si="1"/>
        <v>40</v>
      </c>
      <c r="N89" s="82" t="s">
        <v>91</v>
      </c>
      <c r="O89" s="82" t="s">
        <v>91</v>
      </c>
      <c r="P89" s="82" t="s">
        <v>91</v>
      </c>
      <c r="Q89" s="87"/>
      <c r="R89" s="87"/>
      <c r="S89" s="87"/>
      <c r="T89" s="87"/>
      <c r="U89" s="87"/>
      <c r="V89" s="87"/>
      <c r="W89" s="82">
        <v>3</v>
      </c>
      <c r="X89" s="87"/>
      <c r="Y89" s="82">
        <f t="shared" si="2"/>
        <v>3</v>
      </c>
      <c r="Z89" s="82">
        <v>2</v>
      </c>
      <c r="AA89" s="87"/>
      <c r="AB89" s="87"/>
      <c r="AC89" s="82">
        <f t="shared" si="3"/>
        <v>2</v>
      </c>
      <c r="AD89" s="87"/>
      <c r="AE89" s="82">
        <v>1</v>
      </c>
      <c r="AF89" s="82">
        <v>1</v>
      </c>
      <c r="AG89" s="87"/>
      <c r="AH89" s="87"/>
      <c r="AI89" s="82">
        <f t="shared" si="4"/>
        <v>2</v>
      </c>
      <c r="AJ89" s="82" t="s">
        <v>883</v>
      </c>
      <c r="AK89" s="82">
        <v>2</v>
      </c>
      <c r="AL89" s="82" t="s">
        <v>884</v>
      </c>
      <c r="AM89" s="88">
        <v>46135</v>
      </c>
      <c r="AN89" s="82" t="s">
        <v>1230</v>
      </c>
      <c r="AO89" s="82" t="s">
        <v>1184</v>
      </c>
      <c r="AY89" s="71"/>
    </row>
    <row r="90" spans="1:51" ht="65.25" customHeight="1" x14ac:dyDescent="0.3">
      <c r="A90" s="84">
        <v>1792</v>
      </c>
      <c r="B90" s="85" t="s">
        <v>1231</v>
      </c>
      <c r="C90" s="82" t="s">
        <v>1232</v>
      </c>
      <c r="D90" s="86">
        <v>102167000</v>
      </c>
      <c r="E90" s="82" t="s">
        <v>1233</v>
      </c>
      <c r="F90" s="82" t="str">
        <f>VLOOKUP(D90,'[1]Bến Cát'!$E$4:$F$177,2,0)</f>
        <v>11.14300766819793, 106.60288396756374</v>
      </c>
      <c r="G90" s="82" t="s">
        <v>1232</v>
      </c>
      <c r="H90" s="82" t="s">
        <v>878</v>
      </c>
      <c r="I90" s="82" t="s">
        <v>1234</v>
      </c>
      <c r="J90" s="82" t="s">
        <v>880</v>
      </c>
      <c r="K90" s="82"/>
      <c r="L90" s="82">
        <v>320</v>
      </c>
      <c r="M90" s="82">
        <f t="shared" si="1"/>
        <v>320</v>
      </c>
      <c r="N90" s="82" t="s">
        <v>91</v>
      </c>
      <c r="O90" s="82" t="s">
        <v>90</v>
      </c>
      <c r="P90" s="82" t="s">
        <v>91</v>
      </c>
      <c r="Q90" s="82" t="s">
        <v>881</v>
      </c>
      <c r="R90" s="82" t="s">
        <v>882</v>
      </c>
      <c r="S90" s="87"/>
      <c r="T90" s="87"/>
      <c r="U90" s="87"/>
      <c r="V90" s="87"/>
      <c r="W90" s="82">
        <v>8</v>
      </c>
      <c r="X90" s="87"/>
      <c r="Y90" s="82">
        <f t="shared" si="2"/>
        <v>8</v>
      </c>
      <c r="Z90" s="82">
        <v>8</v>
      </c>
      <c r="AA90" s="87"/>
      <c r="AB90" s="87"/>
      <c r="AC90" s="82">
        <f t="shared" si="3"/>
        <v>8</v>
      </c>
      <c r="AD90" s="87"/>
      <c r="AE90" s="82">
        <v>8</v>
      </c>
      <c r="AF90" s="87"/>
      <c r="AG90" s="87"/>
      <c r="AH90" s="87"/>
      <c r="AI90" s="82">
        <f t="shared" si="4"/>
        <v>8</v>
      </c>
      <c r="AJ90" s="82" t="s">
        <v>883</v>
      </c>
      <c r="AK90" s="82">
        <v>3</v>
      </c>
      <c r="AL90" s="82" t="s">
        <v>884</v>
      </c>
      <c r="AM90" s="88">
        <v>46135</v>
      </c>
      <c r="AN90" s="87"/>
      <c r="AO90" s="82" t="s">
        <v>885</v>
      </c>
      <c r="AY90" s="71"/>
    </row>
    <row r="91" spans="1:51" ht="65.25" customHeight="1" x14ac:dyDescent="0.3">
      <c r="A91" s="84">
        <v>1788</v>
      </c>
      <c r="B91" s="85" t="s">
        <v>1235</v>
      </c>
      <c r="C91" s="82" t="s">
        <v>1236</v>
      </c>
      <c r="D91" s="86">
        <v>100942000</v>
      </c>
      <c r="E91" s="82" t="s">
        <v>1237</v>
      </c>
      <c r="F91" s="82" t="str">
        <f>VLOOKUP(D91,'[1]Bến Cát'!$E$4:$F$177,2,0)</f>
        <v>11.1548829, 106.5910877</v>
      </c>
      <c r="G91" s="82" t="s">
        <v>1236</v>
      </c>
      <c r="H91" s="82" t="s">
        <v>878</v>
      </c>
      <c r="I91" s="82" t="s">
        <v>1238</v>
      </c>
      <c r="J91" s="82" t="s">
        <v>880</v>
      </c>
      <c r="K91" s="82"/>
      <c r="L91" s="82">
        <v>180</v>
      </c>
      <c r="M91" s="82">
        <f t="shared" si="1"/>
        <v>180</v>
      </c>
      <c r="N91" s="82" t="s">
        <v>90</v>
      </c>
      <c r="O91" s="82" t="s">
        <v>91</v>
      </c>
      <c r="P91" s="82" t="s">
        <v>91</v>
      </c>
      <c r="Q91" s="82" t="s">
        <v>1197</v>
      </c>
      <c r="R91" s="82" t="s">
        <v>882</v>
      </c>
      <c r="S91" s="87"/>
      <c r="T91" s="87"/>
      <c r="U91" s="87"/>
      <c r="V91" s="82">
        <v>11</v>
      </c>
      <c r="W91" s="87"/>
      <c r="X91" s="87"/>
      <c r="Y91" s="82">
        <f t="shared" si="2"/>
        <v>11</v>
      </c>
      <c r="Z91" s="82">
        <v>11</v>
      </c>
      <c r="AA91" s="87"/>
      <c r="AB91" s="87"/>
      <c r="AC91" s="82">
        <f t="shared" si="3"/>
        <v>11</v>
      </c>
      <c r="AD91" s="82">
        <v>11</v>
      </c>
      <c r="AE91" s="87"/>
      <c r="AF91" s="87"/>
      <c r="AG91" s="87"/>
      <c r="AH91" s="87"/>
      <c r="AI91" s="82">
        <f t="shared" si="4"/>
        <v>11</v>
      </c>
      <c r="AJ91" s="82" t="s">
        <v>883</v>
      </c>
      <c r="AK91" s="82">
        <v>2</v>
      </c>
      <c r="AL91" s="82" t="s">
        <v>884</v>
      </c>
      <c r="AM91" s="88">
        <v>46135</v>
      </c>
      <c r="AN91" s="87"/>
      <c r="AO91" s="82" t="s">
        <v>885</v>
      </c>
      <c r="AY91" s="71"/>
    </row>
    <row r="92" spans="1:51" ht="65.25" customHeight="1" x14ac:dyDescent="0.3">
      <c r="A92" s="84">
        <v>1673</v>
      </c>
      <c r="B92" s="85" t="s">
        <v>1239</v>
      </c>
      <c r="C92" s="82" t="s">
        <v>1240</v>
      </c>
      <c r="D92" s="86">
        <v>100955000</v>
      </c>
      <c r="E92" s="82" t="s">
        <v>1241</v>
      </c>
      <c r="F92" s="82" t="str">
        <f>VLOOKUP(D92,'[1]Bến Cát'!$E$4:$F$177,2,0)</f>
        <v>11.199729374032994, 106.61044211233386</v>
      </c>
      <c r="G92" s="82" t="s">
        <v>1240</v>
      </c>
      <c r="H92" s="82" t="s">
        <v>878</v>
      </c>
      <c r="I92" s="82" t="s">
        <v>1242</v>
      </c>
      <c r="J92" s="82" t="s">
        <v>911</v>
      </c>
      <c r="K92" s="82"/>
      <c r="L92" s="82">
        <v>1080</v>
      </c>
      <c r="M92" s="82">
        <f t="shared" si="1"/>
        <v>1080</v>
      </c>
      <c r="N92" s="82" t="s">
        <v>91</v>
      </c>
      <c r="O92" s="82" t="s">
        <v>90</v>
      </c>
      <c r="P92" s="82" t="s">
        <v>91</v>
      </c>
      <c r="Q92" s="82" t="s">
        <v>881</v>
      </c>
      <c r="R92" s="82" t="s">
        <v>882</v>
      </c>
      <c r="S92" s="87"/>
      <c r="T92" s="87"/>
      <c r="U92" s="82">
        <v>18</v>
      </c>
      <c r="V92" s="87"/>
      <c r="W92" s="87"/>
      <c r="X92" s="87"/>
      <c r="Y92" s="82">
        <f t="shared" si="2"/>
        <v>18</v>
      </c>
      <c r="Z92" s="82">
        <v>18</v>
      </c>
      <c r="AA92" s="87"/>
      <c r="AB92" s="87"/>
      <c r="AC92" s="82">
        <f t="shared" si="3"/>
        <v>18</v>
      </c>
      <c r="AD92" s="87"/>
      <c r="AE92" s="82">
        <v>18</v>
      </c>
      <c r="AF92" s="87"/>
      <c r="AG92" s="87"/>
      <c r="AH92" s="87"/>
      <c r="AI92" s="82">
        <f t="shared" si="4"/>
        <v>18</v>
      </c>
      <c r="AJ92" s="82" t="s">
        <v>883</v>
      </c>
      <c r="AK92" s="82">
        <v>3</v>
      </c>
      <c r="AL92" s="82" t="s">
        <v>884</v>
      </c>
      <c r="AM92" s="88">
        <v>46135</v>
      </c>
      <c r="AN92" s="87"/>
      <c r="AO92" s="82" t="s">
        <v>885</v>
      </c>
      <c r="AY92" s="71"/>
    </row>
    <row r="93" spans="1:51" ht="65.25" customHeight="1" x14ac:dyDescent="0.3">
      <c r="A93" s="84">
        <v>1678</v>
      </c>
      <c r="B93" s="85" t="s">
        <v>1243</v>
      </c>
      <c r="C93" s="82" t="s">
        <v>1244</v>
      </c>
      <c r="D93" s="86">
        <v>100956000</v>
      </c>
      <c r="E93" s="82" t="s">
        <v>1245</v>
      </c>
      <c r="F93" s="82" t="str">
        <f>VLOOKUP(D93,'[1]Bến Cát'!$E$4:$F$177,2,0)</f>
        <v>11.202428106513945, 106.61125359504113</v>
      </c>
      <c r="G93" s="82" t="s">
        <v>1244</v>
      </c>
      <c r="H93" s="82" t="s">
        <v>878</v>
      </c>
      <c r="I93" s="82" t="s">
        <v>1246</v>
      </c>
      <c r="J93" s="82" t="s">
        <v>911</v>
      </c>
      <c r="K93" s="82"/>
      <c r="L93" s="82">
        <v>690</v>
      </c>
      <c r="M93" s="82">
        <f t="shared" si="1"/>
        <v>690</v>
      </c>
      <c r="N93" s="82" t="s">
        <v>91</v>
      </c>
      <c r="O93" s="82" t="s">
        <v>90</v>
      </c>
      <c r="P93" s="82" t="s">
        <v>91</v>
      </c>
      <c r="Q93" s="82" t="s">
        <v>881</v>
      </c>
      <c r="R93" s="82" t="s">
        <v>882</v>
      </c>
      <c r="S93" s="87"/>
      <c r="T93" s="87"/>
      <c r="U93" s="82">
        <v>20</v>
      </c>
      <c r="V93" s="87"/>
      <c r="W93" s="87"/>
      <c r="X93" s="87"/>
      <c r="Y93" s="82">
        <f t="shared" si="2"/>
        <v>20</v>
      </c>
      <c r="Z93" s="82">
        <v>20</v>
      </c>
      <c r="AA93" s="87"/>
      <c r="AB93" s="87"/>
      <c r="AC93" s="82">
        <f t="shared" si="3"/>
        <v>20</v>
      </c>
      <c r="AD93" s="87"/>
      <c r="AE93" s="82">
        <v>20</v>
      </c>
      <c r="AF93" s="87"/>
      <c r="AG93" s="87"/>
      <c r="AH93" s="87"/>
      <c r="AI93" s="82">
        <f t="shared" si="4"/>
        <v>20</v>
      </c>
      <c r="AJ93" s="82" t="s">
        <v>883</v>
      </c>
      <c r="AK93" s="82">
        <v>3</v>
      </c>
      <c r="AL93" s="82" t="s">
        <v>884</v>
      </c>
      <c r="AM93" s="88">
        <v>46135</v>
      </c>
      <c r="AN93" s="87"/>
      <c r="AO93" s="82" t="s">
        <v>885</v>
      </c>
      <c r="AY93" s="71"/>
    </row>
    <row r="94" spans="1:51" ht="65.25" customHeight="1" x14ac:dyDescent="0.3">
      <c r="A94" s="84">
        <v>1682</v>
      </c>
      <c r="B94" s="85" t="s">
        <v>1247</v>
      </c>
      <c r="C94" s="82" t="s">
        <v>1248</v>
      </c>
      <c r="D94" s="86">
        <v>100957000</v>
      </c>
      <c r="E94" s="82" t="s">
        <v>1249</v>
      </c>
      <c r="F94" s="82" t="str">
        <f>VLOOKUP(D94,'[1]Bến Cát'!$E$4:$F$177,2,0)</f>
        <v>11.20381570430534, 106.61671671364954</v>
      </c>
      <c r="G94" s="82" t="s">
        <v>1248</v>
      </c>
      <c r="H94" s="82" t="s">
        <v>878</v>
      </c>
      <c r="I94" s="82" t="s">
        <v>1250</v>
      </c>
      <c r="J94" s="82" t="s">
        <v>891</v>
      </c>
      <c r="K94" s="82"/>
      <c r="L94" s="82">
        <v>600</v>
      </c>
      <c r="M94" s="82">
        <f t="shared" si="1"/>
        <v>600</v>
      </c>
      <c r="N94" s="82" t="s">
        <v>91</v>
      </c>
      <c r="O94" s="82" t="s">
        <v>90</v>
      </c>
      <c r="P94" s="82" t="s">
        <v>91</v>
      </c>
      <c r="Q94" s="82" t="s">
        <v>881</v>
      </c>
      <c r="R94" s="82" t="s">
        <v>897</v>
      </c>
      <c r="S94" s="87"/>
      <c r="T94" s="87"/>
      <c r="U94" s="82">
        <v>15</v>
      </c>
      <c r="V94" s="87"/>
      <c r="W94" s="87"/>
      <c r="X94" s="87"/>
      <c r="Y94" s="82">
        <f t="shared" si="2"/>
        <v>15</v>
      </c>
      <c r="Z94" s="82">
        <v>14</v>
      </c>
      <c r="AA94" s="87"/>
      <c r="AB94" s="87"/>
      <c r="AC94" s="82">
        <f t="shared" si="3"/>
        <v>14</v>
      </c>
      <c r="AD94" s="87"/>
      <c r="AE94" s="82">
        <v>15</v>
      </c>
      <c r="AF94" s="87"/>
      <c r="AG94" s="87"/>
      <c r="AH94" s="87"/>
      <c r="AI94" s="82">
        <f t="shared" si="4"/>
        <v>15</v>
      </c>
      <c r="AJ94" s="82" t="s">
        <v>883</v>
      </c>
      <c r="AK94" s="82">
        <v>3</v>
      </c>
      <c r="AL94" s="82" t="s">
        <v>884</v>
      </c>
      <c r="AM94" s="88">
        <v>46135</v>
      </c>
      <c r="AN94" s="87"/>
      <c r="AO94" s="82" t="s">
        <v>892</v>
      </c>
      <c r="AY94" s="71"/>
    </row>
    <row r="95" spans="1:51" ht="65.25" customHeight="1" x14ac:dyDescent="0.3">
      <c r="A95" s="84" t="s">
        <v>1251</v>
      </c>
      <c r="B95" s="85" t="s">
        <v>1252</v>
      </c>
      <c r="C95" s="82" t="s">
        <v>1253</v>
      </c>
      <c r="D95" s="86">
        <v>102696000</v>
      </c>
      <c r="E95" s="82" t="s">
        <v>1254</v>
      </c>
      <c r="F95" s="82" t="str">
        <f>VLOOKUP(D95,'[1]Bến Cát'!$E$4:$F$177,2,0)</f>
        <v>11.1421535, 106.6045351</v>
      </c>
      <c r="G95" s="82" t="s">
        <v>1253</v>
      </c>
      <c r="H95" s="82" t="s">
        <v>878</v>
      </c>
      <c r="I95" s="82" t="s">
        <v>1255</v>
      </c>
      <c r="J95" s="82" t="s">
        <v>911</v>
      </c>
      <c r="K95" s="82"/>
      <c r="L95" s="82">
        <v>450</v>
      </c>
      <c r="M95" s="82">
        <f t="shared" si="1"/>
        <v>450</v>
      </c>
      <c r="N95" s="82" t="s">
        <v>91</v>
      </c>
      <c r="O95" s="82" t="s">
        <v>90</v>
      </c>
      <c r="P95" s="82" t="s">
        <v>91</v>
      </c>
      <c r="Q95" s="82" t="s">
        <v>881</v>
      </c>
      <c r="R95" s="82" t="s">
        <v>897</v>
      </c>
      <c r="S95" s="87"/>
      <c r="T95" s="87"/>
      <c r="U95" s="87"/>
      <c r="V95" s="87"/>
      <c r="W95" s="82">
        <v>14</v>
      </c>
      <c r="X95" s="87"/>
      <c r="Y95" s="82">
        <f t="shared" si="2"/>
        <v>14</v>
      </c>
      <c r="Z95" s="82">
        <v>14</v>
      </c>
      <c r="AA95" s="87"/>
      <c r="AB95" s="87"/>
      <c r="AC95" s="82">
        <f t="shared" si="3"/>
        <v>14</v>
      </c>
      <c r="AD95" s="87"/>
      <c r="AE95" s="82">
        <v>14</v>
      </c>
      <c r="AF95" s="87"/>
      <c r="AG95" s="87"/>
      <c r="AH95" s="87"/>
      <c r="AI95" s="82">
        <f t="shared" si="4"/>
        <v>14</v>
      </c>
      <c r="AJ95" s="82" t="s">
        <v>883</v>
      </c>
      <c r="AK95" s="82">
        <v>2</v>
      </c>
      <c r="AL95" s="82" t="s">
        <v>884</v>
      </c>
      <c r="AM95" s="88">
        <v>46135</v>
      </c>
      <c r="AN95" s="87"/>
      <c r="AO95" s="82" t="s">
        <v>892</v>
      </c>
      <c r="AY95" s="71"/>
    </row>
    <row r="96" spans="1:51" ht="65.25" customHeight="1" x14ac:dyDescent="0.3">
      <c r="A96" s="84">
        <v>1767</v>
      </c>
      <c r="B96" s="85" t="s">
        <v>1256</v>
      </c>
      <c r="C96" s="82" t="s">
        <v>1257</v>
      </c>
      <c r="D96" s="86">
        <v>102744000</v>
      </c>
      <c r="E96" s="82" t="s">
        <v>1258</v>
      </c>
      <c r="F96" s="82" t="str">
        <f>VLOOKUP(D96,'[1]Bến Cát'!$E$4:$F$177,2,0)</f>
        <v>11.167567364525446, 106.59212783502186</v>
      </c>
      <c r="G96" s="82" t="s">
        <v>1257</v>
      </c>
      <c r="H96" s="82" t="s">
        <v>878</v>
      </c>
      <c r="I96" s="82" t="s">
        <v>1259</v>
      </c>
      <c r="J96" s="82" t="s">
        <v>911</v>
      </c>
      <c r="K96" s="82"/>
      <c r="L96" s="82">
        <v>370</v>
      </c>
      <c r="M96" s="82">
        <f t="shared" si="1"/>
        <v>370</v>
      </c>
      <c r="N96" s="82" t="s">
        <v>91</v>
      </c>
      <c r="O96" s="82" t="s">
        <v>90</v>
      </c>
      <c r="P96" s="82" t="s">
        <v>91</v>
      </c>
      <c r="Q96" s="82" t="s">
        <v>881</v>
      </c>
      <c r="R96" s="82" t="s">
        <v>897</v>
      </c>
      <c r="S96" s="87"/>
      <c r="T96" s="87"/>
      <c r="U96" s="87"/>
      <c r="V96" s="87"/>
      <c r="W96" s="82">
        <v>12</v>
      </c>
      <c r="X96" s="87"/>
      <c r="Y96" s="82">
        <f t="shared" si="2"/>
        <v>12</v>
      </c>
      <c r="Z96" s="82">
        <v>12</v>
      </c>
      <c r="AA96" s="87"/>
      <c r="AB96" s="87"/>
      <c r="AC96" s="82">
        <f t="shared" si="3"/>
        <v>12</v>
      </c>
      <c r="AD96" s="87"/>
      <c r="AE96" s="82">
        <v>12</v>
      </c>
      <c r="AF96" s="87"/>
      <c r="AG96" s="87"/>
      <c r="AH96" s="87"/>
      <c r="AI96" s="82">
        <f t="shared" si="4"/>
        <v>12</v>
      </c>
      <c r="AJ96" s="82" t="s">
        <v>883</v>
      </c>
      <c r="AK96" s="82">
        <v>2</v>
      </c>
      <c r="AL96" s="82" t="s">
        <v>884</v>
      </c>
      <c r="AM96" s="88">
        <v>46135</v>
      </c>
      <c r="AN96" s="87"/>
      <c r="AO96" s="82" t="s">
        <v>892</v>
      </c>
      <c r="AY96" s="71"/>
    </row>
    <row r="97" spans="1:51" ht="65.25" customHeight="1" x14ac:dyDescent="0.3">
      <c r="A97" s="84">
        <v>1806</v>
      </c>
      <c r="B97" s="85" t="s">
        <v>1260</v>
      </c>
      <c r="C97" s="82" t="s">
        <v>1261</v>
      </c>
      <c r="D97" s="86">
        <v>100943000</v>
      </c>
      <c r="E97" s="82" t="s">
        <v>1262</v>
      </c>
      <c r="F97" s="82" t="str">
        <f>VLOOKUP(D97,'[1]Bến Cát'!$E$4:$F$177,2,0)</f>
        <v>11.1626091, 106.6020806</v>
      </c>
      <c r="G97" s="82" t="s">
        <v>1261</v>
      </c>
      <c r="H97" s="82" t="s">
        <v>878</v>
      </c>
      <c r="I97" s="82" t="s">
        <v>1263</v>
      </c>
      <c r="J97" s="82" t="s">
        <v>969</v>
      </c>
      <c r="K97" s="82"/>
      <c r="L97" s="82">
        <v>1880</v>
      </c>
      <c r="M97" s="82">
        <f t="shared" si="1"/>
        <v>1880</v>
      </c>
      <c r="N97" s="82" t="s">
        <v>90</v>
      </c>
      <c r="O97" s="82" t="s">
        <v>91</v>
      </c>
      <c r="P97" s="82" t="s">
        <v>91</v>
      </c>
      <c r="Q97" s="82" t="s">
        <v>881</v>
      </c>
      <c r="R97" s="82" t="s">
        <v>897</v>
      </c>
      <c r="S97" s="87"/>
      <c r="T97" s="87"/>
      <c r="U97" s="82">
        <v>29</v>
      </c>
      <c r="V97" s="87"/>
      <c r="W97" s="82">
        <v>6</v>
      </c>
      <c r="X97" s="87"/>
      <c r="Y97" s="82">
        <f t="shared" si="2"/>
        <v>35</v>
      </c>
      <c r="Z97" s="82">
        <v>35</v>
      </c>
      <c r="AA97" s="87"/>
      <c r="AB97" s="87"/>
      <c r="AC97" s="82">
        <f t="shared" si="3"/>
        <v>35</v>
      </c>
      <c r="AD97" s="87"/>
      <c r="AE97" s="82">
        <v>35</v>
      </c>
      <c r="AF97" s="87"/>
      <c r="AG97" s="87"/>
      <c r="AH97" s="87"/>
      <c r="AI97" s="82">
        <f t="shared" si="4"/>
        <v>35</v>
      </c>
      <c r="AJ97" s="82" t="s">
        <v>883</v>
      </c>
      <c r="AK97" s="82">
        <v>3</v>
      </c>
      <c r="AL97" s="82" t="s">
        <v>884</v>
      </c>
      <c r="AM97" s="88">
        <v>46135</v>
      </c>
      <c r="AN97" s="87"/>
      <c r="AO97" s="82" t="s">
        <v>892</v>
      </c>
      <c r="AY97" s="71"/>
    </row>
    <row r="98" spans="1:51" ht="65.25" customHeight="1" x14ac:dyDescent="0.3">
      <c r="A98" s="84">
        <v>1674</v>
      </c>
      <c r="B98" s="85" t="s">
        <v>1264</v>
      </c>
      <c r="C98" s="82" t="s">
        <v>1265</v>
      </c>
      <c r="D98" s="86">
        <v>100958000</v>
      </c>
      <c r="E98" s="82" t="s">
        <v>1266</v>
      </c>
      <c r="F98" s="82" t="str">
        <f>VLOOKUP(D98,'[1]Bến Cát'!$E$4:$F$177,2,0)</f>
        <v>11.198095785377737, 106.6163873572497</v>
      </c>
      <c r="G98" s="82" t="s">
        <v>1265</v>
      </c>
      <c r="H98" s="82" t="s">
        <v>878</v>
      </c>
      <c r="I98" s="82" t="s">
        <v>1267</v>
      </c>
      <c r="J98" s="82" t="s">
        <v>880</v>
      </c>
      <c r="K98" s="82"/>
      <c r="L98" s="82">
        <v>300</v>
      </c>
      <c r="M98" s="82">
        <f t="shared" si="1"/>
        <v>300</v>
      </c>
      <c r="N98" s="82" t="s">
        <v>91</v>
      </c>
      <c r="O98" s="82" t="s">
        <v>90</v>
      </c>
      <c r="P98" s="82" t="s">
        <v>91</v>
      </c>
      <c r="Q98" s="82" t="s">
        <v>881</v>
      </c>
      <c r="R98" s="82" t="s">
        <v>897</v>
      </c>
      <c r="S98" s="87"/>
      <c r="T98" s="87"/>
      <c r="U98" s="82">
        <v>6</v>
      </c>
      <c r="V98" s="87"/>
      <c r="W98" s="87"/>
      <c r="X98" s="87"/>
      <c r="Y98" s="82">
        <f t="shared" si="2"/>
        <v>6</v>
      </c>
      <c r="Z98" s="82">
        <v>6</v>
      </c>
      <c r="AA98" s="87"/>
      <c r="AB98" s="87"/>
      <c r="AC98" s="82">
        <f t="shared" si="3"/>
        <v>6</v>
      </c>
      <c r="AD98" s="87"/>
      <c r="AE98" s="82">
        <v>6</v>
      </c>
      <c r="AF98" s="87"/>
      <c r="AG98" s="87"/>
      <c r="AH98" s="87"/>
      <c r="AI98" s="82">
        <f t="shared" si="4"/>
        <v>6</v>
      </c>
      <c r="AJ98" s="82" t="s">
        <v>883</v>
      </c>
      <c r="AK98" s="82">
        <v>3</v>
      </c>
      <c r="AL98" s="82" t="s">
        <v>884</v>
      </c>
      <c r="AM98" s="88">
        <v>46135</v>
      </c>
      <c r="AN98" s="87"/>
      <c r="AO98" s="82" t="s">
        <v>892</v>
      </c>
      <c r="AY98" s="71"/>
    </row>
    <row r="99" spans="1:51" ht="65.25" customHeight="1" x14ac:dyDescent="0.3">
      <c r="A99" s="84">
        <v>1769</v>
      </c>
      <c r="B99" s="85" t="s">
        <v>1268</v>
      </c>
      <c r="C99" s="82" t="s">
        <v>1269</v>
      </c>
      <c r="D99" s="86">
        <v>102745000</v>
      </c>
      <c r="E99" s="82" t="s">
        <v>1270</v>
      </c>
      <c r="F99" s="82" t="str">
        <f>VLOOKUP(D99,'[1]Bến Cát'!$E$4:$F$177,2,0)</f>
        <v>11.161073539145935, 106.59262208900303</v>
      </c>
      <c r="G99" s="82" t="s">
        <v>1269</v>
      </c>
      <c r="H99" s="82" t="s">
        <v>878</v>
      </c>
      <c r="I99" s="82" t="s">
        <v>1271</v>
      </c>
      <c r="J99" s="82" t="s">
        <v>911</v>
      </c>
      <c r="K99" s="82"/>
      <c r="L99" s="82">
        <v>690</v>
      </c>
      <c r="M99" s="82">
        <f t="shared" si="1"/>
        <v>690</v>
      </c>
      <c r="N99" s="82" t="s">
        <v>90</v>
      </c>
      <c r="O99" s="82" t="s">
        <v>91</v>
      </c>
      <c r="P99" s="82" t="s">
        <v>91</v>
      </c>
      <c r="Q99" s="82" t="s">
        <v>881</v>
      </c>
      <c r="R99" s="82" t="s">
        <v>897</v>
      </c>
      <c r="S99" s="87"/>
      <c r="T99" s="87"/>
      <c r="U99" s="87"/>
      <c r="V99" s="87"/>
      <c r="W99" s="82">
        <v>22</v>
      </c>
      <c r="X99" s="87"/>
      <c r="Y99" s="82">
        <f t="shared" si="2"/>
        <v>22</v>
      </c>
      <c r="Z99" s="82">
        <v>22</v>
      </c>
      <c r="AA99" s="87"/>
      <c r="AB99" s="87"/>
      <c r="AC99" s="82">
        <f t="shared" si="3"/>
        <v>22</v>
      </c>
      <c r="AD99" s="87"/>
      <c r="AE99" s="82">
        <v>22</v>
      </c>
      <c r="AF99" s="87"/>
      <c r="AG99" s="87"/>
      <c r="AH99" s="87"/>
      <c r="AI99" s="82">
        <f t="shared" si="4"/>
        <v>22</v>
      </c>
      <c r="AJ99" s="82" t="s">
        <v>883</v>
      </c>
      <c r="AK99" s="82">
        <v>3</v>
      </c>
      <c r="AL99" s="82" t="s">
        <v>884</v>
      </c>
      <c r="AM99" s="88">
        <v>46135</v>
      </c>
      <c r="AN99" s="87"/>
      <c r="AO99" s="82" t="s">
        <v>892</v>
      </c>
      <c r="AY99" s="71"/>
    </row>
    <row r="100" spans="1:51" ht="65.25" customHeight="1" x14ac:dyDescent="0.3">
      <c r="A100" s="84">
        <v>1683</v>
      </c>
      <c r="B100" s="85" t="s">
        <v>1272</v>
      </c>
      <c r="C100" s="82" t="s">
        <v>1273</v>
      </c>
      <c r="D100" s="86">
        <v>100959000</v>
      </c>
      <c r="E100" s="82" t="s">
        <v>1274</v>
      </c>
      <c r="F100" s="82" t="str">
        <f>VLOOKUP(D100,'[1]Bến Cát'!$E$4:$F$177,2,0)</f>
        <v>11.211118987729726, 106.63329161786073</v>
      </c>
      <c r="G100" s="82" t="s">
        <v>1273</v>
      </c>
      <c r="H100" s="82" t="s">
        <v>878</v>
      </c>
      <c r="I100" s="82" t="s">
        <v>1275</v>
      </c>
      <c r="J100" s="82" t="s">
        <v>891</v>
      </c>
      <c r="K100" s="82"/>
      <c r="L100" s="82">
        <v>840</v>
      </c>
      <c r="M100" s="82">
        <f t="shared" si="1"/>
        <v>840</v>
      </c>
      <c r="N100" s="82" t="s">
        <v>90</v>
      </c>
      <c r="O100" s="82" t="s">
        <v>91</v>
      </c>
      <c r="P100" s="82" t="s">
        <v>91</v>
      </c>
      <c r="Q100" s="82" t="s">
        <v>881</v>
      </c>
      <c r="R100" s="82" t="s">
        <v>897</v>
      </c>
      <c r="S100" s="87"/>
      <c r="T100" s="87"/>
      <c r="U100" s="87"/>
      <c r="V100" s="87"/>
      <c r="W100" s="82">
        <v>22</v>
      </c>
      <c r="X100" s="87"/>
      <c r="Y100" s="82">
        <f t="shared" si="2"/>
        <v>22</v>
      </c>
      <c r="Z100" s="82">
        <v>23</v>
      </c>
      <c r="AA100" s="87"/>
      <c r="AB100" s="87"/>
      <c r="AC100" s="82">
        <f t="shared" si="3"/>
        <v>23</v>
      </c>
      <c r="AD100" s="87"/>
      <c r="AE100" s="82">
        <v>23</v>
      </c>
      <c r="AF100" s="87"/>
      <c r="AG100" s="87"/>
      <c r="AH100" s="87"/>
      <c r="AI100" s="82">
        <f t="shared" si="4"/>
        <v>23</v>
      </c>
      <c r="AJ100" s="82" t="s">
        <v>883</v>
      </c>
      <c r="AK100" s="82">
        <v>3</v>
      </c>
      <c r="AL100" s="82" t="s">
        <v>884</v>
      </c>
      <c r="AM100" s="88">
        <v>46135</v>
      </c>
      <c r="AN100" s="87"/>
      <c r="AO100" s="82" t="s">
        <v>892</v>
      </c>
      <c r="AY100" s="71"/>
    </row>
    <row r="101" spans="1:51" ht="65.25" customHeight="1" x14ac:dyDescent="0.3">
      <c r="A101" s="84">
        <v>1760</v>
      </c>
      <c r="B101" s="85" t="s">
        <v>1276</v>
      </c>
      <c r="C101" s="82" t="s">
        <v>1277</v>
      </c>
      <c r="D101" s="86">
        <v>101273000</v>
      </c>
      <c r="E101" s="82" t="s">
        <v>1278</v>
      </c>
      <c r="F101" s="82" t="str">
        <f>VLOOKUP(D101,'[1]Bến Cát'!$E$4:$F$177,2,0)</f>
        <v>11.1628317, 106.5984251</v>
      </c>
      <c r="G101" s="82" t="s">
        <v>1277</v>
      </c>
      <c r="H101" s="82" t="s">
        <v>878</v>
      </c>
      <c r="I101" s="82" t="s">
        <v>1279</v>
      </c>
      <c r="J101" s="82" t="s">
        <v>891</v>
      </c>
      <c r="K101" s="82"/>
      <c r="L101" s="82">
        <v>240</v>
      </c>
      <c r="M101" s="82">
        <f t="shared" si="1"/>
        <v>240</v>
      </c>
      <c r="N101" s="82" t="s">
        <v>91</v>
      </c>
      <c r="O101" s="82" t="s">
        <v>90</v>
      </c>
      <c r="P101" s="82" t="s">
        <v>91</v>
      </c>
      <c r="Q101" s="82" t="s">
        <v>881</v>
      </c>
      <c r="R101" s="82" t="s">
        <v>897</v>
      </c>
      <c r="S101" s="87"/>
      <c r="T101" s="87"/>
      <c r="U101" s="87"/>
      <c r="V101" s="87"/>
      <c r="W101" s="82">
        <v>8</v>
      </c>
      <c r="X101" s="87"/>
      <c r="Y101" s="82">
        <f t="shared" si="2"/>
        <v>8</v>
      </c>
      <c r="Z101" s="82">
        <v>8</v>
      </c>
      <c r="AA101" s="87"/>
      <c r="AB101" s="87"/>
      <c r="AC101" s="82">
        <f t="shared" si="3"/>
        <v>8</v>
      </c>
      <c r="AD101" s="87"/>
      <c r="AE101" s="82">
        <v>8</v>
      </c>
      <c r="AF101" s="87"/>
      <c r="AG101" s="87"/>
      <c r="AH101" s="87"/>
      <c r="AI101" s="82">
        <f t="shared" si="4"/>
        <v>8</v>
      </c>
      <c r="AJ101" s="82" t="s">
        <v>883</v>
      </c>
      <c r="AK101" s="82">
        <v>2</v>
      </c>
      <c r="AL101" s="82" t="s">
        <v>884</v>
      </c>
      <c r="AM101" s="88">
        <v>46135</v>
      </c>
      <c r="AN101" s="87"/>
      <c r="AO101" s="82" t="s">
        <v>892</v>
      </c>
      <c r="AY101" s="71"/>
    </row>
    <row r="102" spans="1:51" ht="65.25" customHeight="1" x14ac:dyDescent="0.3">
      <c r="A102" s="84">
        <v>1806</v>
      </c>
      <c r="B102" s="85" t="s">
        <v>1280</v>
      </c>
      <c r="C102" s="82" t="s">
        <v>1281</v>
      </c>
      <c r="D102" s="86">
        <v>102231000</v>
      </c>
      <c r="E102" s="82" t="s">
        <v>1282</v>
      </c>
      <c r="F102" s="82" t="str">
        <f>VLOOKUP(D102,'[1]Bến Cát'!$E$4:$F$177,2,0)</f>
        <v>11.1693823, 106.6151814</v>
      </c>
      <c r="G102" s="82" t="s">
        <v>1281</v>
      </c>
      <c r="H102" s="82" t="s">
        <v>878</v>
      </c>
      <c r="I102" s="82" t="s">
        <v>1283</v>
      </c>
      <c r="J102" s="82" t="s">
        <v>969</v>
      </c>
      <c r="K102" s="82"/>
      <c r="L102" s="82">
        <v>1995</v>
      </c>
      <c r="M102" s="82">
        <f t="shared" si="1"/>
        <v>1995</v>
      </c>
      <c r="N102" s="82" t="s">
        <v>91</v>
      </c>
      <c r="O102" s="82" t="s">
        <v>90</v>
      </c>
      <c r="P102" s="82" t="s">
        <v>91</v>
      </c>
      <c r="Q102" s="82" t="s">
        <v>881</v>
      </c>
      <c r="R102" s="82" t="s">
        <v>897</v>
      </c>
      <c r="S102" s="87"/>
      <c r="T102" s="87"/>
      <c r="U102" s="82">
        <v>25</v>
      </c>
      <c r="V102" s="87"/>
      <c r="W102" s="82">
        <v>4</v>
      </c>
      <c r="X102" s="87"/>
      <c r="Y102" s="82">
        <f t="shared" si="2"/>
        <v>29</v>
      </c>
      <c r="Z102" s="82">
        <v>29</v>
      </c>
      <c r="AA102" s="87"/>
      <c r="AB102" s="87"/>
      <c r="AC102" s="82">
        <f t="shared" si="3"/>
        <v>29</v>
      </c>
      <c r="AD102" s="87"/>
      <c r="AE102" s="82">
        <v>29</v>
      </c>
      <c r="AF102" s="87"/>
      <c r="AG102" s="87"/>
      <c r="AH102" s="87"/>
      <c r="AI102" s="82">
        <f t="shared" si="4"/>
        <v>29</v>
      </c>
      <c r="AJ102" s="82" t="s">
        <v>883</v>
      </c>
      <c r="AK102" s="82">
        <v>3</v>
      </c>
      <c r="AL102" s="82" t="s">
        <v>884</v>
      </c>
      <c r="AM102" s="88">
        <v>46135</v>
      </c>
      <c r="AN102" s="87"/>
      <c r="AO102" s="82" t="s">
        <v>892</v>
      </c>
      <c r="AY102" s="71"/>
    </row>
    <row r="103" spans="1:51" ht="65.25" customHeight="1" x14ac:dyDescent="0.3">
      <c r="A103" s="84">
        <v>1770</v>
      </c>
      <c r="B103" s="85" t="s">
        <v>1284</v>
      </c>
      <c r="C103" s="82" t="s">
        <v>1285</v>
      </c>
      <c r="D103" s="86">
        <v>102746000</v>
      </c>
      <c r="E103" s="82" t="s">
        <v>1286</v>
      </c>
      <c r="F103" s="82" t="str">
        <f>VLOOKUP(D103,'[1]Bến Cát'!$E$4:$F$177,2,0)</f>
        <v>11.157021775409703, 106.59188557069031</v>
      </c>
      <c r="G103" s="82" t="s">
        <v>1285</v>
      </c>
      <c r="H103" s="82" t="s">
        <v>878</v>
      </c>
      <c r="I103" s="82" t="s">
        <v>1287</v>
      </c>
      <c r="J103" s="82" t="s">
        <v>911</v>
      </c>
      <c r="K103" s="82"/>
      <c r="L103" s="82">
        <v>340</v>
      </c>
      <c r="M103" s="82">
        <f t="shared" si="1"/>
        <v>340</v>
      </c>
      <c r="N103" s="82" t="s">
        <v>91</v>
      </c>
      <c r="O103" s="82" t="s">
        <v>90</v>
      </c>
      <c r="P103" s="82" t="s">
        <v>91</v>
      </c>
      <c r="Q103" s="82" t="s">
        <v>881</v>
      </c>
      <c r="R103" s="82" t="s">
        <v>897</v>
      </c>
      <c r="S103" s="87"/>
      <c r="T103" s="87"/>
      <c r="U103" s="87"/>
      <c r="V103" s="87"/>
      <c r="W103" s="82">
        <v>10</v>
      </c>
      <c r="X103" s="87"/>
      <c r="Y103" s="82">
        <f t="shared" si="2"/>
        <v>10</v>
      </c>
      <c r="Z103" s="82">
        <v>10</v>
      </c>
      <c r="AA103" s="87"/>
      <c r="AB103" s="87"/>
      <c r="AC103" s="82">
        <f t="shared" si="3"/>
        <v>10</v>
      </c>
      <c r="AD103" s="87"/>
      <c r="AE103" s="82">
        <v>10</v>
      </c>
      <c r="AF103" s="87"/>
      <c r="AG103" s="87"/>
      <c r="AH103" s="87"/>
      <c r="AI103" s="82">
        <f t="shared" si="4"/>
        <v>10</v>
      </c>
      <c r="AJ103" s="82" t="s">
        <v>883</v>
      </c>
      <c r="AK103" s="82">
        <v>2</v>
      </c>
      <c r="AL103" s="82" t="s">
        <v>884</v>
      </c>
      <c r="AM103" s="88">
        <v>46135</v>
      </c>
      <c r="AN103" s="87"/>
      <c r="AO103" s="82" t="s">
        <v>892</v>
      </c>
      <c r="AY103" s="71"/>
    </row>
    <row r="104" spans="1:51" ht="65.25" customHeight="1" x14ac:dyDescent="0.3">
      <c r="A104" s="84">
        <v>1684</v>
      </c>
      <c r="B104" s="85" t="s">
        <v>1288</v>
      </c>
      <c r="C104" s="82" t="s">
        <v>1289</v>
      </c>
      <c r="D104" s="86">
        <v>100960000</v>
      </c>
      <c r="E104" s="82" t="s">
        <v>1290</v>
      </c>
      <c r="F104" s="82" t="str">
        <f>VLOOKUP(D104,'[1]Bến Cát'!$E$4:$F$177,2,0)</f>
        <v>11.21514822998833, 106.62525624259052</v>
      </c>
      <c r="G104" s="82" t="s">
        <v>1291</v>
      </c>
      <c r="H104" s="82" t="s">
        <v>878</v>
      </c>
      <c r="I104" s="82" t="s">
        <v>1292</v>
      </c>
      <c r="J104" s="82" t="s">
        <v>911</v>
      </c>
      <c r="K104" s="82"/>
      <c r="L104" s="82">
        <v>1200</v>
      </c>
      <c r="M104" s="82">
        <f t="shared" si="1"/>
        <v>1200</v>
      </c>
      <c r="N104" s="82" t="s">
        <v>91</v>
      </c>
      <c r="O104" s="82" t="s">
        <v>90</v>
      </c>
      <c r="P104" s="82" t="s">
        <v>91</v>
      </c>
      <c r="Q104" s="82" t="s">
        <v>881</v>
      </c>
      <c r="R104" s="82" t="s">
        <v>897</v>
      </c>
      <c r="S104" s="87"/>
      <c r="T104" s="87"/>
      <c r="U104" s="87"/>
      <c r="V104" s="87"/>
      <c r="W104" s="82">
        <v>22</v>
      </c>
      <c r="X104" s="87"/>
      <c r="Y104" s="82">
        <f t="shared" si="2"/>
        <v>22</v>
      </c>
      <c r="Z104" s="82">
        <v>22</v>
      </c>
      <c r="AA104" s="87"/>
      <c r="AB104" s="87"/>
      <c r="AC104" s="82">
        <f t="shared" si="3"/>
        <v>22</v>
      </c>
      <c r="AD104" s="87"/>
      <c r="AE104" s="82">
        <v>22</v>
      </c>
      <c r="AF104" s="87"/>
      <c r="AG104" s="87"/>
      <c r="AH104" s="87"/>
      <c r="AI104" s="82">
        <f t="shared" si="4"/>
        <v>22</v>
      </c>
      <c r="AJ104" s="82" t="s">
        <v>883</v>
      </c>
      <c r="AK104" s="82">
        <v>3</v>
      </c>
      <c r="AL104" s="82" t="s">
        <v>884</v>
      </c>
      <c r="AM104" s="88">
        <v>46135</v>
      </c>
      <c r="AN104" s="87"/>
      <c r="AO104" s="82" t="s">
        <v>892</v>
      </c>
      <c r="AY104" s="71"/>
    </row>
    <row r="105" spans="1:51" ht="65.25" customHeight="1" x14ac:dyDescent="0.3">
      <c r="A105" s="84">
        <v>1803</v>
      </c>
      <c r="B105" s="85" t="s">
        <v>1293</v>
      </c>
      <c r="C105" s="82" t="s">
        <v>1294</v>
      </c>
      <c r="D105" s="86">
        <v>102697000</v>
      </c>
      <c r="E105" s="82" t="s">
        <v>1295</v>
      </c>
      <c r="F105" s="82" t="str">
        <f>VLOOKUP(D105,'[1]Bến Cát'!$E$4:$F$177,2,0)</f>
        <v>11.2218145, 106.6310947</v>
      </c>
      <c r="G105" s="82" t="s">
        <v>1296</v>
      </c>
      <c r="H105" s="82" t="s">
        <v>878</v>
      </c>
      <c r="I105" s="82" t="s">
        <v>1297</v>
      </c>
      <c r="J105" s="82" t="s">
        <v>891</v>
      </c>
      <c r="K105" s="82"/>
      <c r="L105" s="82">
        <v>460</v>
      </c>
      <c r="M105" s="82">
        <f t="shared" si="1"/>
        <v>460</v>
      </c>
      <c r="N105" s="82" t="s">
        <v>91</v>
      </c>
      <c r="O105" s="82" t="s">
        <v>90</v>
      </c>
      <c r="P105" s="82" t="s">
        <v>91</v>
      </c>
      <c r="Q105" s="82" t="s">
        <v>881</v>
      </c>
      <c r="R105" s="82" t="s">
        <v>897</v>
      </c>
      <c r="S105" s="87"/>
      <c r="T105" s="87"/>
      <c r="U105" s="82">
        <v>13</v>
      </c>
      <c r="V105" s="87"/>
      <c r="W105" s="87"/>
      <c r="X105" s="87"/>
      <c r="Y105" s="82">
        <f t="shared" si="2"/>
        <v>13</v>
      </c>
      <c r="Z105" s="82">
        <v>13</v>
      </c>
      <c r="AA105" s="87"/>
      <c r="AB105" s="87"/>
      <c r="AC105" s="82">
        <f t="shared" si="3"/>
        <v>13</v>
      </c>
      <c r="AD105" s="87"/>
      <c r="AE105" s="82">
        <v>13</v>
      </c>
      <c r="AF105" s="87"/>
      <c r="AG105" s="87"/>
      <c r="AH105" s="87"/>
      <c r="AI105" s="82">
        <f t="shared" si="4"/>
        <v>13</v>
      </c>
      <c r="AJ105" s="82" t="s">
        <v>883</v>
      </c>
      <c r="AK105" s="82">
        <v>3</v>
      </c>
      <c r="AL105" s="82" t="s">
        <v>884</v>
      </c>
      <c r="AM105" s="88">
        <v>46135</v>
      </c>
      <c r="AN105" s="87"/>
      <c r="AO105" s="82" t="s">
        <v>892</v>
      </c>
      <c r="AY105" s="71"/>
    </row>
    <row r="106" spans="1:51" ht="65.25" customHeight="1" x14ac:dyDescent="0.3">
      <c r="A106" s="84">
        <v>1803</v>
      </c>
      <c r="B106" s="85" t="s">
        <v>1298</v>
      </c>
      <c r="C106" s="82" t="s">
        <v>1299</v>
      </c>
      <c r="D106" s="86">
        <v>102698000</v>
      </c>
      <c r="E106" s="82" t="s">
        <v>1300</v>
      </c>
      <c r="F106" s="82" t="str">
        <f>VLOOKUP(D106,'[1]Bến Cát'!$E$4:$F$177,2,0)</f>
        <v>11.2233314, 106.6257709</v>
      </c>
      <c r="G106" s="82" t="s">
        <v>1296</v>
      </c>
      <c r="H106" s="82" t="s">
        <v>878</v>
      </c>
      <c r="I106" s="82" t="s">
        <v>1301</v>
      </c>
      <c r="J106" s="82" t="s">
        <v>891</v>
      </c>
      <c r="K106" s="82"/>
      <c r="L106" s="82">
        <v>630</v>
      </c>
      <c r="M106" s="82">
        <f t="shared" si="1"/>
        <v>630</v>
      </c>
      <c r="N106" s="82" t="s">
        <v>91</v>
      </c>
      <c r="O106" s="82" t="s">
        <v>90</v>
      </c>
      <c r="P106" s="82" t="s">
        <v>91</v>
      </c>
      <c r="Q106" s="82" t="s">
        <v>881</v>
      </c>
      <c r="R106" s="82" t="s">
        <v>897</v>
      </c>
      <c r="S106" s="87"/>
      <c r="T106" s="87"/>
      <c r="U106" s="82">
        <v>13</v>
      </c>
      <c r="V106" s="87"/>
      <c r="W106" s="87"/>
      <c r="X106" s="87"/>
      <c r="Y106" s="82">
        <f t="shared" si="2"/>
        <v>13</v>
      </c>
      <c r="Z106" s="82">
        <v>13</v>
      </c>
      <c r="AA106" s="87"/>
      <c r="AB106" s="87"/>
      <c r="AC106" s="82">
        <f t="shared" si="3"/>
        <v>13</v>
      </c>
      <c r="AD106" s="87"/>
      <c r="AE106" s="82">
        <v>13</v>
      </c>
      <c r="AF106" s="87"/>
      <c r="AG106" s="87"/>
      <c r="AH106" s="87"/>
      <c r="AI106" s="82">
        <f t="shared" si="4"/>
        <v>13</v>
      </c>
      <c r="AJ106" s="82" t="s">
        <v>883</v>
      </c>
      <c r="AK106" s="82">
        <v>3</v>
      </c>
      <c r="AL106" s="82" t="s">
        <v>884</v>
      </c>
      <c r="AM106" s="88">
        <v>46135</v>
      </c>
      <c r="AN106" s="87"/>
      <c r="AO106" s="82" t="s">
        <v>892</v>
      </c>
      <c r="AY106" s="71"/>
    </row>
    <row r="107" spans="1:51" ht="65.25" customHeight="1" x14ac:dyDescent="0.3">
      <c r="A107" s="84">
        <v>1684</v>
      </c>
      <c r="B107" s="85" t="s">
        <v>1302</v>
      </c>
      <c r="C107" s="82" t="s">
        <v>1303</v>
      </c>
      <c r="D107" s="86">
        <v>102708000</v>
      </c>
      <c r="E107" s="82" t="s">
        <v>1304</v>
      </c>
      <c r="F107" s="82" t="str">
        <f>VLOOKUP(D107,'[1]Bến Cát'!$E$4:$F$177,2,0)</f>
        <v>11.222841083965076, 106.62470507918331</v>
      </c>
      <c r="G107" s="82" t="s">
        <v>1291</v>
      </c>
      <c r="H107" s="82" t="s">
        <v>878</v>
      </c>
      <c r="I107" s="82" t="s">
        <v>1305</v>
      </c>
      <c r="J107" s="82" t="s">
        <v>891</v>
      </c>
      <c r="K107" s="82"/>
      <c r="L107" s="82">
        <v>300</v>
      </c>
      <c r="M107" s="82">
        <f t="shared" si="1"/>
        <v>300</v>
      </c>
      <c r="N107" s="82" t="s">
        <v>90</v>
      </c>
      <c r="O107" s="82" t="s">
        <v>91</v>
      </c>
      <c r="P107" s="82" t="s">
        <v>91</v>
      </c>
      <c r="Q107" s="82" t="s">
        <v>881</v>
      </c>
      <c r="R107" s="82" t="s">
        <v>897</v>
      </c>
      <c r="S107" s="87"/>
      <c r="T107" s="87"/>
      <c r="U107" s="87"/>
      <c r="V107" s="87"/>
      <c r="W107" s="82">
        <v>5</v>
      </c>
      <c r="X107" s="87"/>
      <c r="Y107" s="82">
        <f t="shared" si="2"/>
        <v>5</v>
      </c>
      <c r="Z107" s="82">
        <v>5</v>
      </c>
      <c r="AA107" s="87"/>
      <c r="AB107" s="87"/>
      <c r="AC107" s="82">
        <f t="shared" si="3"/>
        <v>5</v>
      </c>
      <c r="AD107" s="87"/>
      <c r="AE107" s="82">
        <v>5</v>
      </c>
      <c r="AF107" s="87"/>
      <c r="AG107" s="87"/>
      <c r="AH107" s="87"/>
      <c r="AI107" s="82">
        <f t="shared" si="4"/>
        <v>5</v>
      </c>
      <c r="AJ107" s="82" t="s">
        <v>883</v>
      </c>
      <c r="AK107" s="82">
        <v>3</v>
      </c>
      <c r="AL107" s="82" t="s">
        <v>884</v>
      </c>
      <c r="AM107" s="88">
        <v>46135</v>
      </c>
      <c r="AN107" s="87"/>
      <c r="AO107" s="82" t="s">
        <v>892</v>
      </c>
      <c r="AY107" s="71"/>
    </row>
    <row r="108" spans="1:51" ht="65.25" customHeight="1" x14ac:dyDescent="0.3">
      <c r="A108" s="84">
        <v>1803</v>
      </c>
      <c r="B108" s="85" t="s">
        <v>1306</v>
      </c>
      <c r="C108" s="82" t="s">
        <v>1307</v>
      </c>
      <c r="D108" s="86">
        <v>102699000</v>
      </c>
      <c r="E108" s="82" t="s">
        <v>1308</v>
      </c>
      <c r="F108" s="82" t="str">
        <f>VLOOKUP(D108,'[1]Bến Cát'!$E$4:$F$177,2,0)</f>
        <v>11.2257629, 106.6214624</v>
      </c>
      <c r="G108" s="82" t="s">
        <v>1296</v>
      </c>
      <c r="H108" s="82" t="s">
        <v>878</v>
      </c>
      <c r="I108" s="82" t="s">
        <v>1309</v>
      </c>
      <c r="J108" s="82" t="s">
        <v>891</v>
      </c>
      <c r="K108" s="82"/>
      <c r="L108" s="82">
        <v>580</v>
      </c>
      <c r="M108" s="82">
        <f t="shared" si="1"/>
        <v>580</v>
      </c>
      <c r="N108" s="82" t="s">
        <v>91</v>
      </c>
      <c r="O108" s="82" t="s">
        <v>90</v>
      </c>
      <c r="P108" s="82" t="s">
        <v>91</v>
      </c>
      <c r="Q108" s="82" t="s">
        <v>881</v>
      </c>
      <c r="R108" s="82" t="s">
        <v>882</v>
      </c>
      <c r="S108" s="87"/>
      <c r="T108" s="87"/>
      <c r="U108" s="82">
        <v>13</v>
      </c>
      <c r="V108" s="87"/>
      <c r="W108" s="87"/>
      <c r="X108" s="87"/>
      <c r="Y108" s="82">
        <f t="shared" si="2"/>
        <v>13</v>
      </c>
      <c r="Z108" s="82">
        <v>13</v>
      </c>
      <c r="AA108" s="87"/>
      <c r="AB108" s="87"/>
      <c r="AC108" s="82">
        <f t="shared" si="3"/>
        <v>13</v>
      </c>
      <c r="AD108" s="87"/>
      <c r="AE108" s="82">
        <v>13</v>
      </c>
      <c r="AF108" s="87"/>
      <c r="AG108" s="87"/>
      <c r="AH108" s="87"/>
      <c r="AI108" s="82">
        <f t="shared" si="4"/>
        <v>13</v>
      </c>
      <c r="AJ108" s="82" t="s">
        <v>883</v>
      </c>
      <c r="AK108" s="82">
        <v>3</v>
      </c>
      <c r="AL108" s="82" t="s">
        <v>884</v>
      </c>
      <c r="AM108" s="88">
        <v>46135</v>
      </c>
      <c r="AN108" s="87"/>
      <c r="AO108" s="82" t="s">
        <v>885</v>
      </c>
      <c r="AY108" s="71"/>
    </row>
    <row r="109" spans="1:51" ht="65.25" customHeight="1" x14ac:dyDescent="0.3">
      <c r="A109" s="84">
        <v>1759</v>
      </c>
      <c r="B109" s="85" t="s">
        <v>1310</v>
      </c>
      <c r="C109" s="82" t="s">
        <v>1311</v>
      </c>
      <c r="D109" s="86">
        <v>100944000</v>
      </c>
      <c r="E109" s="82" t="s">
        <v>1312</v>
      </c>
      <c r="F109" s="82" t="str">
        <f>VLOOKUP(D109,'[1]Bến Cát'!$E$4:$F$177,2,0)</f>
        <v>11.1633081, 106.6120112</v>
      </c>
      <c r="G109" s="82" t="s">
        <v>1311</v>
      </c>
      <c r="H109" s="82" t="s">
        <v>878</v>
      </c>
      <c r="I109" s="82" t="s">
        <v>1313</v>
      </c>
      <c r="J109" s="82" t="s">
        <v>911</v>
      </c>
      <c r="K109" s="82"/>
      <c r="L109" s="82">
        <v>540</v>
      </c>
      <c r="M109" s="82">
        <f t="shared" si="1"/>
        <v>540</v>
      </c>
      <c r="N109" s="82" t="s">
        <v>90</v>
      </c>
      <c r="O109" s="82" t="s">
        <v>91</v>
      </c>
      <c r="P109" s="82" t="s">
        <v>91</v>
      </c>
      <c r="Q109" s="82" t="s">
        <v>881</v>
      </c>
      <c r="R109" s="82" t="s">
        <v>897</v>
      </c>
      <c r="S109" s="87"/>
      <c r="T109" s="87"/>
      <c r="U109" s="87"/>
      <c r="V109" s="87"/>
      <c r="W109" s="82">
        <v>11</v>
      </c>
      <c r="X109" s="87"/>
      <c r="Y109" s="82">
        <f t="shared" si="2"/>
        <v>11</v>
      </c>
      <c r="Z109" s="82">
        <v>11</v>
      </c>
      <c r="AA109" s="87"/>
      <c r="AB109" s="87"/>
      <c r="AC109" s="82">
        <f t="shared" si="3"/>
        <v>11</v>
      </c>
      <c r="AD109" s="87"/>
      <c r="AE109" s="82">
        <v>11</v>
      </c>
      <c r="AF109" s="87"/>
      <c r="AG109" s="87"/>
      <c r="AH109" s="87"/>
      <c r="AI109" s="82">
        <f t="shared" si="4"/>
        <v>11</v>
      </c>
      <c r="AJ109" s="82" t="s">
        <v>883</v>
      </c>
      <c r="AK109" s="82">
        <v>3</v>
      </c>
      <c r="AL109" s="82" t="s">
        <v>884</v>
      </c>
      <c r="AM109" s="88">
        <v>46135</v>
      </c>
      <c r="AN109" s="87"/>
      <c r="AO109" s="82" t="s">
        <v>892</v>
      </c>
      <c r="AY109" s="71"/>
    </row>
    <row r="110" spans="1:51" ht="65.25" customHeight="1" x14ac:dyDescent="0.3">
      <c r="A110" s="84">
        <v>1686</v>
      </c>
      <c r="B110" s="85" t="s">
        <v>1314</v>
      </c>
      <c r="C110" s="82" t="s">
        <v>1315</v>
      </c>
      <c r="D110" s="86">
        <v>102709000</v>
      </c>
      <c r="E110" s="82" t="s">
        <v>1316</v>
      </c>
      <c r="F110" s="82" t="str">
        <f>VLOOKUP(D110,'[1]Bến Cát'!$E$4:$F$177,2,0)</f>
        <v>11.225416975317053, 106.62249173639752</v>
      </c>
      <c r="G110" s="82" t="s">
        <v>1315</v>
      </c>
      <c r="H110" s="82" t="s">
        <v>878</v>
      </c>
      <c r="I110" s="82" t="s">
        <v>1317</v>
      </c>
      <c r="J110" s="82" t="s">
        <v>891</v>
      </c>
      <c r="K110" s="82"/>
      <c r="L110" s="82">
        <v>680</v>
      </c>
      <c r="M110" s="82">
        <f t="shared" si="1"/>
        <v>680</v>
      </c>
      <c r="N110" s="82" t="s">
        <v>91</v>
      </c>
      <c r="O110" s="82" t="s">
        <v>90</v>
      </c>
      <c r="P110" s="82" t="s">
        <v>91</v>
      </c>
      <c r="Q110" s="82" t="s">
        <v>881</v>
      </c>
      <c r="R110" s="82" t="s">
        <v>897</v>
      </c>
      <c r="S110" s="87"/>
      <c r="T110" s="87"/>
      <c r="U110" s="87"/>
      <c r="V110" s="87"/>
      <c r="W110" s="82">
        <v>18</v>
      </c>
      <c r="X110" s="87"/>
      <c r="Y110" s="82">
        <f t="shared" si="2"/>
        <v>18</v>
      </c>
      <c r="Z110" s="82">
        <v>18</v>
      </c>
      <c r="AA110" s="87"/>
      <c r="AB110" s="87"/>
      <c r="AC110" s="82">
        <f t="shared" si="3"/>
        <v>18</v>
      </c>
      <c r="AD110" s="87"/>
      <c r="AE110" s="82">
        <v>18</v>
      </c>
      <c r="AF110" s="87"/>
      <c r="AG110" s="87"/>
      <c r="AH110" s="87"/>
      <c r="AI110" s="82">
        <f t="shared" si="4"/>
        <v>18</v>
      </c>
      <c r="AJ110" s="82" t="s">
        <v>883</v>
      </c>
      <c r="AK110" s="82">
        <v>2</v>
      </c>
      <c r="AL110" s="82" t="s">
        <v>884</v>
      </c>
      <c r="AM110" s="88">
        <v>46135</v>
      </c>
      <c r="AN110" s="87"/>
      <c r="AO110" s="82" t="s">
        <v>892</v>
      </c>
      <c r="AY110" s="71"/>
    </row>
    <row r="111" spans="1:51" ht="65.25" customHeight="1" x14ac:dyDescent="0.3">
      <c r="A111" s="84">
        <v>1803</v>
      </c>
      <c r="B111" s="85" t="s">
        <v>1318</v>
      </c>
      <c r="C111" s="82" t="s">
        <v>1319</v>
      </c>
      <c r="D111" s="86">
        <v>102700000</v>
      </c>
      <c r="E111" s="82" t="s">
        <v>1320</v>
      </c>
      <c r="F111" s="82" t="str">
        <f>VLOOKUP(D111,'[1]Bến Cát'!$E$4:$F$177,2,0)</f>
        <v>11.2272833, 106.6147936</v>
      </c>
      <c r="G111" s="82" t="s">
        <v>1296</v>
      </c>
      <c r="H111" s="82" t="s">
        <v>878</v>
      </c>
      <c r="I111" s="82" t="s">
        <v>1321</v>
      </c>
      <c r="J111" s="82" t="s">
        <v>891</v>
      </c>
      <c r="K111" s="82"/>
      <c r="L111" s="82">
        <v>1300</v>
      </c>
      <c r="M111" s="82">
        <f t="shared" si="1"/>
        <v>1300</v>
      </c>
      <c r="N111" s="82" t="s">
        <v>91</v>
      </c>
      <c r="O111" s="82" t="s">
        <v>90</v>
      </c>
      <c r="P111" s="82" t="s">
        <v>91</v>
      </c>
      <c r="Q111" s="82" t="s">
        <v>881</v>
      </c>
      <c r="R111" s="82" t="s">
        <v>897</v>
      </c>
      <c r="S111" s="87"/>
      <c r="T111" s="87"/>
      <c r="U111" s="87"/>
      <c r="V111" s="87"/>
      <c r="W111" s="82">
        <v>35</v>
      </c>
      <c r="X111" s="87"/>
      <c r="Y111" s="82">
        <f t="shared" si="2"/>
        <v>35</v>
      </c>
      <c r="Z111" s="82">
        <v>35</v>
      </c>
      <c r="AA111" s="87"/>
      <c r="AB111" s="87"/>
      <c r="AC111" s="82">
        <f t="shared" si="3"/>
        <v>35</v>
      </c>
      <c r="AD111" s="87"/>
      <c r="AE111" s="82">
        <v>35</v>
      </c>
      <c r="AF111" s="87"/>
      <c r="AG111" s="87"/>
      <c r="AH111" s="87"/>
      <c r="AI111" s="82">
        <f t="shared" si="4"/>
        <v>35</v>
      </c>
      <c r="AJ111" s="82" t="s">
        <v>883</v>
      </c>
      <c r="AK111" s="82">
        <v>3</v>
      </c>
      <c r="AL111" s="82" t="s">
        <v>884</v>
      </c>
      <c r="AM111" s="88">
        <v>46135</v>
      </c>
      <c r="AN111" s="87"/>
      <c r="AO111" s="82" t="s">
        <v>892</v>
      </c>
      <c r="AY111" s="71"/>
    </row>
    <row r="112" spans="1:51" ht="65.25" customHeight="1" x14ac:dyDescent="0.3">
      <c r="A112" s="84">
        <v>1687</v>
      </c>
      <c r="B112" s="85" t="s">
        <v>1322</v>
      </c>
      <c r="C112" s="82" t="s">
        <v>1323</v>
      </c>
      <c r="D112" s="86">
        <v>102710000</v>
      </c>
      <c r="E112" s="82" t="s">
        <v>1324</v>
      </c>
      <c r="F112" s="82" t="str">
        <f>VLOOKUP(D112,'[1]Bến Cát'!$E$4:$F$177,2,0)</f>
        <v>11.22390560107937, 106.62245550842843</v>
      </c>
      <c r="G112" s="82" t="s">
        <v>1323</v>
      </c>
      <c r="H112" s="82" t="s">
        <v>878</v>
      </c>
      <c r="I112" s="82" t="s">
        <v>1325</v>
      </c>
      <c r="J112" s="82" t="s">
        <v>891</v>
      </c>
      <c r="K112" s="82"/>
      <c r="L112" s="82">
        <v>840</v>
      </c>
      <c r="M112" s="82">
        <f t="shared" si="1"/>
        <v>840</v>
      </c>
      <c r="N112" s="82" t="s">
        <v>91</v>
      </c>
      <c r="O112" s="82" t="s">
        <v>90</v>
      </c>
      <c r="P112" s="82" t="s">
        <v>91</v>
      </c>
      <c r="Q112" s="82" t="s">
        <v>881</v>
      </c>
      <c r="R112" s="82" t="s">
        <v>897</v>
      </c>
      <c r="S112" s="87"/>
      <c r="T112" s="87"/>
      <c r="U112" s="87"/>
      <c r="V112" s="87"/>
      <c r="W112" s="82">
        <v>23</v>
      </c>
      <c r="X112" s="87"/>
      <c r="Y112" s="82">
        <f t="shared" si="2"/>
        <v>23</v>
      </c>
      <c r="Z112" s="82">
        <v>23</v>
      </c>
      <c r="AA112" s="87"/>
      <c r="AB112" s="87"/>
      <c r="AC112" s="82">
        <f t="shared" si="3"/>
        <v>23</v>
      </c>
      <c r="AD112" s="87"/>
      <c r="AE112" s="82">
        <v>23</v>
      </c>
      <c r="AF112" s="87"/>
      <c r="AG112" s="87"/>
      <c r="AH112" s="87"/>
      <c r="AI112" s="82">
        <f t="shared" si="4"/>
        <v>23</v>
      </c>
      <c r="AJ112" s="82" t="s">
        <v>883</v>
      </c>
      <c r="AK112" s="82">
        <v>3</v>
      </c>
      <c r="AL112" s="82" t="s">
        <v>884</v>
      </c>
      <c r="AM112" s="88">
        <v>46135</v>
      </c>
      <c r="AN112" s="87"/>
      <c r="AO112" s="82" t="s">
        <v>892</v>
      </c>
      <c r="AY112" s="71"/>
    </row>
    <row r="113" spans="1:51" ht="65.25" customHeight="1" x14ac:dyDescent="0.3">
      <c r="A113" s="84">
        <v>1763</v>
      </c>
      <c r="B113" s="85" t="s">
        <v>1326</v>
      </c>
      <c r="C113" s="82" t="s">
        <v>1327</v>
      </c>
      <c r="D113" s="86">
        <v>100945000</v>
      </c>
      <c r="E113" s="82" t="s">
        <v>1328</v>
      </c>
      <c r="F113" s="82" t="str">
        <f>VLOOKUP(D113,'[1]Bến Cát'!$E$4:$F$177,2,0)</f>
        <v>11.1648794, 106.5952702</v>
      </c>
      <c r="G113" s="82" t="s">
        <v>1327</v>
      </c>
      <c r="H113" s="82" t="s">
        <v>878</v>
      </c>
      <c r="I113" s="82" t="s">
        <v>1329</v>
      </c>
      <c r="J113" s="82" t="s">
        <v>891</v>
      </c>
      <c r="K113" s="82"/>
      <c r="L113" s="82">
        <v>160</v>
      </c>
      <c r="M113" s="82">
        <f t="shared" si="1"/>
        <v>160</v>
      </c>
      <c r="N113" s="82" t="s">
        <v>91</v>
      </c>
      <c r="O113" s="82" t="s">
        <v>90</v>
      </c>
      <c r="P113" s="82" t="s">
        <v>91</v>
      </c>
      <c r="Q113" s="82" t="s">
        <v>881</v>
      </c>
      <c r="R113" s="82" t="s">
        <v>897</v>
      </c>
      <c r="S113" s="87"/>
      <c r="T113" s="87"/>
      <c r="U113" s="87"/>
      <c r="V113" s="87"/>
      <c r="W113" s="82">
        <v>7</v>
      </c>
      <c r="X113" s="87"/>
      <c r="Y113" s="82">
        <f t="shared" si="2"/>
        <v>7</v>
      </c>
      <c r="Z113" s="82">
        <v>7</v>
      </c>
      <c r="AA113" s="87"/>
      <c r="AB113" s="87"/>
      <c r="AC113" s="82">
        <f t="shared" si="3"/>
        <v>7</v>
      </c>
      <c r="AD113" s="87"/>
      <c r="AE113" s="82">
        <v>7</v>
      </c>
      <c r="AF113" s="87"/>
      <c r="AG113" s="87"/>
      <c r="AH113" s="87"/>
      <c r="AI113" s="82">
        <f t="shared" si="4"/>
        <v>7</v>
      </c>
      <c r="AJ113" s="82" t="s">
        <v>883</v>
      </c>
      <c r="AK113" s="82">
        <v>2</v>
      </c>
      <c r="AL113" s="82" t="s">
        <v>884</v>
      </c>
      <c r="AM113" s="88">
        <v>46135</v>
      </c>
      <c r="AN113" s="87"/>
      <c r="AO113" s="82" t="s">
        <v>892</v>
      </c>
      <c r="AY113" s="71"/>
    </row>
    <row r="114" spans="1:51" ht="65.25" customHeight="1" x14ac:dyDescent="0.3">
      <c r="A114" s="84">
        <v>1675</v>
      </c>
      <c r="B114" s="85" t="s">
        <v>1330</v>
      </c>
      <c r="C114" s="82" t="s">
        <v>1331</v>
      </c>
      <c r="D114" s="86">
        <v>103288000</v>
      </c>
      <c r="E114" s="82" t="s">
        <v>1332</v>
      </c>
      <c r="F114" s="82" t="str">
        <f>VLOOKUP(D114,'[1]Bến Cát'!$E$4:$F$177,2,0)</f>
        <v>11.199089579856205, 106.61563797238186</v>
      </c>
      <c r="G114" s="82" t="s">
        <v>1331</v>
      </c>
      <c r="H114" s="82" t="s">
        <v>878</v>
      </c>
      <c r="I114" s="82" t="s">
        <v>1333</v>
      </c>
      <c r="J114" s="82" t="s">
        <v>891</v>
      </c>
      <c r="K114" s="82"/>
      <c r="L114" s="82">
        <v>360</v>
      </c>
      <c r="M114" s="82">
        <f t="shared" si="1"/>
        <v>360</v>
      </c>
      <c r="N114" s="82" t="s">
        <v>91</v>
      </c>
      <c r="O114" s="82" t="s">
        <v>90</v>
      </c>
      <c r="P114" s="82" t="s">
        <v>91</v>
      </c>
      <c r="Q114" s="82" t="s">
        <v>881</v>
      </c>
      <c r="R114" s="82" t="s">
        <v>882</v>
      </c>
      <c r="S114" s="87"/>
      <c r="T114" s="87"/>
      <c r="U114" s="82">
        <v>9</v>
      </c>
      <c r="V114" s="87"/>
      <c r="W114" s="87"/>
      <c r="X114" s="87"/>
      <c r="Y114" s="82">
        <f t="shared" si="2"/>
        <v>9</v>
      </c>
      <c r="Z114" s="82">
        <v>9</v>
      </c>
      <c r="AA114" s="87"/>
      <c r="AB114" s="87"/>
      <c r="AC114" s="82">
        <f t="shared" si="3"/>
        <v>9</v>
      </c>
      <c r="AD114" s="87"/>
      <c r="AE114" s="82">
        <v>9</v>
      </c>
      <c r="AF114" s="87"/>
      <c r="AG114" s="87"/>
      <c r="AH114" s="87"/>
      <c r="AI114" s="82">
        <f t="shared" si="4"/>
        <v>9</v>
      </c>
      <c r="AJ114" s="82" t="s">
        <v>883</v>
      </c>
      <c r="AK114" s="82">
        <v>3</v>
      </c>
      <c r="AL114" s="82" t="s">
        <v>884</v>
      </c>
      <c r="AM114" s="88">
        <v>46136</v>
      </c>
      <c r="AN114" s="87"/>
      <c r="AO114" s="82" t="s">
        <v>885</v>
      </c>
      <c r="AY114" s="71"/>
    </row>
    <row r="115" spans="1:51" ht="65.25" customHeight="1" x14ac:dyDescent="0.3">
      <c r="A115" s="84">
        <v>1732</v>
      </c>
      <c r="B115" s="85" t="s">
        <v>1334</v>
      </c>
      <c r="C115" s="82" t="s">
        <v>1335</v>
      </c>
      <c r="D115" s="86">
        <v>102232000</v>
      </c>
      <c r="E115" s="82" t="s">
        <v>1336</v>
      </c>
      <c r="F115" s="82" t="str">
        <f>VLOOKUP(D115,'[1]Bến Cát'!$E$4:$F$177,2,0)</f>
        <v>11.1710443, 106.6013004</v>
      </c>
      <c r="G115" s="82" t="s">
        <v>1335</v>
      </c>
      <c r="H115" s="82" t="s">
        <v>878</v>
      </c>
      <c r="I115" s="82" t="s">
        <v>1337</v>
      </c>
      <c r="J115" s="82" t="s">
        <v>891</v>
      </c>
      <c r="K115" s="82"/>
      <c r="L115" s="82">
        <v>540</v>
      </c>
      <c r="M115" s="82">
        <f t="shared" si="1"/>
        <v>540</v>
      </c>
      <c r="N115" s="82" t="s">
        <v>91</v>
      </c>
      <c r="O115" s="82" t="s">
        <v>90</v>
      </c>
      <c r="P115" s="82" t="s">
        <v>91</v>
      </c>
      <c r="Q115" s="82" t="s">
        <v>881</v>
      </c>
      <c r="R115" s="82" t="s">
        <v>882</v>
      </c>
      <c r="S115" s="87"/>
      <c r="T115" s="87"/>
      <c r="U115" s="87"/>
      <c r="V115" s="87"/>
      <c r="W115" s="82">
        <v>19</v>
      </c>
      <c r="X115" s="87"/>
      <c r="Y115" s="82">
        <f t="shared" si="2"/>
        <v>19</v>
      </c>
      <c r="Z115" s="82">
        <v>19</v>
      </c>
      <c r="AA115" s="87"/>
      <c r="AB115" s="87"/>
      <c r="AC115" s="82">
        <f t="shared" si="3"/>
        <v>19</v>
      </c>
      <c r="AD115" s="87"/>
      <c r="AE115" s="82">
        <v>19</v>
      </c>
      <c r="AF115" s="87"/>
      <c r="AG115" s="87"/>
      <c r="AH115" s="87"/>
      <c r="AI115" s="82">
        <f t="shared" si="4"/>
        <v>19</v>
      </c>
      <c r="AJ115" s="82" t="s">
        <v>883</v>
      </c>
      <c r="AK115" s="82">
        <v>3</v>
      </c>
      <c r="AL115" s="82" t="s">
        <v>884</v>
      </c>
      <c r="AM115" s="88">
        <v>46136</v>
      </c>
      <c r="AN115" s="87"/>
      <c r="AO115" s="82" t="s">
        <v>892</v>
      </c>
      <c r="AY115" s="71"/>
    </row>
    <row r="116" spans="1:51" ht="65.25" customHeight="1" x14ac:dyDescent="0.3">
      <c r="A116" s="84">
        <v>1677</v>
      </c>
      <c r="B116" s="85" t="s">
        <v>1338</v>
      </c>
      <c r="C116" s="82" t="s">
        <v>1339</v>
      </c>
      <c r="D116" s="86">
        <v>103289000</v>
      </c>
      <c r="E116" s="82" t="s">
        <v>1340</v>
      </c>
      <c r="F116" s="82" t="str">
        <f>VLOOKUP(D116,'[1]Bến Cát'!$E$4:$F$177,2,0)</f>
        <v>11.199635584744222, 106.61481817717878</v>
      </c>
      <c r="G116" s="82" t="s">
        <v>1339</v>
      </c>
      <c r="H116" s="82" t="s">
        <v>878</v>
      </c>
      <c r="I116" s="82" t="s">
        <v>1341</v>
      </c>
      <c r="J116" s="82" t="s">
        <v>891</v>
      </c>
      <c r="K116" s="82"/>
      <c r="L116" s="82">
        <v>280</v>
      </c>
      <c r="M116" s="82">
        <f t="shared" si="1"/>
        <v>280</v>
      </c>
      <c r="N116" s="82" t="s">
        <v>91</v>
      </c>
      <c r="O116" s="82" t="s">
        <v>90</v>
      </c>
      <c r="P116" s="82" t="s">
        <v>91</v>
      </c>
      <c r="Q116" s="82" t="s">
        <v>881</v>
      </c>
      <c r="R116" s="82" t="s">
        <v>882</v>
      </c>
      <c r="S116" s="87"/>
      <c r="T116" s="87"/>
      <c r="U116" s="82">
        <v>8</v>
      </c>
      <c r="V116" s="87"/>
      <c r="W116" s="87"/>
      <c r="X116" s="87"/>
      <c r="Y116" s="82">
        <f t="shared" si="2"/>
        <v>8</v>
      </c>
      <c r="Z116" s="82">
        <v>8</v>
      </c>
      <c r="AA116" s="87"/>
      <c r="AB116" s="87"/>
      <c r="AC116" s="82">
        <f t="shared" si="3"/>
        <v>8</v>
      </c>
      <c r="AD116" s="87"/>
      <c r="AE116" s="82">
        <v>8</v>
      </c>
      <c r="AF116" s="87"/>
      <c r="AG116" s="87"/>
      <c r="AH116" s="87"/>
      <c r="AI116" s="82">
        <f t="shared" si="4"/>
        <v>8</v>
      </c>
      <c r="AJ116" s="82" t="s">
        <v>883</v>
      </c>
      <c r="AK116" s="82">
        <v>3</v>
      </c>
      <c r="AL116" s="82" t="s">
        <v>884</v>
      </c>
      <c r="AM116" s="88">
        <v>46136</v>
      </c>
      <c r="AN116" s="87"/>
      <c r="AO116" s="82" t="s">
        <v>885</v>
      </c>
      <c r="AY116" s="71"/>
    </row>
    <row r="117" spans="1:51" ht="65.25" customHeight="1" x14ac:dyDescent="0.3">
      <c r="A117" s="84">
        <v>1638</v>
      </c>
      <c r="B117" s="85" t="s">
        <v>1342</v>
      </c>
      <c r="C117" s="82" t="s">
        <v>1343</v>
      </c>
      <c r="D117" s="86">
        <v>101288000</v>
      </c>
      <c r="E117" s="82" t="s">
        <v>738</v>
      </c>
      <c r="F117" s="82" t="s">
        <v>857</v>
      </c>
      <c r="G117" s="82" t="s">
        <v>737</v>
      </c>
      <c r="H117" s="82" t="s">
        <v>878</v>
      </c>
      <c r="I117" s="82" t="s">
        <v>1344</v>
      </c>
      <c r="J117" s="82" t="s">
        <v>891</v>
      </c>
      <c r="K117" s="82"/>
      <c r="L117" s="82">
        <v>2400</v>
      </c>
      <c r="M117" s="82">
        <f t="shared" si="1"/>
        <v>2400</v>
      </c>
      <c r="N117" s="82" t="s">
        <v>91</v>
      </c>
      <c r="O117" s="82" t="s">
        <v>90</v>
      </c>
      <c r="P117" s="82" t="s">
        <v>91</v>
      </c>
      <c r="Q117" s="82" t="s">
        <v>881</v>
      </c>
      <c r="R117" s="82" t="s">
        <v>897</v>
      </c>
      <c r="S117" s="87"/>
      <c r="T117" s="87"/>
      <c r="U117" s="82">
        <v>34</v>
      </c>
      <c r="V117" s="87"/>
      <c r="W117" s="87"/>
      <c r="X117" s="87"/>
      <c r="Y117" s="82">
        <f t="shared" si="2"/>
        <v>34</v>
      </c>
      <c r="Z117" s="82">
        <v>34</v>
      </c>
      <c r="AA117" s="87"/>
      <c r="AB117" s="87"/>
      <c r="AC117" s="82">
        <f t="shared" si="3"/>
        <v>34</v>
      </c>
      <c r="AD117" s="87"/>
      <c r="AE117" s="82">
        <v>34</v>
      </c>
      <c r="AF117" s="87"/>
      <c r="AG117" s="87"/>
      <c r="AH117" s="87"/>
      <c r="AI117" s="82">
        <f t="shared" si="4"/>
        <v>34</v>
      </c>
      <c r="AJ117" s="82" t="s">
        <v>883</v>
      </c>
      <c r="AK117" s="82">
        <v>3</v>
      </c>
      <c r="AL117" s="82" t="s">
        <v>884</v>
      </c>
      <c r="AM117" s="88">
        <v>46136</v>
      </c>
      <c r="AN117" s="87"/>
      <c r="AO117" s="82" t="s">
        <v>892</v>
      </c>
      <c r="AY117" s="71"/>
    </row>
    <row r="118" spans="1:51" ht="65.25" customHeight="1" x14ac:dyDescent="0.3">
      <c r="A118" s="84">
        <v>1676</v>
      </c>
      <c r="B118" s="85" t="s">
        <v>1345</v>
      </c>
      <c r="C118" s="82" t="s">
        <v>1346</v>
      </c>
      <c r="D118" s="86">
        <v>100955000</v>
      </c>
      <c r="E118" s="82" t="s">
        <v>1241</v>
      </c>
      <c r="F118" s="82" t="str">
        <f>VLOOKUP(D118,'[1]Bến Cát'!$E$4:$F$177,2,0)</f>
        <v>11.199729374032994, 106.61044211233386</v>
      </c>
      <c r="G118" s="82" t="s">
        <v>1346</v>
      </c>
      <c r="H118" s="82" t="s">
        <v>878</v>
      </c>
      <c r="I118" s="82" t="s">
        <v>1242</v>
      </c>
      <c r="J118" s="87"/>
      <c r="K118" s="87"/>
      <c r="L118" s="87"/>
      <c r="M118" s="82"/>
      <c r="N118" s="82" t="s">
        <v>91</v>
      </c>
      <c r="O118" s="82" t="s">
        <v>90</v>
      </c>
      <c r="P118" s="82" t="s">
        <v>91</v>
      </c>
      <c r="Q118" s="82" t="s">
        <v>881</v>
      </c>
      <c r="R118" s="82" t="s">
        <v>882</v>
      </c>
      <c r="S118" s="87"/>
      <c r="T118" s="87"/>
      <c r="U118" s="87"/>
      <c r="V118" s="87"/>
      <c r="W118" s="87"/>
      <c r="X118" s="87"/>
      <c r="Y118" s="82">
        <f t="shared" si="2"/>
        <v>0</v>
      </c>
      <c r="Z118" s="87"/>
      <c r="AA118" s="87"/>
      <c r="AB118" s="87"/>
      <c r="AC118" s="82">
        <f t="shared" si="3"/>
        <v>0</v>
      </c>
      <c r="AD118" s="87"/>
      <c r="AE118" s="87"/>
      <c r="AF118" s="87"/>
      <c r="AG118" s="87"/>
      <c r="AH118" s="87"/>
      <c r="AI118" s="82">
        <f t="shared" si="4"/>
        <v>0</v>
      </c>
      <c r="AJ118" s="87"/>
      <c r="AK118" s="87"/>
      <c r="AL118" s="82" t="s">
        <v>884</v>
      </c>
      <c r="AM118" s="88">
        <v>46136</v>
      </c>
      <c r="AN118" s="82" t="s">
        <v>1347</v>
      </c>
      <c r="AO118" s="82" t="s">
        <v>885</v>
      </c>
      <c r="AY118" s="71"/>
    </row>
    <row r="119" spans="1:51" ht="65.25" customHeight="1" x14ac:dyDescent="0.3">
      <c r="A119" s="84">
        <v>1638</v>
      </c>
      <c r="B119" s="85" t="s">
        <v>1348</v>
      </c>
      <c r="C119" s="82" t="s">
        <v>1349</v>
      </c>
      <c r="D119" s="86">
        <v>102701000</v>
      </c>
      <c r="E119" s="82" t="s">
        <v>1350</v>
      </c>
      <c r="F119" s="82" t="str">
        <f>VLOOKUP(D119,'[1]Bến Cát'!$E$4:$F$177,2,0)</f>
        <v>11.2524295, 106.6608964</v>
      </c>
      <c r="G119" s="82" t="s">
        <v>737</v>
      </c>
      <c r="H119" s="82" t="s">
        <v>878</v>
      </c>
      <c r="I119" s="82" t="s">
        <v>1351</v>
      </c>
      <c r="J119" s="82" t="s">
        <v>911</v>
      </c>
      <c r="K119" s="82"/>
      <c r="L119" s="82">
        <v>2680</v>
      </c>
      <c r="M119" s="82">
        <f>SUM(L119)</f>
        <v>2680</v>
      </c>
      <c r="N119" s="82" t="s">
        <v>90</v>
      </c>
      <c r="O119" s="82" t="s">
        <v>91</v>
      </c>
      <c r="P119" s="82" t="s">
        <v>91</v>
      </c>
      <c r="Q119" s="82" t="s">
        <v>881</v>
      </c>
      <c r="R119" s="82" t="s">
        <v>882</v>
      </c>
      <c r="S119" s="87"/>
      <c r="T119" s="87"/>
      <c r="U119" s="82">
        <v>33</v>
      </c>
      <c r="V119" s="87"/>
      <c r="W119" s="87"/>
      <c r="X119" s="87"/>
      <c r="Y119" s="82">
        <f t="shared" si="2"/>
        <v>33</v>
      </c>
      <c r="Z119" s="82">
        <v>33</v>
      </c>
      <c r="AA119" s="87"/>
      <c r="AB119" s="87"/>
      <c r="AC119" s="82">
        <f t="shared" si="3"/>
        <v>33</v>
      </c>
      <c r="AD119" s="87"/>
      <c r="AE119" s="82">
        <v>33</v>
      </c>
      <c r="AF119" s="87"/>
      <c r="AG119" s="87"/>
      <c r="AH119" s="87"/>
      <c r="AI119" s="82">
        <f t="shared" si="4"/>
        <v>33</v>
      </c>
      <c r="AJ119" s="82" t="s">
        <v>883</v>
      </c>
      <c r="AK119" s="82">
        <v>3</v>
      </c>
      <c r="AL119" s="82" t="s">
        <v>884</v>
      </c>
      <c r="AM119" s="88">
        <v>46136</v>
      </c>
      <c r="AN119" s="87"/>
      <c r="AO119" s="82" t="s">
        <v>885</v>
      </c>
      <c r="AY119" s="71"/>
    </row>
    <row r="120" spans="1:51" ht="65.25" customHeight="1" x14ac:dyDescent="0.3">
      <c r="A120" s="84">
        <v>1654</v>
      </c>
      <c r="B120" s="85" t="s">
        <v>1352</v>
      </c>
      <c r="C120" s="82" t="s">
        <v>1353</v>
      </c>
      <c r="D120" s="86">
        <v>101276000</v>
      </c>
      <c r="E120" s="82" t="s">
        <v>1354</v>
      </c>
      <c r="F120" s="82" t="str">
        <f>VLOOKUP(D120,'[1]Bến Cát'!$E$4:$F$177,2,0)</f>
        <v>11.2722213, 106.6405633</v>
      </c>
      <c r="G120" s="82" t="s">
        <v>1355</v>
      </c>
      <c r="H120" s="82" t="s">
        <v>878</v>
      </c>
      <c r="I120" s="82" t="s">
        <v>1356</v>
      </c>
      <c r="J120" s="82" t="s">
        <v>891</v>
      </c>
      <c r="K120" s="82"/>
      <c r="L120" s="82">
        <v>780</v>
      </c>
      <c r="M120" s="82">
        <f t="shared" ref="M120:M184" si="5">SUM(K120:L120)</f>
        <v>780</v>
      </c>
      <c r="N120" s="82" t="s">
        <v>90</v>
      </c>
      <c r="O120" s="82" t="s">
        <v>91</v>
      </c>
      <c r="P120" s="82" t="s">
        <v>91</v>
      </c>
      <c r="Q120" s="82" t="s">
        <v>881</v>
      </c>
      <c r="R120" s="82" t="s">
        <v>897</v>
      </c>
      <c r="S120" s="87"/>
      <c r="T120" s="87"/>
      <c r="U120" s="87"/>
      <c r="V120" s="87"/>
      <c r="W120" s="82">
        <v>13</v>
      </c>
      <c r="X120" s="87"/>
      <c r="Y120" s="82">
        <f t="shared" si="2"/>
        <v>13</v>
      </c>
      <c r="Z120" s="82">
        <v>13</v>
      </c>
      <c r="AA120" s="87"/>
      <c r="AB120" s="87"/>
      <c r="AC120" s="82">
        <f t="shared" si="3"/>
        <v>13</v>
      </c>
      <c r="AD120" s="87"/>
      <c r="AE120" s="82">
        <v>13</v>
      </c>
      <c r="AF120" s="87"/>
      <c r="AG120" s="87"/>
      <c r="AH120" s="87"/>
      <c r="AI120" s="82">
        <f t="shared" si="4"/>
        <v>13</v>
      </c>
      <c r="AJ120" s="82" t="s">
        <v>883</v>
      </c>
      <c r="AK120" s="82">
        <v>3</v>
      </c>
      <c r="AL120" s="82" t="s">
        <v>884</v>
      </c>
      <c r="AM120" s="88">
        <v>46136</v>
      </c>
      <c r="AN120" s="87"/>
      <c r="AO120" s="82" t="s">
        <v>892</v>
      </c>
      <c r="AY120" s="71"/>
    </row>
    <row r="121" spans="1:51" ht="65.25" customHeight="1" x14ac:dyDescent="0.3">
      <c r="A121" s="84">
        <v>1654</v>
      </c>
      <c r="B121" s="85" t="s">
        <v>1357</v>
      </c>
      <c r="C121" s="82" t="s">
        <v>1358</v>
      </c>
      <c r="D121" s="86">
        <v>101274000</v>
      </c>
      <c r="E121" s="82" t="s">
        <v>1359</v>
      </c>
      <c r="F121" s="82" t="str">
        <f>VLOOKUP(D121,'[1]Bến Cát'!$E$4:$F$177,2,0)</f>
        <v>11.2793777, 106.6421409</v>
      </c>
      <c r="G121" s="82" t="s">
        <v>1355</v>
      </c>
      <c r="H121" s="82" t="s">
        <v>878</v>
      </c>
      <c r="I121" s="82" t="s">
        <v>1360</v>
      </c>
      <c r="J121" s="82" t="s">
        <v>891</v>
      </c>
      <c r="K121" s="82"/>
      <c r="L121" s="82">
        <v>1080</v>
      </c>
      <c r="M121" s="82">
        <f t="shared" si="5"/>
        <v>1080</v>
      </c>
      <c r="N121" s="82" t="s">
        <v>90</v>
      </c>
      <c r="O121" s="82" t="s">
        <v>91</v>
      </c>
      <c r="P121" s="82" t="s">
        <v>91</v>
      </c>
      <c r="Q121" s="82" t="s">
        <v>881</v>
      </c>
      <c r="R121" s="82" t="s">
        <v>897</v>
      </c>
      <c r="S121" s="87"/>
      <c r="T121" s="87"/>
      <c r="U121" s="87"/>
      <c r="V121" s="87"/>
      <c r="W121" s="82">
        <v>18</v>
      </c>
      <c r="X121" s="87"/>
      <c r="Y121" s="82">
        <f t="shared" si="2"/>
        <v>18</v>
      </c>
      <c r="Z121" s="82">
        <v>18</v>
      </c>
      <c r="AA121" s="87"/>
      <c r="AB121" s="87"/>
      <c r="AC121" s="82">
        <f t="shared" si="3"/>
        <v>18</v>
      </c>
      <c r="AD121" s="87"/>
      <c r="AE121" s="82">
        <v>18</v>
      </c>
      <c r="AF121" s="87"/>
      <c r="AG121" s="87"/>
      <c r="AH121" s="87"/>
      <c r="AI121" s="82">
        <f t="shared" si="4"/>
        <v>18</v>
      </c>
      <c r="AJ121" s="82" t="s">
        <v>883</v>
      </c>
      <c r="AK121" s="82">
        <v>3</v>
      </c>
      <c r="AL121" s="82" t="s">
        <v>884</v>
      </c>
      <c r="AM121" s="88">
        <v>46136</v>
      </c>
      <c r="AN121" s="87"/>
      <c r="AO121" s="82" t="s">
        <v>892</v>
      </c>
      <c r="AY121" s="71"/>
    </row>
    <row r="122" spans="1:51" ht="65.25" customHeight="1" x14ac:dyDescent="0.3">
      <c r="A122" s="84">
        <v>1638</v>
      </c>
      <c r="B122" s="85" t="s">
        <v>1361</v>
      </c>
      <c r="C122" s="82" t="s">
        <v>1362</v>
      </c>
      <c r="D122" s="86">
        <v>102118000</v>
      </c>
      <c r="E122" s="82" t="s">
        <v>749</v>
      </c>
      <c r="F122" s="82" t="s">
        <v>869</v>
      </c>
      <c r="G122" s="82" t="s">
        <v>737</v>
      </c>
      <c r="H122" s="82" t="s">
        <v>878</v>
      </c>
      <c r="I122" s="82" t="s">
        <v>1363</v>
      </c>
      <c r="J122" s="82" t="s">
        <v>891</v>
      </c>
      <c r="K122" s="82"/>
      <c r="L122" s="82">
        <v>1300</v>
      </c>
      <c r="M122" s="82">
        <f t="shared" si="5"/>
        <v>1300</v>
      </c>
      <c r="N122" s="82" t="s">
        <v>91</v>
      </c>
      <c r="O122" s="82" t="s">
        <v>90</v>
      </c>
      <c r="P122" s="82" t="s">
        <v>91</v>
      </c>
      <c r="Q122" s="82" t="s">
        <v>881</v>
      </c>
      <c r="R122" s="82" t="s">
        <v>882</v>
      </c>
      <c r="S122" s="87"/>
      <c r="T122" s="87"/>
      <c r="U122" s="82">
        <v>18</v>
      </c>
      <c r="V122" s="87"/>
      <c r="W122" s="87"/>
      <c r="X122" s="87"/>
      <c r="Y122" s="82">
        <f t="shared" si="2"/>
        <v>18</v>
      </c>
      <c r="Z122" s="82">
        <v>18</v>
      </c>
      <c r="AA122" s="87"/>
      <c r="AB122" s="87"/>
      <c r="AC122" s="82">
        <f t="shared" si="3"/>
        <v>18</v>
      </c>
      <c r="AD122" s="87"/>
      <c r="AE122" s="82">
        <v>18</v>
      </c>
      <c r="AF122" s="87"/>
      <c r="AG122" s="87"/>
      <c r="AH122" s="87"/>
      <c r="AI122" s="82">
        <f t="shared" si="4"/>
        <v>18</v>
      </c>
      <c r="AJ122" s="82" t="s">
        <v>883</v>
      </c>
      <c r="AK122" s="82">
        <v>3</v>
      </c>
      <c r="AL122" s="82" t="s">
        <v>884</v>
      </c>
      <c r="AM122" s="88">
        <v>46136</v>
      </c>
      <c r="AN122" s="87"/>
      <c r="AO122" s="82" t="s">
        <v>885</v>
      </c>
      <c r="AY122" s="71"/>
    </row>
    <row r="123" spans="1:51" ht="65.25" customHeight="1" x14ac:dyDescent="0.3">
      <c r="A123" s="84" t="s">
        <v>1364</v>
      </c>
      <c r="B123" s="85" t="s">
        <v>1365</v>
      </c>
      <c r="C123" s="82" t="s">
        <v>1366</v>
      </c>
      <c r="D123" s="86">
        <v>101277000</v>
      </c>
      <c r="E123" s="82" t="s">
        <v>1367</v>
      </c>
      <c r="F123" s="82" t="str">
        <f>VLOOKUP(D123,'[1]Bến Cát'!$E$4:$F$177,2,0)</f>
        <v>11.2613528, 106.6483117</v>
      </c>
      <c r="G123" s="82" t="s">
        <v>1366</v>
      </c>
      <c r="H123" s="82" t="s">
        <v>878</v>
      </c>
      <c r="I123" s="82" t="s">
        <v>1368</v>
      </c>
      <c r="J123" s="82" t="s">
        <v>1369</v>
      </c>
      <c r="K123" s="82"/>
      <c r="L123" s="82">
        <v>1980</v>
      </c>
      <c r="M123" s="82">
        <f t="shared" si="5"/>
        <v>1980</v>
      </c>
      <c r="N123" s="82" t="s">
        <v>91</v>
      </c>
      <c r="O123" s="82" t="s">
        <v>90</v>
      </c>
      <c r="P123" s="82" t="s">
        <v>91</v>
      </c>
      <c r="Q123" s="82" t="s">
        <v>881</v>
      </c>
      <c r="R123" s="82" t="s">
        <v>882</v>
      </c>
      <c r="S123" s="87"/>
      <c r="T123" s="87"/>
      <c r="U123" s="82">
        <v>28</v>
      </c>
      <c r="V123" s="87"/>
      <c r="W123" s="82">
        <v>7</v>
      </c>
      <c r="X123" s="87"/>
      <c r="Y123" s="82">
        <f t="shared" si="2"/>
        <v>35</v>
      </c>
      <c r="Z123" s="82">
        <v>35</v>
      </c>
      <c r="AA123" s="87"/>
      <c r="AB123" s="87"/>
      <c r="AC123" s="82">
        <f t="shared" si="3"/>
        <v>35</v>
      </c>
      <c r="AD123" s="87"/>
      <c r="AE123" s="82">
        <v>35</v>
      </c>
      <c r="AF123" s="87"/>
      <c r="AG123" s="87"/>
      <c r="AH123" s="87"/>
      <c r="AI123" s="82">
        <f t="shared" si="4"/>
        <v>35</v>
      </c>
      <c r="AJ123" s="82" t="s">
        <v>883</v>
      </c>
      <c r="AK123" s="82">
        <v>3</v>
      </c>
      <c r="AL123" s="82" t="s">
        <v>884</v>
      </c>
      <c r="AM123" s="88">
        <v>46136</v>
      </c>
      <c r="AN123" s="87"/>
      <c r="AO123" s="82" t="s">
        <v>1184</v>
      </c>
      <c r="AY123" s="71"/>
    </row>
    <row r="124" spans="1:51" ht="65.25" customHeight="1" x14ac:dyDescent="0.3">
      <c r="A124" s="84">
        <v>1666</v>
      </c>
      <c r="B124" s="85" t="s">
        <v>1370</v>
      </c>
      <c r="C124" s="82" t="s">
        <v>1371</v>
      </c>
      <c r="D124" s="86">
        <v>103292000</v>
      </c>
      <c r="E124" s="82" t="s">
        <v>1372</v>
      </c>
      <c r="F124" s="82" t="str">
        <f>VLOOKUP(D124,'[1]Bến Cát'!$E$4:$F$177,2,0)</f>
        <v>11.185162113804571, 106.60584469699063</v>
      </c>
      <c r="G124" s="82" t="s">
        <v>1371</v>
      </c>
      <c r="H124" s="82" t="s">
        <v>878</v>
      </c>
      <c r="I124" s="82" t="s">
        <v>1373</v>
      </c>
      <c r="J124" s="82" t="s">
        <v>880</v>
      </c>
      <c r="K124" s="82"/>
      <c r="L124" s="82">
        <v>360</v>
      </c>
      <c r="M124" s="82">
        <f t="shared" si="5"/>
        <v>360</v>
      </c>
      <c r="N124" s="82" t="s">
        <v>90</v>
      </c>
      <c r="O124" s="82" t="s">
        <v>91</v>
      </c>
      <c r="P124" s="82" t="s">
        <v>91</v>
      </c>
      <c r="Q124" s="82" t="s">
        <v>881</v>
      </c>
      <c r="R124" s="82" t="s">
        <v>897</v>
      </c>
      <c r="S124" s="87"/>
      <c r="T124" s="87"/>
      <c r="U124" s="87"/>
      <c r="V124" s="87"/>
      <c r="W124" s="82">
        <v>13</v>
      </c>
      <c r="X124" s="87"/>
      <c r="Y124" s="82">
        <f t="shared" si="2"/>
        <v>13</v>
      </c>
      <c r="Z124" s="82">
        <v>13</v>
      </c>
      <c r="AA124" s="87"/>
      <c r="AB124" s="87"/>
      <c r="AC124" s="82">
        <f t="shared" si="3"/>
        <v>13</v>
      </c>
      <c r="AD124" s="87"/>
      <c r="AE124" s="82">
        <v>13</v>
      </c>
      <c r="AF124" s="87"/>
      <c r="AG124" s="87"/>
      <c r="AH124" s="87"/>
      <c r="AI124" s="82">
        <f t="shared" si="4"/>
        <v>13</v>
      </c>
      <c r="AJ124" s="82" t="s">
        <v>883</v>
      </c>
      <c r="AK124" s="82">
        <v>3</v>
      </c>
      <c r="AL124" s="82" t="s">
        <v>884</v>
      </c>
      <c r="AM124" s="88">
        <v>46136</v>
      </c>
      <c r="AN124" s="87"/>
      <c r="AO124" s="82" t="s">
        <v>892</v>
      </c>
      <c r="AY124" s="71"/>
    </row>
    <row r="125" spans="1:51" ht="65.25" customHeight="1" x14ac:dyDescent="0.3">
      <c r="A125" s="84">
        <v>1667</v>
      </c>
      <c r="B125" s="85" t="s">
        <v>1374</v>
      </c>
      <c r="C125" s="82" t="s">
        <v>1375</v>
      </c>
      <c r="D125" s="86">
        <v>103291000</v>
      </c>
      <c r="E125" s="82" t="s">
        <v>1376</v>
      </c>
      <c r="F125" s="82" t="str">
        <f>VLOOKUP(D125,'[1]Bến Cát'!$E$4:$F$177,2,0)</f>
        <v>11.188994750811316, 106.60298969172811</v>
      </c>
      <c r="G125" s="82" t="s">
        <v>1377</v>
      </c>
      <c r="H125" s="82" t="s">
        <v>878</v>
      </c>
      <c r="I125" s="82" t="s">
        <v>1378</v>
      </c>
      <c r="J125" s="82" t="s">
        <v>891</v>
      </c>
      <c r="K125" s="82"/>
      <c r="L125" s="82">
        <v>960</v>
      </c>
      <c r="M125" s="82">
        <f t="shared" si="5"/>
        <v>960</v>
      </c>
      <c r="N125" s="82" t="s">
        <v>90</v>
      </c>
      <c r="O125" s="82" t="s">
        <v>91</v>
      </c>
      <c r="P125" s="82" t="s">
        <v>91</v>
      </c>
      <c r="Q125" s="82" t="s">
        <v>881</v>
      </c>
      <c r="R125" s="82" t="s">
        <v>897</v>
      </c>
      <c r="S125" s="87"/>
      <c r="T125" s="87"/>
      <c r="U125" s="87"/>
      <c r="V125" s="87"/>
      <c r="W125" s="82">
        <v>25</v>
      </c>
      <c r="X125" s="87"/>
      <c r="Y125" s="82">
        <f t="shared" si="2"/>
        <v>25</v>
      </c>
      <c r="Z125" s="82">
        <v>25</v>
      </c>
      <c r="AA125" s="87"/>
      <c r="AB125" s="87"/>
      <c r="AC125" s="82">
        <f t="shared" si="3"/>
        <v>25</v>
      </c>
      <c r="AD125" s="87"/>
      <c r="AE125" s="82">
        <v>25</v>
      </c>
      <c r="AF125" s="87"/>
      <c r="AG125" s="87"/>
      <c r="AH125" s="87"/>
      <c r="AI125" s="82">
        <f t="shared" si="4"/>
        <v>25</v>
      </c>
      <c r="AJ125" s="82" t="s">
        <v>883</v>
      </c>
      <c r="AK125" s="82">
        <v>3</v>
      </c>
      <c r="AL125" s="82" t="s">
        <v>884</v>
      </c>
      <c r="AM125" s="88">
        <v>46136</v>
      </c>
      <c r="AN125" s="87"/>
      <c r="AO125" s="82" t="s">
        <v>892</v>
      </c>
      <c r="AY125" s="71"/>
    </row>
    <row r="126" spans="1:51" ht="65.25" customHeight="1" x14ac:dyDescent="0.3">
      <c r="A126" s="84">
        <v>1667</v>
      </c>
      <c r="B126" s="85" t="s">
        <v>1379</v>
      </c>
      <c r="C126" s="82" t="s">
        <v>1380</v>
      </c>
      <c r="D126" s="86">
        <v>103290000</v>
      </c>
      <c r="E126" s="82" t="s">
        <v>1381</v>
      </c>
      <c r="F126" s="82" t="str">
        <f>VLOOKUP(D126,'[1]Bến Cát'!$E$4:$F$177,2,0)</f>
        <v>11.193802733915838, 106.60367812971268</v>
      </c>
      <c r="G126" s="82" t="s">
        <v>1377</v>
      </c>
      <c r="H126" s="82" t="s">
        <v>878</v>
      </c>
      <c r="I126" s="82" t="s">
        <v>1382</v>
      </c>
      <c r="J126" s="82" t="s">
        <v>891</v>
      </c>
      <c r="K126" s="82"/>
      <c r="L126" s="82">
        <v>880</v>
      </c>
      <c r="M126" s="82">
        <f t="shared" si="5"/>
        <v>880</v>
      </c>
      <c r="N126" s="82" t="s">
        <v>90</v>
      </c>
      <c r="O126" s="82" t="s">
        <v>91</v>
      </c>
      <c r="P126" s="82" t="s">
        <v>91</v>
      </c>
      <c r="Q126" s="82" t="s">
        <v>881</v>
      </c>
      <c r="R126" s="82" t="s">
        <v>897</v>
      </c>
      <c r="S126" s="87"/>
      <c r="T126" s="87"/>
      <c r="U126" s="87"/>
      <c r="V126" s="87"/>
      <c r="W126" s="82">
        <v>23</v>
      </c>
      <c r="X126" s="87"/>
      <c r="Y126" s="82">
        <f t="shared" si="2"/>
        <v>23</v>
      </c>
      <c r="Z126" s="82">
        <v>23</v>
      </c>
      <c r="AA126" s="87"/>
      <c r="AB126" s="87"/>
      <c r="AC126" s="82">
        <f t="shared" si="3"/>
        <v>23</v>
      </c>
      <c r="AD126" s="87"/>
      <c r="AE126" s="82">
        <v>23</v>
      </c>
      <c r="AF126" s="87"/>
      <c r="AG126" s="87"/>
      <c r="AH126" s="87"/>
      <c r="AI126" s="82">
        <f t="shared" si="4"/>
        <v>23</v>
      </c>
      <c r="AJ126" s="82" t="s">
        <v>883</v>
      </c>
      <c r="AK126" s="82">
        <v>3</v>
      </c>
      <c r="AL126" s="82" t="s">
        <v>884</v>
      </c>
      <c r="AM126" s="88">
        <v>46136</v>
      </c>
      <c r="AN126" s="87"/>
      <c r="AO126" s="82" t="s">
        <v>892</v>
      </c>
      <c r="AY126" s="71"/>
    </row>
    <row r="127" spans="1:51" ht="65.25" customHeight="1" x14ac:dyDescent="0.3">
      <c r="A127" s="84" t="s">
        <v>1383</v>
      </c>
      <c r="B127" s="85" t="s">
        <v>1384</v>
      </c>
      <c r="C127" s="82" t="s">
        <v>1385</v>
      </c>
      <c r="D127" s="86">
        <v>102747000</v>
      </c>
      <c r="E127" s="82" t="s">
        <v>1386</v>
      </c>
      <c r="F127" s="82" t="str">
        <f>VLOOKUP(D127,'[1]Bến Cát'!$E$4:$F$177,2,0)</f>
        <v>11.133994192791187, 106.6042462978791</v>
      </c>
      <c r="G127" s="82" t="s">
        <v>1385</v>
      </c>
      <c r="H127" s="82" t="s">
        <v>878</v>
      </c>
      <c r="I127" s="82" t="s">
        <v>1387</v>
      </c>
      <c r="J127" s="82" t="s">
        <v>891</v>
      </c>
      <c r="K127" s="82"/>
      <c r="L127" s="82">
        <v>210</v>
      </c>
      <c r="M127" s="82">
        <f t="shared" si="5"/>
        <v>210</v>
      </c>
      <c r="N127" s="82" t="s">
        <v>91</v>
      </c>
      <c r="O127" s="82" t="s">
        <v>90</v>
      </c>
      <c r="P127" s="82" t="s">
        <v>91</v>
      </c>
      <c r="Q127" s="82" t="s">
        <v>881</v>
      </c>
      <c r="R127" s="82" t="s">
        <v>897</v>
      </c>
      <c r="S127" s="87"/>
      <c r="T127" s="87"/>
      <c r="U127" s="87"/>
      <c r="V127" s="87"/>
      <c r="W127" s="82">
        <v>6</v>
      </c>
      <c r="X127" s="87"/>
      <c r="Y127" s="82">
        <f t="shared" si="2"/>
        <v>6</v>
      </c>
      <c r="Z127" s="82">
        <v>6</v>
      </c>
      <c r="AA127" s="87"/>
      <c r="AB127" s="87"/>
      <c r="AC127" s="82">
        <f t="shared" si="3"/>
        <v>6</v>
      </c>
      <c r="AD127" s="87"/>
      <c r="AE127" s="82">
        <v>6</v>
      </c>
      <c r="AF127" s="87"/>
      <c r="AG127" s="87"/>
      <c r="AH127" s="87"/>
      <c r="AI127" s="82">
        <f t="shared" si="4"/>
        <v>6</v>
      </c>
      <c r="AJ127" s="82" t="s">
        <v>883</v>
      </c>
      <c r="AK127" s="82">
        <v>2</v>
      </c>
      <c r="AL127" s="82" t="s">
        <v>884</v>
      </c>
      <c r="AM127" s="88">
        <v>46136</v>
      </c>
      <c r="AN127" s="87"/>
      <c r="AO127" s="82" t="s">
        <v>892</v>
      </c>
      <c r="AY127" s="71"/>
    </row>
    <row r="128" spans="1:51" ht="65.25" customHeight="1" x14ac:dyDescent="0.3">
      <c r="A128" s="84">
        <v>1656</v>
      </c>
      <c r="B128" s="85" t="s">
        <v>1388</v>
      </c>
      <c r="C128" s="82" t="s">
        <v>1389</v>
      </c>
      <c r="D128" s="86">
        <v>101279000</v>
      </c>
      <c r="E128" s="82" t="s">
        <v>1390</v>
      </c>
      <c r="F128" s="82" t="str">
        <f>VLOOKUP(D128,'[1]Bến Cát'!$E$4:$F$177,2,0)</f>
        <v>11.2695966, 106.6415934</v>
      </c>
      <c r="G128" s="82" t="s">
        <v>1391</v>
      </c>
      <c r="H128" s="82" t="s">
        <v>878</v>
      </c>
      <c r="I128" s="82" t="s">
        <v>1392</v>
      </c>
      <c r="J128" s="82" t="s">
        <v>891</v>
      </c>
      <c r="K128" s="82"/>
      <c r="L128" s="82">
        <v>340</v>
      </c>
      <c r="M128" s="82">
        <f t="shared" si="5"/>
        <v>340</v>
      </c>
      <c r="N128" s="82" t="s">
        <v>90</v>
      </c>
      <c r="O128" s="82" t="s">
        <v>91</v>
      </c>
      <c r="P128" s="82" t="s">
        <v>91</v>
      </c>
      <c r="Q128" s="82" t="s">
        <v>881</v>
      </c>
      <c r="R128" s="82" t="s">
        <v>897</v>
      </c>
      <c r="S128" s="87"/>
      <c r="T128" s="87"/>
      <c r="U128" s="87"/>
      <c r="V128" s="87"/>
      <c r="W128" s="82">
        <v>7</v>
      </c>
      <c r="X128" s="87"/>
      <c r="Y128" s="82">
        <f t="shared" si="2"/>
        <v>7</v>
      </c>
      <c r="Z128" s="82">
        <v>7</v>
      </c>
      <c r="AA128" s="87"/>
      <c r="AB128" s="87"/>
      <c r="AC128" s="82">
        <f t="shared" si="3"/>
        <v>7</v>
      </c>
      <c r="AD128" s="87"/>
      <c r="AE128" s="82">
        <v>7</v>
      </c>
      <c r="AF128" s="87"/>
      <c r="AG128" s="87"/>
      <c r="AH128" s="87"/>
      <c r="AI128" s="82">
        <f t="shared" si="4"/>
        <v>7</v>
      </c>
      <c r="AJ128" s="82" t="s">
        <v>883</v>
      </c>
      <c r="AK128" s="82">
        <v>3</v>
      </c>
      <c r="AL128" s="82" t="s">
        <v>884</v>
      </c>
      <c r="AM128" s="88">
        <v>46136</v>
      </c>
      <c r="AN128" s="87"/>
      <c r="AO128" s="82" t="s">
        <v>892</v>
      </c>
      <c r="AY128" s="71"/>
    </row>
    <row r="129" spans="1:51" ht="65.25" customHeight="1" x14ac:dyDescent="0.3">
      <c r="A129" s="84">
        <v>1658</v>
      </c>
      <c r="B129" s="85" t="s">
        <v>1393</v>
      </c>
      <c r="C129" s="82" t="s">
        <v>1394</v>
      </c>
      <c r="D129" s="86">
        <v>103293000</v>
      </c>
      <c r="E129" s="82" t="s">
        <v>1395</v>
      </c>
      <c r="F129" s="82" t="str">
        <f>VLOOKUP(D129,'[1]Bến Cát'!$E$4:$F$177,2,0)</f>
        <v>11.177386258353236, 106.59410869493205</v>
      </c>
      <c r="G129" s="82" t="s">
        <v>1394</v>
      </c>
      <c r="H129" s="82" t="s">
        <v>878</v>
      </c>
      <c r="I129" s="82" t="s">
        <v>1396</v>
      </c>
      <c r="J129" s="82" t="s">
        <v>891</v>
      </c>
      <c r="K129" s="82"/>
      <c r="L129" s="82">
        <v>360</v>
      </c>
      <c r="M129" s="82">
        <f t="shared" si="5"/>
        <v>360</v>
      </c>
      <c r="N129" s="82" t="s">
        <v>90</v>
      </c>
      <c r="O129" s="82" t="s">
        <v>91</v>
      </c>
      <c r="P129" s="82" t="s">
        <v>91</v>
      </c>
      <c r="Q129" s="82" t="s">
        <v>881</v>
      </c>
      <c r="R129" s="82" t="s">
        <v>882</v>
      </c>
      <c r="S129" s="87"/>
      <c r="T129" s="87"/>
      <c r="U129" s="87"/>
      <c r="V129" s="87"/>
      <c r="W129" s="82">
        <v>10</v>
      </c>
      <c r="X129" s="87"/>
      <c r="Y129" s="82">
        <f t="shared" si="2"/>
        <v>10</v>
      </c>
      <c r="Z129" s="82">
        <v>10</v>
      </c>
      <c r="AA129" s="87"/>
      <c r="AB129" s="87"/>
      <c r="AC129" s="82">
        <f t="shared" si="3"/>
        <v>10</v>
      </c>
      <c r="AD129" s="87"/>
      <c r="AE129" s="82">
        <v>10</v>
      </c>
      <c r="AF129" s="87"/>
      <c r="AG129" s="87"/>
      <c r="AH129" s="87"/>
      <c r="AI129" s="82">
        <f t="shared" si="4"/>
        <v>10</v>
      </c>
      <c r="AJ129" s="82" t="s">
        <v>883</v>
      </c>
      <c r="AK129" s="82">
        <v>3</v>
      </c>
      <c r="AL129" s="82" t="s">
        <v>884</v>
      </c>
      <c r="AM129" s="88">
        <v>46136</v>
      </c>
      <c r="AN129" s="87"/>
      <c r="AO129" s="82" t="s">
        <v>885</v>
      </c>
      <c r="AY129" s="71"/>
    </row>
    <row r="130" spans="1:51" ht="65.25" customHeight="1" x14ac:dyDescent="0.3">
      <c r="A130" s="84">
        <v>1801</v>
      </c>
      <c r="B130" s="85" t="s">
        <v>1397</v>
      </c>
      <c r="C130" s="82" t="s">
        <v>1398</v>
      </c>
      <c r="D130" s="86">
        <v>102748000</v>
      </c>
      <c r="E130" s="82" t="s">
        <v>1399</v>
      </c>
      <c r="F130" s="82" t="str">
        <f>VLOOKUP(D130,'[1]Bến Cát'!$E$4:$F$177,2,0)</f>
        <v>11.12723577395152, 106.6100045968092</v>
      </c>
      <c r="G130" s="82" t="s">
        <v>1398</v>
      </c>
      <c r="H130" s="82" t="s">
        <v>878</v>
      </c>
      <c r="I130" s="82" t="s">
        <v>1400</v>
      </c>
      <c r="J130" s="82" t="s">
        <v>880</v>
      </c>
      <c r="K130" s="82"/>
      <c r="L130" s="82">
        <v>120</v>
      </c>
      <c r="M130" s="82">
        <f t="shared" si="5"/>
        <v>120</v>
      </c>
      <c r="N130" s="82" t="s">
        <v>91</v>
      </c>
      <c r="O130" s="82" t="s">
        <v>90</v>
      </c>
      <c r="P130" s="82" t="s">
        <v>91</v>
      </c>
      <c r="Q130" s="82" t="s">
        <v>881</v>
      </c>
      <c r="R130" s="82" t="s">
        <v>897</v>
      </c>
      <c r="S130" s="87"/>
      <c r="T130" s="87"/>
      <c r="U130" s="87"/>
      <c r="V130" s="87"/>
      <c r="W130" s="82">
        <v>4</v>
      </c>
      <c r="X130" s="87"/>
      <c r="Y130" s="82">
        <f t="shared" si="2"/>
        <v>4</v>
      </c>
      <c r="Z130" s="82">
        <v>4</v>
      </c>
      <c r="AA130" s="87"/>
      <c r="AB130" s="87"/>
      <c r="AC130" s="82">
        <f t="shared" si="3"/>
        <v>4</v>
      </c>
      <c r="AD130" s="87"/>
      <c r="AE130" s="82">
        <v>4</v>
      </c>
      <c r="AF130" s="87"/>
      <c r="AG130" s="87"/>
      <c r="AH130" s="87"/>
      <c r="AI130" s="82">
        <f t="shared" si="4"/>
        <v>4</v>
      </c>
      <c r="AJ130" s="82" t="s">
        <v>883</v>
      </c>
      <c r="AK130" s="82">
        <v>3</v>
      </c>
      <c r="AL130" s="82" t="s">
        <v>884</v>
      </c>
      <c r="AM130" s="88">
        <v>46136</v>
      </c>
      <c r="AN130" s="87"/>
      <c r="AO130" s="82" t="s">
        <v>892</v>
      </c>
      <c r="AY130" s="71"/>
    </row>
    <row r="131" spans="1:51" ht="65.25" customHeight="1" x14ac:dyDescent="0.3">
      <c r="A131" s="84">
        <v>1656</v>
      </c>
      <c r="B131" s="85" t="s">
        <v>1401</v>
      </c>
      <c r="C131" s="82" t="s">
        <v>1402</v>
      </c>
      <c r="D131" s="86">
        <v>101280000</v>
      </c>
      <c r="E131" s="82" t="s">
        <v>1403</v>
      </c>
      <c r="F131" s="82" t="str">
        <f>VLOOKUP(D131,'[1]Bến Cát'!$E$4:$F$177,2,0)</f>
        <v>11.2673819, 106.6458982</v>
      </c>
      <c r="G131" s="82" t="s">
        <v>1391</v>
      </c>
      <c r="H131" s="82" t="s">
        <v>878</v>
      </c>
      <c r="I131" s="82" t="s">
        <v>1404</v>
      </c>
      <c r="J131" s="82" t="s">
        <v>891</v>
      </c>
      <c r="K131" s="82"/>
      <c r="L131" s="82">
        <v>400</v>
      </c>
      <c r="M131" s="82">
        <f t="shared" si="5"/>
        <v>400</v>
      </c>
      <c r="N131" s="82" t="s">
        <v>90</v>
      </c>
      <c r="O131" s="82" t="s">
        <v>91</v>
      </c>
      <c r="P131" s="82" t="s">
        <v>91</v>
      </c>
      <c r="Q131" s="82" t="s">
        <v>881</v>
      </c>
      <c r="R131" s="82" t="s">
        <v>897</v>
      </c>
      <c r="S131" s="87"/>
      <c r="T131" s="87"/>
      <c r="U131" s="87"/>
      <c r="V131" s="87"/>
      <c r="W131" s="82">
        <v>7</v>
      </c>
      <c r="X131" s="87"/>
      <c r="Y131" s="82">
        <f t="shared" si="2"/>
        <v>7</v>
      </c>
      <c r="Z131" s="82">
        <v>7</v>
      </c>
      <c r="AA131" s="87"/>
      <c r="AB131" s="87"/>
      <c r="AC131" s="82">
        <f t="shared" si="3"/>
        <v>7</v>
      </c>
      <c r="AD131" s="87"/>
      <c r="AE131" s="82">
        <v>7</v>
      </c>
      <c r="AF131" s="87"/>
      <c r="AG131" s="87"/>
      <c r="AH131" s="87"/>
      <c r="AI131" s="82">
        <f t="shared" si="4"/>
        <v>7</v>
      </c>
      <c r="AJ131" s="82" t="s">
        <v>883</v>
      </c>
      <c r="AK131" s="82">
        <v>3</v>
      </c>
      <c r="AL131" s="82" t="s">
        <v>884</v>
      </c>
      <c r="AM131" s="88">
        <v>46136</v>
      </c>
      <c r="AN131" s="87"/>
      <c r="AO131" s="82" t="s">
        <v>892</v>
      </c>
      <c r="AY131" s="71"/>
    </row>
    <row r="132" spans="1:51" ht="65.25" customHeight="1" x14ac:dyDescent="0.3">
      <c r="A132" s="84">
        <v>1659</v>
      </c>
      <c r="B132" s="85" t="s">
        <v>1405</v>
      </c>
      <c r="C132" s="82" t="s">
        <v>1406</v>
      </c>
      <c r="D132" s="86">
        <v>103294000</v>
      </c>
      <c r="E132" s="82" t="s">
        <v>1407</v>
      </c>
      <c r="F132" s="82" t="str">
        <f>VLOOKUP(D132,'[1]Bến Cát'!$E$4:$F$177,2,0)</f>
        <v>11.179394565798841, 106.59424352359349</v>
      </c>
      <c r="G132" s="82" t="s">
        <v>1408</v>
      </c>
      <c r="H132" s="82" t="s">
        <v>878</v>
      </c>
      <c r="I132" s="82" t="s">
        <v>1409</v>
      </c>
      <c r="J132" s="82" t="s">
        <v>880</v>
      </c>
      <c r="K132" s="82"/>
      <c r="L132" s="82">
        <v>320</v>
      </c>
      <c r="M132" s="82">
        <f t="shared" si="5"/>
        <v>320</v>
      </c>
      <c r="N132" s="82" t="s">
        <v>90</v>
      </c>
      <c r="O132" s="82" t="s">
        <v>91</v>
      </c>
      <c r="P132" s="82" t="s">
        <v>91</v>
      </c>
      <c r="Q132" s="82" t="s">
        <v>881</v>
      </c>
      <c r="R132" s="82" t="s">
        <v>882</v>
      </c>
      <c r="S132" s="87"/>
      <c r="T132" s="87"/>
      <c r="U132" s="87"/>
      <c r="V132" s="87"/>
      <c r="W132" s="82">
        <v>8</v>
      </c>
      <c r="X132" s="87"/>
      <c r="Y132" s="82">
        <f t="shared" si="2"/>
        <v>8</v>
      </c>
      <c r="Z132" s="82">
        <v>8</v>
      </c>
      <c r="AA132" s="87"/>
      <c r="AB132" s="87"/>
      <c r="AC132" s="82">
        <f t="shared" si="3"/>
        <v>8</v>
      </c>
      <c r="AD132" s="87"/>
      <c r="AE132" s="82">
        <v>8</v>
      </c>
      <c r="AF132" s="87"/>
      <c r="AG132" s="87"/>
      <c r="AH132" s="87"/>
      <c r="AI132" s="82">
        <f t="shared" si="4"/>
        <v>8</v>
      </c>
      <c r="AJ132" s="82" t="s">
        <v>883</v>
      </c>
      <c r="AK132" s="82">
        <v>3</v>
      </c>
      <c r="AL132" s="82" t="s">
        <v>884</v>
      </c>
      <c r="AM132" s="88">
        <v>46136</v>
      </c>
      <c r="AN132" s="87"/>
      <c r="AO132" s="82" t="s">
        <v>885</v>
      </c>
      <c r="AY132" s="71"/>
    </row>
    <row r="133" spans="1:51" ht="65.25" customHeight="1" x14ac:dyDescent="0.3">
      <c r="A133" s="84">
        <v>1764</v>
      </c>
      <c r="B133" s="85" t="s">
        <v>1410</v>
      </c>
      <c r="C133" s="82" t="s">
        <v>1411</v>
      </c>
      <c r="D133" s="86">
        <v>102233000</v>
      </c>
      <c r="E133" s="82" t="s">
        <v>1412</v>
      </c>
      <c r="F133" s="82" t="str">
        <f>VLOOKUP(D133,'[1]Bến Cát'!$E$4:$F$177,2,0)</f>
        <v>11.1622379, 106.5981739</v>
      </c>
      <c r="G133" s="82" t="s">
        <v>1413</v>
      </c>
      <c r="H133" s="82" t="s">
        <v>878</v>
      </c>
      <c r="I133" s="82" t="s">
        <v>1414</v>
      </c>
      <c r="J133" s="82" t="s">
        <v>891</v>
      </c>
      <c r="K133" s="82"/>
      <c r="L133" s="82">
        <v>140</v>
      </c>
      <c r="M133" s="82">
        <f t="shared" si="5"/>
        <v>140</v>
      </c>
      <c r="N133" s="82" t="s">
        <v>91</v>
      </c>
      <c r="O133" s="82" t="s">
        <v>90</v>
      </c>
      <c r="P133" s="82" t="s">
        <v>91</v>
      </c>
      <c r="Q133" s="82" t="s">
        <v>881</v>
      </c>
      <c r="R133" s="82" t="s">
        <v>882</v>
      </c>
      <c r="S133" s="87"/>
      <c r="T133" s="87"/>
      <c r="U133" s="87"/>
      <c r="V133" s="87"/>
      <c r="W133" s="82">
        <v>5</v>
      </c>
      <c r="X133" s="87"/>
      <c r="Y133" s="82">
        <f t="shared" si="2"/>
        <v>5</v>
      </c>
      <c r="Z133" s="82">
        <v>5</v>
      </c>
      <c r="AA133" s="87"/>
      <c r="AB133" s="87"/>
      <c r="AC133" s="82">
        <f t="shared" si="3"/>
        <v>5</v>
      </c>
      <c r="AD133" s="87"/>
      <c r="AE133" s="82">
        <v>5</v>
      </c>
      <c r="AF133" s="87"/>
      <c r="AG133" s="87"/>
      <c r="AH133" s="87"/>
      <c r="AI133" s="82">
        <f t="shared" si="4"/>
        <v>5</v>
      </c>
      <c r="AJ133" s="82" t="s">
        <v>883</v>
      </c>
      <c r="AK133" s="82">
        <v>2</v>
      </c>
      <c r="AL133" s="82" t="s">
        <v>884</v>
      </c>
      <c r="AM133" s="88">
        <v>46136</v>
      </c>
      <c r="AN133" s="87"/>
      <c r="AO133" s="82" t="s">
        <v>885</v>
      </c>
      <c r="AY133" s="71"/>
    </row>
    <row r="134" spans="1:51" ht="65.25" customHeight="1" x14ac:dyDescent="0.3">
      <c r="A134" s="84">
        <v>1764</v>
      </c>
      <c r="B134" s="85" t="s">
        <v>1415</v>
      </c>
      <c r="C134" s="82" t="s">
        <v>1416</v>
      </c>
      <c r="D134" s="86">
        <v>102234000</v>
      </c>
      <c r="E134" s="82" t="s">
        <v>1417</v>
      </c>
      <c r="F134" s="82" t="str">
        <f>VLOOKUP(D134,'[1]Bến Cát'!$E$4:$F$177,2,0)</f>
        <v>11.1634358, 106.5969682</v>
      </c>
      <c r="G134" s="82" t="s">
        <v>1413</v>
      </c>
      <c r="H134" s="82" t="s">
        <v>878</v>
      </c>
      <c r="I134" s="82" t="s">
        <v>1418</v>
      </c>
      <c r="J134" s="82" t="s">
        <v>926</v>
      </c>
      <c r="K134" s="82"/>
      <c r="L134" s="82">
        <v>825</v>
      </c>
      <c r="M134" s="82">
        <f t="shared" si="5"/>
        <v>825</v>
      </c>
      <c r="N134" s="82" t="s">
        <v>91</v>
      </c>
      <c r="O134" s="82" t="s">
        <v>90</v>
      </c>
      <c r="P134" s="82" t="s">
        <v>91</v>
      </c>
      <c r="Q134" s="82" t="s">
        <v>881</v>
      </c>
      <c r="R134" s="82" t="s">
        <v>882</v>
      </c>
      <c r="S134" s="87"/>
      <c r="T134" s="87"/>
      <c r="U134" s="87"/>
      <c r="V134" s="87"/>
      <c r="W134" s="82">
        <v>27</v>
      </c>
      <c r="X134" s="87"/>
      <c r="Y134" s="82">
        <f t="shared" si="2"/>
        <v>27</v>
      </c>
      <c r="Z134" s="82">
        <v>27</v>
      </c>
      <c r="AA134" s="87"/>
      <c r="AB134" s="87"/>
      <c r="AC134" s="82">
        <f t="shared" si="3"/>
        <v>27</v>
      </c>
      <c r="AD134" s="87"/>
      <c r="AE134" s="82">
        <v>27</v>
      </c>
      <c r="AF134" s="87"/>
      <c r="AG134" s="87"/>
      <c r="AH134" s="87"/>
      <c r="AI134" s="82">
        <f t="shared" si="4"/>
        <v>27</v>
      </c>
      <c r="AJ134" s="82" t="s">
        <v>883</v>
      </c>
      <c r="AK134" s="82">
        <v>2</v>
      </c>
      <c r="AL134" s="82" t="s">
        <v>884</v>
      </c>
      <c r="AM134" s="88">
        <v>46136</v>
      </c>
      <c r="AN134" s="87"/>
      <c r="AO134" s="82" t="s">
        <v>885</v>
      </c>
      <c r="AY134" s="71"/>
    </row>
    <row r="135" spans="1:51" ht="65.25" customHeight="1" x14ac:dyDescent="0.3">
      <c r="A135" s="84">
        <v>1799</v>
      </c>
      <c r="B135" s="85" t="s">
        <v>1419</v>
      </c>
      <c r="C135" s="82" t="s">
        <v>1420</v>
      </c>
      <c r="D135" s="86">
        <v>102749000</v>
      </c>
      <c r="E135" s="82" t="s">
        <v>1421</v>
      </c>
      <c r="F135" s="82" t="str">
        <f>VLOOKUP(D135,'[1]Bến Cát'!$E$4:$F$177,2,0)</f>
        <v>11.12903051671862, 106.61192887601882</v>
      </c>
      <c r="G135" s="82" t="s">
        <v>1420</v>
      </c>
      <c r="H135" s="82" t="s">
        <v>878</v>
      </c>
      <c r="I135" s="82" t="s">
        <v>1422</v>
      </c>
      <c r="J135" s="82" t="s">
        <v>891</v>
      </c>
      <c r="K135" s="82"/>
      <c r="L135" s="82">
        <v>270</v>
      </c>
      <c r="M135" s="82">
        <f t="shared" si="5"/>
        <v>270</v>
      </c>
      <c r="N135" s="82" t="s">
        <v>91</v>
      </c>
      <c r="O135" s="82" t="s">
        <v>90</v>
      </c>
      <c r="P135" s="82" t="s">
        <v>91</v>
      </c>
      <c r="Q135" s="82" t="s">
        <v>881</v>
      </c>
      <c r="R135" s="82" t="s">
        <v>897</v>
      </c>
      <c r="S135" s="87"/>
      <c r="T135" s="87"/>
      <c r="U135" s="87"/>
      <c r="V135" s="87"/>
      <c r="W135" s="82">
        <v>7</v>
      </c>
      <c r="X135" s="87"/>
      <c r="Y135" s="82">
        <f t="shared" si="2"/>
        <v>7</v>
      </c>
      <c r="Z135" s="82">
        <v>7</v>
      </c>
      <c r="AA135" s="87"/>
      <c r="AB135" s="87"/>
      <c r="AC135" s="82">
        <f t="shared" si="3"/>
        <v>7</v>
      </c>
      <c r="AD135" s="87"/>
      <c r="AE135" s="82">
        <v>7</v>
      </c>
      <c r="AF135" s="87"/>
      <c r="AG135" s="87"/>
      <c r="AH135" s="87"/>
      <c r="AI135" s="82">
        <f t="shared" si="4"/>
        <v>7</v>
      </c>
      <c r="AJ135" s="82" t="s">
        <v>883</v>
      </c>
      <c r="AK135" s="82">
        <v>3</v>
      </c>
      <c r="AL135" s="82" t="s">
        <v>884</v>
      </c>
      <c r="AM135" s="88">
        <v>46136</v>
      </c>
      <c r="AN135" s="87"/>
      <c r="AO135" s="82" t="s">
        <v>892</v>
      </c>
      <c r="AY135" s="71"/>
    </row>
    <row r="136" spans="1:51" ht="65.25" customHeight="1" x14ac:dyDescent="0.3">
      <c r="A136" s="84">
        <v>1656</v>
      </c>
      <c r="B136" s="85" t="s">
        <v>1423</v>
      </c>
      <c r="C136" s="82" t="s">
        <v>1424</v>
      </c>
      <c r="D136" s="86">
        <v>101282000</v>
      </c>
      <c r="E136" s="82" t="s">
        <v>1425</v>
      </c>
      <c r="F136" s="82" t="str">
        <f>VLOOKUP(D136,'[1]Bến Cát'!$E$4:$F$177,2,0)</f>
        <v>11.26113, 106.6525983</v>
      </c>
      <c r="G136" s="82" t="s">
        <v>1391</v>
      </c>
      <c r="H136" s="82" t="s">
        <v>878</v>
      </c>
      <c r="I136" s="82" t="s">
        <v>1426</v>
      </c>
      <c r="J136" s="82" t="s">
        <v>891</v>
      </c>
      <c r="K136" s="82"/>
      <c r="L136" s="82">
        <v>540</v>
      </c>
      <c r="M136" s="82">
        <f t="shared" si="5"/>
        <v>540</v>
      </c>
      <c r="N136" s="82" t="s">
        <v>90</v>
      </c>
      <c r="O136" s="82" t="s">
        <v>91</v>
      </c>
      <c r="P136" s="82" t="s">
        <v>91</v>
      </c>
      <c r="Q136" s="82" t="s">
        <v>881</v>
      </c>
      <c r="R136" s="82" t="s">
        <v>897</v>
      </c>
      <c r="S136" s="87"/>
      <c r="T136" s="87"/>
      <c r="U136" s="87"/>
      <c r="V136" s="87"/>
      <c r="W136" s="82">
        <v>9</v>
      </c>
      <c r="X136" s="87"/>
      <c r="Y136" s="82">
        <f t="shared" si="2"/>
        <v>9</v>
      </c>
      <c r="Z136" s="82">
        <v>9</v>
      </c>
      <c r="AA136" s="87"/>
      <c r="AB136" s="87"/>
      <c r="AC136" s="82">
        <f t="shared" si="3"/>
        <v>9</v>
      </c>
      <c r="AD136" s="87"/>
      <c r="AE136" s="82">
        <v>9</v>
      </c>
      <c r="AF136" s="87"/>
      <c r="AG136" s="87"/>
      <c r="AH136" s="87"/>
      <c r="AI136" s="82">
        <f t="shared" si="4"/>
        <v>9</v>
      </c>
      <c r="AJ136" s="82" t="s">
        <v>883</v>
      </c>
      <c r="AK136" s="82">
        <v>3</v>
      </c>
      <c r="AL136" s="82" t="s">
        <v>884</v>
      </c>
      <c r="AM136" s="88">
        <v>46136</v>
      </c>
      <c r="AN136" s="87"/>
      <c r="AO136" s="82" t="s">
        <v>892</v>
      </c>
      <c r="AY136" s="71"/>
    </row>
    <row r="137" spans="1:51" ht="65.25" customHeight="1" x14ac:dyDescent="0.3">
      <c r="A137" s="84" t="s">
        <v>1427</v>
      </c>
      <c r="B137" s="85" t="s">
        <v>1428</v>
      </c>
      <c r="C137" s="82" t="s">
        <v>1429</v>
      </c>
      <c r="D137" s="86">
        <v>102702000</v>
      </c>
      <c r="E137" s="82" t="s">
        <v>1430</v>
      </c>
      <c r="F137" s="82" t="str">
        <f>VLOOKUP(D137,'[1]Bến Cát'!$E$4:$F$177,2,0)</f>
        <v>11.2647117, 106.64714</v>
      </c>
      <c r="G137" s="82" t="s">
        <v>1431</v>
      </c>
      <c r="H137" s="82" t="s">
        <v>878</v>
      </c>
      <c r="I137" s="82" t="s">
        <v>1432</v>
      </c>
      <c r="J137" s="82" t="s">
        <v>969</v>
      </c>
      <c r="K137" s="82"/>
      <c r="L137" s="82">
        <v>1440</v>
      </c>
      <c r="M137" s="82">
        <f t="shared" si="5"/>
        <v>1440</v>
      </c>
      <c r="N137" s="82" t="s">
        <v>91</v>
      </c>
      <c r="O137" s="82" t="s">
        <v>90</v>
      </c>
      <c r="P137" s="82" t="s">
        <v>91</v>
      </c>
      <c r="Q137" s="82" t="s">
        <v>881</v>
      </c>
      <c r="R137" s="82" t="s">
        <v>882</v>
      </c>
      <c r="S137" s="87"/>
      <c r="T137" s="87"/>
      <c r="U137" s="82">
        <v>23</v>
      </c>
      <c r="V137" s="87"/>
      <c r="W137" s="87"/>
      <c r="X137" s="87"/>
      <c r="Y137" s="82">
        <f t="shared" si="2"/>
        <v>23</v>
      </c>
      <c r="Z137" s="82">
        <v>23</v>
      </c>
      <c r="AA137" s="87"/>
      <c r="AB137" s="87"/>
      <c r="AC137" s="82">
        <f t="shared" si="3"/>
        <v>23</v>
      </c>
      <c r="AD137" s="87"/>
      <c r="AE137" s="82">
        <v>23</v>
      </c>
      <c r="AF137" s="87"/>
      <c r="AG137" s="87"/>
      <c r="AH137" s="87"/>
      <c r="AI137" s="82">
        <f t="shared" si="4"/>
        <v>23</v>
      </c>
      <c r="AJ137" s="82" t="s">
        <v>883</v>
      </c>
      <c r="AK137" s="82">
        <v>3</v>
      </c>
      <c r="AL137" s="82" t="s">
        <v>884</v>
      </c>
      <c r="AM137" s="88">
        <v>46136</v>
      </c>
      <c r="AN137" s="87"/>
      <c r="AO137" s="82" t="s">
        <v>885</v>
      </c>
      <c r="AY137" s="71"/>
    </row>
    <row r="138" spans="1:51" ht="65.25" customHeight="1" x14ac:dyDescent="0.3">
      <c r="A138" s="84">
        <v>1656</v>
      </c>
      <c r="B138" s="85" t="s">
        <v>1433</v>
      </c>
      <c r="C138" s="82" t="s">
        <v>1434</v>
      </c>
      <c r="D138" s="86">
        <v>101283000</v>
      </c>
      <c r="E138" s="82" t="s">
        <v>1435</v>
      </c>
      <c r="F138" s="82" t="str">
        <f>VLOOKUP(D138,'[1]Bến Cát'!$E$4:$F$177,2,0)</f>
        <v>11.2572522, 106.6571405</v>
      </c>
      <c r="G138" s="82" t="s">
        <v>1391</v>
      </c>
      <c r="H138" s="82" t="s">
        <v>878</v>
      </c>
      <c r="I138" s="82" t="s">
        <v>1436</v>
      </c>
      <c r="J138" s="82" t="s">
        <v>1437</v>
      </c>
      <c r="K138" s="82"/>
      <c r="L138" s="82">
        <v>480</v>
      </c>
      <c r="M138" s="82">
        <f t="shared" si="5"/>
        <v>480</v>
      </c>
      <c r="N138" s="82" t="s">
        <v>90</v>
      </c>
      <c r="O138" s="82" t="s">
        <v>91</v>
      </c>
      <c r="P138" s="82" t="s">
        <v>91</v>
      </c>
      <c r="Q138" s="82" t="s">
        <v>881</v>
      </c>
      <c r="R138" s="82" t="s">
        <v>897</v>
      </c>
      <c r="S138" s="87"/>
      <c r="T138" s="87"/>
      <c r="U138" s="87"/>
      <c r="V138" s="87"/>
      <c r="W138" s="82">
        <v>9</v>
      </c>
      <c r="X138" s="87"/>
      <c r="Y138" s="82">
        <f t="shared" si="2"/>
        <v>9</v>
      </c>
      <c r="Z138" s="82">
        <v>9</v>
      </c>
      <c r="AA138" s="87"/>
      <c r="AB138" s="87"/>
      <c r="AC138" s="82">
        <f t="shared" si="3"/>
        <v>9</v>
      </c>
      <c r="AD138" s="87"/>
      <c r="AE138" s="82">
        <v>9</v>
      </c>
      <c r="AF138" s="87"/>
      <c r="AG138" s="87"/>
      <c r="AH138" s="87"/>
      <c r="AI138" s="82">
        <f t="shared" si="4"/>
        <v>9</v>
      </c>
      <c r="AJ138" s="82" t="s">
        <v>883</v>
      </c>
      <c r="AK138" s="82">
        <v>3</v>
      </c>
      <c r="AL138" s="82" t="s">
        <v>884</v>
      </c>
      <c r="AM138" s="88">
        <v>46136</v>
      </c>
      <c r="AN138" s="87"/>
      <c r="AO138" s="82" t="s">
        <v>892</v>
      </c>
      <c r="AY138" s="71"/>
    </row>
    <row r="139" spans="1:51" ht="65.25" customHeight="1" x14ac:dyDescent="0.3">
      <c r="A139" s="84">
        <v>1660</v>
      </c>
      <c r="B139" s="85" t="s">
        <v>1438</v>
      </c>
      <c r="C139" s="82" t="s">
        <v>1439</v>
      </c>
      <c r="D139" s="86">
        <v>103296000</v>
      </c>
      <c r="E139" s="82" t="s">
        <v>1440</v>
      </c>
      <c r="F139" s="82" t="str">
        <f>VLOOKUP(D139,'[1]Bến Cát'!$E$4:$F$177,2,0)</f>
        <v>11.184604933846046, 106.5907333871618</v>
      </c>
      <c r="G139" s="82" t="s">
        <v>1441</v>
      </c>
      <c r="H139" s="82" t="s">
        <v>878</v>
      </c>
      <c r="I139" s="82" t="s">
        <v>1442</v>
      </c>
      <c r="J139" s="82" t="s">
        <v>891</v>
      </c>
      <c r="K139" s="82"/>
      <c r="L139" s="82">
        <v>560</v>
      </c>
      <c r="M139" s="82">
        <f t="shared" si="5"/>
        <v>560</v>
      </c>
      <c r="N139" s="82" t="s">
        <v>90</v>
      </c>
      <c r="O139" s="82" t="s">
        <v>91</v>
      </c>
      <c r="P139" s="82" t="s">
        <v>91</v>
      </c>
      <c r="Q139" s="82" t="s">
        <v>881</v>
      </c>
      <c r="R139" s="82" t="s">
        <v>897</v>
      </c>
      <c r="S139" s="87"/>
      <c r="T139" s="87"/>
      <c r="U139" s="87"/>
      <c r="V139" s="87"/>
      <c r="W139" s="82">
        <v>15</v>
      </c>
      <c r="X139" s="87"/>
      <c r="Y139" s="82">
        <f t="shared" si="2"/>
        <v>15</v>
      </c>
      <c r="Z139" s="82">
        <v>15</v>
      </c>
      <c r="AA139" s="87"/>
      <c r="AB139" s="87"/>
      <c r="AC139" s="82">
        <f t="shared" si="3"/>
        <v>15</v>
      </c>
      <c r="AD139" s="87"/>
      <c r="AE139" s="82">
        <v>15</v>
      </c>
      <c r="AF139" s="87"/>
      <c r="AG139" s="87"/>
      <c r="AH139" s="87"/>
      <c r="AI139" s="82">
        <f t="shared" si="4"/>
        <v>15</v>
      </c>
      <c r="AJ139" s="82" t="s">
        <v>883</v>
      </c>
      <c r="AK139" s="82">
        <v>3</v>
      </c>
      <c r="AL139" s="82" t="s">
        <v>884</v>
      </c>
      <c r="AM139" s="88">
        <v>46136</v>
      </c>
      <c r="AN139" s="87"/>
      <c r="AO139" s="82" t="s">
        <v>892</v>
      </c>
      <c r="AY139" s="71"/>
    </row>
    <row r="140" spans="1:51" ht="65.25" customHeight="1" x14ac:dyDescent="0.3">
      <c r="A140" s="84" t="s">
        <v>1443</v>
      </c>
      <c r="B140" s="85" t="s">
        <v>1444</v>
      </c>
      <c r="C140" s="82" t="s">
        <v>1445</v>
      </c>
      <c r="D140" s="86">
        <v>102750000</v>
      </c>
      <c r="E140" s="82" t="s">
        <v>1446</v>
      </c>
      <c r="F140" s="82" t="str">
        <f>VLOOKUP(D140,'[1]Bến Cát'!$E$4:$F$177,2,0)</f>
        <v>11.127885468422724, 106.61101807889264</v>
      </c>
      <c r="G140" s="82" t="s">
        <v>1445</v>
      </c>
      <c r="H140" s="82" t="s">
        <v>878</v>
      </c>
      <c r="I140" s="82" t="s">
        <v>1447</v>
      </c>
      <c r="J140" s="82" t="s">
        <v>926</v>
      </c>
      <c r="K140" s="82"/>
      <c r="L140" s="82">
        <v>390</v>
      </c>
      <c r="M140" s="82">
        <f t="shared" si="5"/>
        <v>390</v>
      </c>
      <c r="N140" s="82" t="s">
        <v>91</v>
      </c>
      <c r="O140" s="82" t="s">
        <v>90</v>
      </c>
      <c r="P140" s="82" t="s">
        <v>91</v>
      </c>
      <c r="Q140" s="82" t="s">
        <v>881</v>
      </c>
      <c r="R140" s="82" t="s">
        <v>897</v>
      </c>
      <c r="S140" s="87"/>
      <c r="T140" s="87"/>
      <c r="U140" s="87"/>
      <c r="V140" s="82">
        <v>2</v>
      </c>
      <c r="W140" s="82">
        <v>13</v>
      </c>
      <c r="X140" s="87"/>
      <c r="Y140" s="82">
        <f t="shared" si="2"/>
        <v>15</v>
      </c>
      <c r="Z140" s="82">
        <v>15</v>
      </c>
      <c r="AA140" s="87"/>
      <c r="AB140" s="87"/>
      <c r="AC140" s="82">
        <f t="shared" si="3"/>
        <v>15</v>
      </c>
      <c r="AD140" s="82">
        <v>2</v>
      </c>
      <c r="AE140" s="82">
        <v>13</v>
      </c>
      <c r="AF140" s="87"/>
      <c r="AG140" s="87"/>
      <c r="AH140" s="87"/>
      <c r="AI140" s="82">
        <f t="shared" si="4"/>
        <v>15</v>
      </c>
      <c r="AJ140" s="82" t="s">
        <v>883</v>
      </c>
      <c r="AK140" s="82">
        <v>2</v>
      </c>
      <c r="AL140" s="82" t="s">
        <v>884</v>
      </c>
      <c r="AM140" s="88">
        <v>46136</v>
      </c>
      <c r="AN140" s="87"/>
      <c r="AO140" s="82" t="s">
        <v>892</v>
      </c>
      <c r="AY140" s="71"/>
    </row>
    <row r="141" spans="1:51" ht="65.25" customHeight="1" x14ac:dyDescent="0.3">
      <c r="A141" s="84">
        <v>1660</v>
      </c>
      <c r="B141" s="85" t="s">
        <v>1448</v>
      </c>
      <c r="C141" s="82" t="s">
        <v>1449</v>
      </c>
      <c r="D141" s="86">
        <v>103295000</v>
      </c>
      <c r="E141" s="82" t="s">
        <v>1450</v>
      </c>
      <c r="F141" s="82" t="str">
        <f>VLOOKUP(D141,'[1]Bến Cát'!$E$4:$F$177,2,0)</f>
        <v>11.17990189158302, 106.59075195800334</v>
      </c>
      <c r="G141" s="82" t="s">
        <v>1441</v>
      </c>
      <c r="H141" s="82" t="s">
        <v>878</v>
      </c>
      <c r="I141" s="82" t="s">
        <v>1451</v>
      </c>
      <c r="J141" s="82" t="s">
        <v>969</v>
      </c>
      <c r="K141" s="82"/>
      <c r="L141" s="82">
        <v>440</v>
      </c>
      <c r="M141" s="82">
        <f t="shared" si="5"/>
        <v>440</v>
      </c>
      <c r="N141" s="82" t="s">
        <v>90</v>
      </c>
      <c r="O141" s="82" t="s">
        <v>91</v>
      </c>
      <c r="P141" s="82" t="s">
        <v>91</v>
      </c>
      <c r="Q141" s="82" t="s">
        <v>881</v>
      </c>
      <c r="R141" s="82" t="s">
        <v>897</v>
      </c>
      <c r="S141" s="87"/>
      <c r="T141" s="87"/>
      <c r="U141" s="87"/>
      <c r="V141" s="87"/>
      <c r="W141" s="82">
        <v>13</v>
      </c>
      <c r="X141" s="87"/>
      <c r="Y141" s="82">
        <f t="shared" si="2"/>
        <v>13</v>
      </c>
      <c r="Z141" s="82">
        <v>13</v>
      </c>
      <c r="AA141" s="87"/>
      <c r="AB141" s="87"/>
      <c r="AC141" s="82">
        <f t="shared" si="3"/>
        <v>13</v>
      </c>
      <c r="AD141" s="87"/>
      <c r="AE141" s="82">
        <v>13</v>
      </c>
      <c r="AF141" s="87"/>
      <c r="AG141" s="87"/>
      <c r="AH141" s="87"/>
      <c r="AI141" s="82">
        <f t="shared" si="4"/>
        <v>13</v>
      </c>
      <c r="AJ141" s="82" t="s">
        <v>883</v>
      </c>
      <c r="AK141" s="82">
        <v>3</v>
      </c>
      <c r="AL141" s="82" t="s">
        <v>884</v>
      </c>
      <c r="AM141" s="88">
        <v>46136</v>
      </c>
      <c r="AN141" s="87"/>
      <c r="AO141" s="82" t="s">
        <v>892</v>
      </c>
      <c r="AY141" s="71"/>
    </row>
    <row r="142" spans="1:51" ht="65.25" customHeight="1" x14ac:dyDescent="0.3">
      <c r="A142" s="84">
        <v>1661</v>
      </c>
      <c r="B142" s="85" t="s">
        <v>1452</v>
      </c>
      <c r="C142" s="82" t="s">
        <v>1453</v>
      </c>
      <c r="D142" s="86">
        <v>103295000</v>
      </c>
      <c r="E142" s="82" t="s">
        <v>1450</v>
      </c>
      <c r="F142" s="82" t="str">
        <f>VLOOKUP(D142,'[1]Bến Cát'!$E$4:$F$177,2,0)</f>
        <v>11.17990189158302, 106.59075195800334</v>
      </c>
      <c r="G142" s="82" t="s">
        <v>1453</v>
      </c>
      <c r="H142" s="82" t="s">
        <v>878</v>
      </c>
      <c r="I142" s="82" t="s">
        <v>1451</v>
      </c>
      <c r="J142" s="87"/>
      <c r="K142" s="87"/>
      <c r="L142" s="87"/>
      <c r="M142" s="82"/>
      <c r="N142" s="82" t="s">
        <v>91</v>
      </c>
      <c r="O142" s="82" t="s">
        <v>91</v>
      </c>
      <c r="P142" s="82" t="s">
        <v>91</v>
      </c>
      <c r="Q142" s="82" t="s">
        <v>881</v>
      </c>
      <c r="R142" s="82" t="s">
        <v>897</v>
      </c>
      <c r="S142" s="87"/>
      <c r="T142" s="87"/>
      <c r="U142" s="87"/>
      <c r="V142" s="87"/>
      <c r="W142" s="87"/>
      <c r="X142" s="87"/>
      <c r="Y142" s="82">
        <f t="shared" si="2"/>
        <v>0</v>
      </c>
      <c r="Z142" s="87"/>
      <c r="AA142" s="87"/>
      <c r="AB142" s="87"/>
      <c r="AC142" s="82">
        <f t="shared" si="3"/>
        <v>0</v>
      </c>
      <c r="AD142" s="87"/>
      <c r="AE142" s="87"/>
      <c r="AF142" s="87"/>
      <c r="AG142" s="87"/>
      <c r="AH142" s="87"/>
      <c r="AI142" s="82">
        <f t="shared" si="4"/>
        <v>0</v>
      </c>
      <c r="AJ142" s="87"/>
      <c r="AK142" s="87"/>
      <c r="AL142" s="82" t="s">
        <v>884</v>
      </c>
      <c r="AM142" s="88">
        <v>46136</v>
      </c>
      <c r="AN142" s="82" t="s">
        <v>1454</v>
      </c>
      <c r="AO142" s="82" t="s">
        <v>892</v>
      </c>
      <c r="AY142" s="71"/>
    </row>
    <row r="143" spans="1:51" ht="65.25" customHeight="1" x14ac:dyDescent="0.3">
      <c r="A143" s="84">
        <v>1793</v>
      </c>
      <c r="B143" s="85" t="s">
        <v>1455</v>
      </c>
      <c r="C143" s="82" t="s">
        <v>1456</v>
      </c>
      <c r="D143" s="86">
        <v>102235000</v>
      </c>
      <c r="E143" s="82" t="s">
        <v>1457</v>
      </c>
      <c r="F143" s="82" t="str">
        <f>VLOOKUP(D143,'[1]Bến Cát'!$E$4:$F$177,2,0)</f>
        <v>11.1578321, 106.5796208</v>
      </c>
      <c r="G143" s="82" t="s">
        <v>1456</v>
      </c>
      <c r="H143" s="82" t="s">
        <v>878</v>
      </c>
      <c r="I143" s="82" t="s">
        <v>1458</v>
      </c>
      <c r="J143" s="82" t="s">
        <v>880</v>
      </c>
      <c r="K143" s="82"/>
      <c r="L143" s="82">
        <v>70</v>
      </c>
      <c r="M143" s="82">
        <f t="shared" si="5"/>
        <v>70</v>
      </c>
      <c r="N143" s="82" t="s">
        <v>91</v>
      </c>
      <c r="O143" s="82" t="s">
        <v>90</v>
      </c>
      <c r="P143" s="82" t="s">
        <v>91</v>
      </c>
      <c r="Q143" s="82" t="s">
        <v>1197</v>
      </c>
      <c r="R143" s="82" t="s">
        <v>882</v>
      </c>
      <c r="S143" s="87"/>
      <c r="T143" s="87"/>
      <c r="U143" s="87"/>
      <c r="V143" s="87"/>
      <c r="W143" s="82">
        <v>3</v>
      </c>
      <c r="X143" s="87"/>
      <c r="Y143" s="82">
        <f t="shared" si="2"/>
        <v>3</v>
      </c>
      <c r="Z143" s="82">
        <v>3</v>
      </c>
      <c r="AA143" s="87"/>
      <c r="AB143" s="87"/>
      <c r="AC143" s="82">
        <f t="shared" si="3"/>
        <v>3</v>
      </c>
      <c r="AD143" s="87"/>
      <c r="AE143" s="82">
        <v>3</v>
      </c>
      <c r="AF143" s="87"/>
      <c r="AG143" s="87"/>
      <c r="AH143" s="87"/>
      <c r="AI143" s="82">
        <f t="shared" si="4"/>
        <v>3</v>
      </c>
      <c r="AJ143" s="82" t="s">
        <v>883</v>
      </c>
      <c r="AK143" s="82">
        <v>3</v>
      </c>
      <c r="AL143" s="82" t="s">
        <v>884</v>
      </c>
      <c r="AM143" s="88">
        <v>46136</v>
      </c>
      <c r="AN143" s="87"/>
      <c r="AO143" s="82" t="s">
        <v>885</v>
      </c>
      <c r="AY143" s="71"/>
    </row>
    <row r="144" spans="1:51" ht="65.25" customHeight="1" x14ac:dyDescent="0.3">
      <c r="A144" s="84">
        <v>1656</v>
      </c>
      <c r="B144" s="85" t="s">
        <v>1459</v>
      </c>
      <c r="C144" s="82" t="s">
        <v>1460</v>
      </c>
      <c r="D144" s="86">
        <v>101285000</v>
      </c>
      <c r="E144" s="82" t="s">
        <v>1461</v>
      </c>
      <c r="F144" s="82" t="str">
        <f>VLOOKUP(D144,'[1]Bến Cát'!$E$4:$F$177,2,0)</f>
        <v>11.2549962, 106.6611164</v>
      </c>
      <c r="G144" s="82" t="s">
        <v>1391</v>
      </c>
      <c r="H144" s="82" t="s">
        <v>878</v>
      </c>
      <c r="I144" s="82" t="s">
        <v>1462</v>
      </c>
      <c r="J144" s="82" t="s">
        <v>891</v>
      </c>
      <c r="K144" s="82"/>
      <c r="L144" s="82">
        <v>130</v>
      </c>
      <c r="M144" s="82">
        <f t="shared" si="5"/>
        <v>130</v>
      </c>
      <c r="N144" s="82" t="s">
        <v>91</v>
      </c>
      <c r="O144" s="82" t="s">
        <v>90</v>
      </c>
      <c r="P144" s="82" t="s">
        <v>91</v>
      </c>
      <c r="Q144" s="82" t="s">
        <v>881</v>
      </c>
      <c r="R144" s="82" t="s">
        <v>897</v>
      </c>
      <c r="S144" s="87"/>
      <c r="T144" s="87"/>
      <c r="U144" s="87"/>
      <c r="V144" s="87"/>
      <c r="W144" s="82">
        <v>3</v>
      </c>
      <c r="X144" s="87"/>
      <c r="Y144" s="82">
        <f t="shared" si="2"/>
        <v>3</v>
      </c>
      <c r="Z144" s="82">
        <v>3</v>
      </c>
      <c r="AA144" s="87"/>
      <c r="AB144" s="87"/>
      <c r="AC144" s="82">
        <f t="shared" si="3"/>
        <v>3</v>
      </c>
      <c r="AD144" s="87"/>
      <c r="AE144" s="82">
        <v>3</v>
      </c>
      <c r="AF144" s="87"/>
      <c r="AG144" s="87"/>
      <c r="AH144" s="87"/>
      <c r="AI144" s="82">
        <f t="shared" si="4"/>
        <v>3</v>
      </c>
      <c r="AJ144" s="82" t="s">
        <v>883</v>
      </c>
      <c r="AK144" s="82">
        <v>3</v>
      </c>
      <c r="AL144" s="82" t="s">
        <v>884</v>
      </c>
      <c r="AM144" s="88">
        <v>46136</v>
      </c>
      <c r="AN144" s="87"/>
      <c r="AO144" s="82" t="s">
        <v>892</v>
      </c>
      <c r="AY144" s="71"/>
    </row>
    <row r="145" spans="1:51" ht="65.25" customHeight="1" x14ac:dyDescent="0.3">
      <c r="A145" s="84" t="s">
        <v>1463</v>
      </c>
      <c r="B145" s="85" t="s">
        <v>1464</v>
      </c>
      <c r="C145" s="82" t="s">
        <v>1465</v>
      </c>
      <c r="D145" s="86">
        <v>102703000</v>
      </c>
      <c r="E145" s="82" t="s">
        <v>1466</v>
      </c>
      <c r="F145" s="82" t="str">
        <f>VLOOKUP(D145,'[1]Bến Cát'!$E$4:$F$177,2,0)</f>
        <v>11.2600375, 106.6529022</v>
      </c>
      <c r="G145" s="82" t="s">
        <v>1431</v>
      </c>
      <c r="H145" s="82" t="s">
        <v>878</v>
      </c>
      <c r="I145" s="82" t="s">
        <v>1432</v>
      </c>
      <c r="J145" s="82" t="s">
        <v>1467</v>
      </c>
      <c r="K145" s="82"/>
      <c r="L145" s="82">
        <v>1200</v>
      </c>
      <c r="M145" s="82">
        <f t="shared" si="5"/>
        <v>1200</v>
      </c>
      <c r="N145" s="82" t="s">
        <v>91</v>
      </c>
      <c r="O145" s="82" t="s">
        <v>90</v>
      </c>
      <c r="P145" s="82" t="s">
        <v>91</v>
      </c>
      <c r="Q145" s="82" t="s">
        <v>881</v>
      </c>
      <c r="R145" s="82" t="s">
        <v>882</v>
      </c>
      <c r="S145" s="87"/>
      <c r="T145" s="87"/>
      <c r="U145" s="82">
        <v>12</v>
      </c>
      <c r="V145" s="82">
        <v>2</v>
      </c>
      <c r="W145" s="82">
        <v>7</v>
      </c>
      <c r="X145" s="87"/>
      <c r="Y145" s="82">
        <f t="shared" si="2"/>
        <v>21</v>
      </c>
      <c r="Z145" s="82">
        <v>21</v>
      </c>
      <c r="AA145" s="87"/>
      <c r="AB145" s="87"/>
      <c r="AC145" s="82">
        <f t="shared" si="3"/>
        <v>21</v>
      </c>
      <c r="AD145" s="82">
        <v>2</v>
      </c>
      <c r="AE145" s="82">
        <v>19</v>
      </c>
      <c r="AF145" s="87"/>
      <c r="AG145" s="87"/>
      <c r="AH145" s="87"/>
      <c r="AI145" s="82">
        <f t="shared" si="4"/>
        <v>21</v>
      </c>
      <c r="AJ145" s="82" t="s">
        <v>883</v>
      </c>
      <c r="AK145" s="82">
        <v>3</v>
      </c>
      <c r="AL145" s="82" t="s">
        <v>884</v>
      </c>
      <c r="AM145" s="88">
        <v>46136</v>
      </c>
      <c r="AN145" s="87"/>
      <c r="AO145" s="82" t="s">
        <v>885</v>
      </c>
      <c r="AY145" s="71"/>
    </row>
    <row r="146" spans="1:51" ht="65.25" customHeight="1" x14ac:dyDescent="0.3">
      <c r="A146" s="84">
        <v>1808</v>
      </c>
      <c r="B146" s="85" t="s">
        <v>1468</v>
      </c>
      <c r="C146" s="82" t="s">
        <v>1469</v>
      </c>
      <c r="D146" s="86">
        <v>103297000</v>
      </c>
      <c r="E146" s="82" t="s">
        <v>1470</v>
      </c>
      <c r="F146" s="82" t="str">
        <f>VLOOKUP(D146,'[1]Bến Cát'!$E$4:$F$177,2,0)</f>
        <v>11.177939848472967, 106.60079716656419</v>
      </c>
      <c r="G146" s="82" t="s">
        <v>1471</v>
      </c>
      <c r="H146" s="82" t="s">
        <v>878</v>
      </c>
      <c r="I146" s="82" t="s">
        <v>1472</v>
      </c>
      <c r="J146" s="82" t="s">
        <v>880</v>
      </c>
      <c r="K146" s="82"/>
      <c r="L146" s="82">
        <v>300</v>
      </c>
      <c r="M146" s="82">
        <f t="shared" si="5"/>
        <v>300</v>
      </c>
      <c r="N146" s="82" t="s">
        <v>91</v>
      </c>
      <c r="O146" s="82" t="s">
        <v>90</v>
      </c>
      <c r="P146" s="82" t="s">
        <v>91</v>
      </c>
      <c r="Q146" s="82" t="s">
        <v>881</v>
      </c>
      <c r="R146" s="82" t="s">
        <v>897</v>
      </c>
      <c r="S146" s="87"/>
      <c r="T146" s="87"/>
      <c r="U146" s="82">
        <v>6</v>
      </c>
      <c r="V146" s="87"/>
      <c r="W146" s="87"/>
      <c r="X146" s="87"/>
      <c r="Y146" s="82">
        <f t="shared" si="2"/>
        <v>6</v>
      </c>
      <c r="Z146" s="82">
        <v>6</v>
      </c>
      <c r="AA146" s="87"/>
      <c r="AB146" s="87"/>
      <c r="AC146" s="82">
        <f t="shared" si="3"/>
        <v>6</v>
      </c>
      <c r="AD146" s="87"/>
      <c r="AE146" s="82">
        <v>6</v>
      </c>
      <c r="AF146" s="87"/>
      <c r="AG146" s="87"/>
      <c r="AH146" s="87"/>
      <c r="AI146" s="82">
        <f t="shared" si="4"/>
        <v>6</v>
      </c>
      <c r="AJ146" s="82" t="s">
        <v>883</v>
      </c>
      <c r="AK146" s="82">
        <v>3</v>
      </c>
      <c r="AL146" s="82" t="s">
        <v>884</v>
      </c>
      <c r="AM146" s="88">
        <v>46136</v>
      </c>
      <c r="AN146" s="87"/>
      <c r="AO146" s="82" t="s">
        <v>892</v>
      </c>
      <c r="AY146" s="71"/>
    </row>
    <row r="147" spans="1:51" ht="65.25" customHeight="1" x14ac:dyDescent="0.3">
      <c r="A147" s="84">
        <v>1656</v>
      </c>
      <c r="B147" s="85" t="s">
        <v>1473</v>
      </c>
      <c r="C147" s="82" t="s">
        <v>1474</v>
      </c>
      <c r="D147" s="86">
        <v>101286000</v>
      </c>
      <c r="E147" s="82" t="s">
        <v>1475</v>
      </c>
      <c r="F147" s="82" t="str">
        <f>VLOOKUP(D147,'[1]Bến Cát'!$E$4:$F$177,2,0)</f>
        <v>11.252712, 106.6629862</v>
      </c>
      <c r="G147" s="82" t="s">
        <v>1391</v>
      </c>
      <c r="H147" s="82" t="s">
        <v>878</v>
      </c>
      <c r="I147" s="82" t="s">
        <v>1476</v>
      </c>
      <c r="J147" s="82" t="s">
        <v>891</v>
      </c>
      <c r="K147" s="82"/>
      <c r="L147" s="82">
        <v>420</v>
      </c>
      <c r="M147" s="82">
        <f t="shared" si="5"/>
        <v>420</v>
      </c>
      <c r="N147" s="82" t="s">
        <v>90</v>
      </c>
      <c r="O147" s="82" t="s">
        <v>91</v>
      </c>
      <c r="P147" s="82" t="s">
        <v>91</v>
      </c>
      <c r="Q147" s="82" t="s">
        <v>881</v>
      </c>
      <c r="R147" s="82" t="s">
        <v>897</v>
      </c>
      <c r="S147" s="87"/>
      <c r="T147" s="87"/>
      <c r="U147" s="87"/>
      <c r="V147" s="87"/>
      <c r="W147" s="82">
        <v>7</v>
      </c>
      <c r="X147" s="87"/>
      <c r="Y147" s="82">
        <f t="shared" si="2"/>
        <v>7</v>
      </c>
      <c r="Z147" s="82">
        <v>7</v>
      </c>
      <c r="AA147" s="87"/>
      <c r="AB147" s="87"/>
      <c r="AC147" s="82">
        <f t="shared" si="3"/>
        <v>7</v>
      </c>
      <c r="AD147" s="87"/>
      <c r="AE147" s="82">
        <v>7</v>
      </c>
      <c r="AF147" s="87"/>
      <c r="AG147" s="87"/>
      <c r="AH147" s="87"/>
      <c r="AI147" s="82">
        <f t="shared" si="4"/>
        <v>7</v>
      </c>
      <c r="AJ147" s="82" t="s">
        <v>883</v>
      </c>
      <c r="AK147" s="82">
        <v>3</v>
      </c>
      <c r="AL147" s="82" t="s">
        <v>884</v>
      </c>
      <c r="AM147" s="88">
        <v>46136</v>
      </c>
      <c r="AN147" s="87"/>
      <c r="AO147" s="82" t="s">
        <v>892</v>
      </c>
      <c r="AY147" s="71"/>
    </row>
    <row r="148" spans="1:51" ht="65.25" customHeight="1" x14ac:dyDescent="0.3">
      <c r="A148" s="84">
        <v>1808</v>
      </c>
      <c r="B148" s="85" t="s">
        <v>1477</v>
      </c>
      <c r="C148" s="82" t="s">
        <v>1478</v>
      </c>
      <c r="D148" s="86">
        <v>103298000</v>
      </c>
      <c r="E148" s="82" t="s">
        <v>1479</v>
      </c>
      <c r="F148" s="82" t="str">
        <f>VLOOKUP(D148,'[1]Bến Cát'!$E$4:$F$177,2,0)</f>
        <v>11.179888391046648, 106.59197760480669</v>
      </c>
      <c r="G148" s="82" t="s">
        <v>1471</v>
      </c>
      <c r="H148" s="82" t="s">
        <v>878</v>
      </c>
      <c r="I148" s="82" t="s">
        <v>1480</v>
      </c>
      <c r="J148" s="82" t="s">
        <v>891</v>
      </c>
      <c r="K148" s="82"/>
      <c r="L148" s="82">
        <v>1020</v>
      </c>
      <c r="M148" s="82">
        <f t="shared" si="5"/>
        <v>1020</v>
      </c>
      <c r="N148" s="82" t="s">
        <v>91</v>
      </c>
      <c r="O148" s="82" t="s">
        <v>90</v>
      </c>
      <c r="P148" s="82" t="s">
        <v>91</v>
      </c>
      <c r="Q148" s="82" t="s">
        <v>881</v>
      </c>
      <c r="R148" s="82" t="s">
        <v>882</v>
      </c>
      <c r="S148" s="87"/>
      <c r="T148" s="87"/>
      <c r="U148" s="82">
        <v>18</v>
      </c>
      <c r="V148" s="87"/>
      <c r="W148" s="87"/>
      <c r="X148" s="87"/>
      <c r="Y148" s="82">
        <f t="shared" si="2"/>
        <v>18</v>
      </c>
      <c r="Z148" s="82">
        <v>17</v>
      </c>
      <c r="AA148" s="87"/>
      <c r="AB148" s="87"/>
      <c r="AC148" s="82">
        <f t="shared" si="3"/>
        <v>17</v>
      </c>
      <c r="AD148" s="87"/>
      <c r="AE148" s="82">
        <v>18</v>
      </c>
      <c r="AF148" s="87"/>
      <c r="AG148" s="87"/>
      <c r="AH148" s="87"/>
      <c r="AI148" s="82">
        <f t="shared" si="4"/>
        <v>18</v>
      </c>
      <c r="AJ148" s="82" t="s">
        <v>883</v>
      </c>
      <c r="AK148" s="82">
        <v>3</v>
      </c>
      <c r="AL148" s="82" t="s">
        <v>884</v>
      </c>
      <c r="AM148" s="88">
        <v>46136</v>
      </c>
      <c r="AN148" s="87"/>
      <c r="AO148" s="82" t="s">
        <v>885</v>
      </c>
      <c r="AY148" s="71"/>
    </row>
    <row r="149" spans="1:51" ht="65.25" customHeight="1" x14ac:dyDescent="0.3">
      <c r="A149" s="84">
        <v>1656</v>
      </c>
      <c r="B149" s="85" t="s">
        <v>1481</v>
      </c>
      <c r="C149" s="82" t="s">
        <v>1482</v>
      </c>
      <c r="D149" s="86">
        <v>103264000</v>
      </c>
      <c r="E149" s="82" t="s">
        <v>1483</v>
      </c>
      <c r="F149" s="82" t="str">
        <f>VLOOKUP(D149,'[1]Bến Cát'!$E$4:$F$177,2,0)</f>
        <v>11.2496233, 106.66612</v>
      </c>
      <c r="G149" s="82" t="s">
        <v>1391</v>
      </c>
      <c r="H149" s="82" t="s">
        <v>878</v>
      </c>
      <c r="I149" s="82" t="s">
        <v>1484</v>
      </c>
      <c r="J149" s="82" t="s">
        <v>891</v>
      </c>
      <c r="K149" s="82"/>
      <c r="L149" s="82">
        <v>310</v>
      </c>
      <c r="M149" s="82">
        <f t="shared" si="5"/>
        <v>310</v>
      </c>
      <c r="N149" s="82" t="s">
        <v>90</v>
      </c>
      <c r="O149" s="82" t="s">
        <v>91</v>
      </c>
      <c r="P149" s="82" t="s">
        <v>91</v>
      </c>
      <c r="Q149" s="82" t="s">
        <v>881</v>
      </c>
      <c r="R149" s="82" t="s">
        <v>897</v>
      </c>
      <c r="S149" s="87"/>
      <c r="T149" s="87"/>
      <c r="U149" s="87"/>
      <c r="V149" s="87"/>
      <c r="W149" s="82">
        <v>5</v>
      </c>
      <c r="X149" s="87"/>
      <c r="Y149" s="82">
        <f t="shared" si="2"/>
        <v>5</v>
      </c>
      <c r="Z149" s="82">
        <v>5</v>
      </c>
      <c r="AA149" s="87"/>
      <c r="AB149" s="87"/>
      <c r="AC149" s="82">
        <f t="shared" si="3"/>
        <v>5</v>
      </c>
      <c r="AD149" s="87"/>
      <c r="AE149" s="82">
        <v>5</v>
      </c>
      <c r="AF149" s="87"/>
      <c r="AG149" s="87"/>
      <c r="AH149" s="87"/>
      <c r="AI149" s="82">
        <f t="shared" si="4"/>
        <v>5</v>
      </c>
      <c r="AJ149" s="82" t="s">
        <v>883</v>
      </c>
      <c r="AK149" s="82">
        <v>3</v>
      </c>
      <c r="AL149" s="82" t="s">
        <v>884</v>
      </c>
      <c r="AM149" s="88">
        <v>46136</v>
      </c>
      <c r="AN149" s="87"/>
      <c r="AO149" s="82" t="s">
        <v>892</v>
      </c>
      <c r="AY149" s="71"/>
    </row>
    <row r="150" spans="1:51" ht="65.25" customHeight="1" x14ac:dyDescent="0.3">
      <c r="A150" s="84">
        <v>1659</v>
      </c>
      <c r="B150" s="85" t="s">
        <v>1485</v>
      </c>
      <c r="C150" s="82" t="s">
        <v>1486</v>
      </c>
      <c r="D150" s="86">
        <v>103299000</v>
      </c>
      <c r="E150" s="82" t="s">
        <v>1487</v>
      </c>
      <c r="F150" s="82" t="str">
        <f>VLOOKUP(D150,'[1]Bến Cát'!$E$4:$F$177,2,0)</f>
        <v>11.182719444096016, 106.59273143893593</v>
      </c>
      <c r="G150" s="82" t="s">
        <v>1408</v>
      </c>
      <c r="H150" s="82" t="s">
        <v>878</v>
      </c>
      <c r="I150" s="82" t="s">
        <v>1488</v>
      </c>
      <c r="J150" s="82" t="s">
        <v>880</v>
      </c>
      <c r="K150" s="82"/>
      <c r="L150" s="82">
        <v>240</v>
      </c>
      <c r="M150" s="82">
        <f t="shared" si="5"/>
        <v>240</v>
      </c>
      <c r="N150" s="82" t="s">
        <v>90</v>
      </c>
      <c r="O150" s="82" t="s">
        <v>91</v>
      </c>
      <c r="P150" s="82" t="s">
        <v>91</v>
      </c>
      <c r="Q150" s="82" t="s">
        <v>881</v>
      </c>
      <c r="R150" s="82" t="s">
        <v>897</v>
      </c>
      <c r="S150" s="87"/>
      <c r="T150" s="87"/>
      <c r="U150" s="87"/>
      <c r="V150" s="87"/>
      <c r="W150" s="82">
        <v>7</v>
      </c>
      <c r="X150" s="87"/>
      <c r="Y150" s="82">
        <f t="shared" si="2"/>
        <v>7</v>
      </c>
      <c r="Z150" s="82">
        <v>7</v>
      </c>
      <c r="AA150" s="87"/>
      <c r="AB150" s="87"/>
      <c r="AC150" s="82">
        <f t="shared" si="3"/>
        <v>7</v>
      </c>
      <c r="AD150" s="87"/>
      <c r="AE150" s="82">
        <v>7</v>
      </c>
      <c r="AF150" s="87"/>
      <c r="AG150" s="87"/>
      <c r="AH150" s="87"/>
      <c r="AI150" s="82">
        <f t="shared" si="4"/>
        <v>7</v>
      </c>
      <c r="AJ150" s="82" t="s">
        <v>883</v>
      </c>
      <c r="AK150" s="82">
        <v>3</v>
      </c>
      <c r="AL150" s="82" t="s">
        <v>884</v>
      </c>
      <c r="AM150" s="88">
        <v>46136</v>
      </c>
      <c r="AN150" s="87"/>
      <c r="AO150" s="82" t="s">
        <v>892</v>
      </c>
      <c r="AY150" s="71"/>
    </row>
    <row r="151" spans="1:51" ht="65.25" customHeight="1" x14ac:dyDescent="0.3">
      <c r="A151" s="84">
        <v>1656</v>
      </c>
      <c r="B151" s="85" t="s">
        <v>1489</v>
      </c>
      <c r="C151" s="82" t="s">
        <v>1490</v>
      </c>
      <c r="D151" s="86">
        <v>103265000</v>
      </c>
      <c r="E151" s="82" t="s">
        <v>1491</v>
      </c>
      <c r="F151" s="82" t="str">
        <f>VLOOKUP(D151,'[1]Bến Cát'!$E$4:$F$177,2,0)</f>
        <v>11.2473287, 106.6688503</v>
      </c>
      <c r="G151" s="82" t="s">
        <v>1391</v>
      </c>
      <c r="H151" s="82" t="s">
        <v>878</v>
      </c>
      <c r="I151" s="82" t="s">
        <v>1492</v>
      </c>
      <c r="J151" s="82" t="s">
        <v>891</v>
      </c>
      <c r="K151" s="82"/>
      <c r="L151" s="82">
        <v>320</v>
      </c>
      <c r="M151" s="82">
        <f t="shared" si="5"/>
        <v>320</v>
      </c>
      <c r="N151" s="82" t="s">
        <v>91</v>
      </c>
      <c r="O151" s="82" t="s">
        <v>90</v>
      </c>
      <c r="P151" s="82" t="s">
        <v>91</v>
      </c>
      <c r="Q151" s="82" t="s">
        <v>881</v>
      </c>
      <c r="R151" s="82" t="s">
        <v>897</v>
      </c>
      <c r="S151" s="87"/>
      <c r="T151" s="87"/>
      <c r="U151" s="87"/>
      <c r="V151" s="87"/>
      <c r="W151" s="82">
        <v>11</v>
      </c>
      <c r="X151" s="87"/>
      <c r="Y151" s="82">
        <f t="shared" si="2"/>
        <v>11</v>
      </c>
      <c r="Z151" s="82">
        <v>11</v>
      </c>
      <c r="AA151" s="87"/>
      <c r="AB151" s="87"/>
      <c r="AC151" s="82">
        <f t="shared" si="3"/>
        <v>11</v>
      </c>
      <c r="AD151" s="87"/>
      <c r="AE151" s="82">
        <v>11</v>
      </c>
      <c r="AF151" s="87"/>
      <c r="AG151" s="87"/>
      <c r="AH151" s="87"/>
      <c r="AI151" s="82">
        <f t="shared" si="4"/>
        <v>11</v>
      </c>
      <c r="AJ151" s="82" t="s">
        <v>883</v>
      </c>
      <c r="AK151" s="82">
        <v>2</v>
      </c>
      <c r="AL151" s="82" t="s">
        <v>884</v>
      </c>
      <c r="AM151" s="88">
        <v>46136</v>
      </c>
      <c r="AN151" s="87"/>
      <c r="AO151" s="82" t="s">
        <v>892</v>
      </c>
      <c r="AY151" s="71"/>
    </row>
    <row r="152" spans="1:51" ht="65.25" customHeight="1" x14ac:dyDescent="0.3">
      <c r="A152" s="84">
        <v>1655</v>
      </c>
      <c r="B152" s="85" t="s">
        <v>1493</v>
      </c>
      <c r="C152" s="82" t="s">
        <v>1494</v>
      </c>
      <c r="D152" s="86">
        <v>102704000</v>
      </c>
      <c r="E152" s="82" t="s">
        <v>1495</v>
      </c>
      <c r="F152" s="82" t="str">
        <f>VLOOKUP(D152,'[1]Bến Cát'!$E$4:$F$177,2,0)</f>
        <v>11.2557884, 106.6578488</v>
      </c>
      <c r="G152" s="82" t="s">
        <v>1431</v>
      </c>
      <c r="H152" s="82" t="s">
        <v>878</v>
      </c>
      <c r="I152" s="82" t="s">
        <v>1496</v>
      </c>
      <c r="J152" s="82" t="s">
        <v>1369</v>
      </c>
      <c r="K152" s="82"/>
      <c r="L152" s="82">
        <v>600</v>
      </c>
      <c r="M152" s="82">
        <f t="shared" si="5"/>
        <v>600</v>
      </c>
      <c r="N152" s="82" t="s">
        <v>91</v>
      </c>
      <c r="O152" s="82" t="s">
        <v>90</v>
      </c>
      <c r="P152" s="82" t="s">
        <v>91</v>
      </c>
      <c r="Q152" s="82" t="s">
        <v>881</v>
      </c>
      <c r="R152" s="82" t="s">
        <v>882</v>
      </c>
      <c r="S152" s="87"/>
      <c r="T152" s="87"/>
      <c r="U152" s="82">
        <v>8</v>
      </c>
      <c r="V152" s="82">
        <v>3</v>
      </c>
      <c r="W152" s="87"/>
      <c r="X152" s="87"/>
      <c r="Y152" s="82">
        <f t="shared" si="2"/>
        <v>11</v>
      </c>
      <c r="Z152" s="82">
        <v>11</v>
      </c>
      <c r="AA152" s="87"/>
      <c r="AB152" s="87"/>
      <c r="AC152" s="82">
        <f t="shared" si="3"/>
        <v>11</v>
      </c>
      <c r="AD152" s="82">
        <v>3</v>
      </c>
      <c r="AE152" s="82">
        <v>8</v>
      </c>
      <c r="AF152" s="87"/>
      <c r="AG152" s="87"/>
      <c r="AH152" s="87"/>
      <c r="AI152" s="82">
        <f t="shared" si="4"/>
        <v>11</v>
      </c>
      <c r="AJ152" s="82" t="s">
        <v>883</v>
      </c>
      <c r="AK152" s="82">
        <v>3</v>
      </c>
      <c r="AL152" s="82" t="s">
        <v>884</v>
      </c>
      <c r="AM152" s="88">
        <v>46136</v>
      </c>
      <c r="AN152" s="87"/>
      <c r="AO152" s="82" t="s">
        <v>885</v>
      </c>
      <c r="AY152" s="71"/>
    </row>
    <row r="153" spans="1:51" ht="65.25" customHeight="1" x14ac:dyDescent="0.3">
      <c r="A153" s="84">
        <v>1656</v>
      </c>
      <c r="B153" s="85" t="s">
        <v>1497</v>
      </c>
      <c r="C153" s="82" t="s">
        <v>1498</v>
      </c>
      <c r="D153" s="86">
        <v>103266000</v>
      </c>
      <c r="E153" s="82" t="s">
        <v>1499</v>
      </c>
      <c r="F153" s="82" t="str">
        <f>VLOOKUP(D153,'[1]Bến Cát'!$E$4:$F$177,2,0)</f>
        <v>11.2451133, 106.6726483</v>
      </c>
      <c r="G153" s="82" t="s">
        <v>1391</v>
      </c>
      <c r="H153" s="82" t="s">
        <v>878</v>
      </c>
      <c r="I153" s="82" t="s">
        <v>1500</v>
      </c>
      <c r="J153" s="82" t="s">
        <v>891</v>
      </c>
      <c r="K153" s="82"/>
      <c r="L153" s="82">
        <v>310</v>
      </c>
      <c r="M153" s="82">
        <f t="shared" si="5"/>
        <v>310</v>
      </c>
      <c r="N153" s="82" t="s">
        <v>91</v>
      </c>
      <c r="O153" s="82" t="s">
        <v>90</v>
      </c>
      <c r="P153" s="82" t="s">
        <v>91</v>
      </c>
      <c r="Q153" s="82" t="s">
        <v>881</v>
      </c>
      <c r="R153" s="82" t="s">
        <v>897</v>
      </c>
      <c r="S153" s="87"/>
      <c r="T153" s="87"/>
      <c r="U153" s="87"/>
      <c r="V153" s="87"/>
      <c r="W153" s="82">
        <v>11</v>
      </c>
      <c r="X153" s="87"/>
      <c r="Y153" s="82">
        <f t="shared" si="2"/>
        <v>11</v>
      </c>
      <c r="Z153" s="82">
        <v>11</v>
      </c>
      <c r="AA153" s="87"/>
      <c r="AB153" s="87"/>
      <c r="AC153" s="82">
        <f t="shared" si="3"/>
        <v>11</v>
      </c>
      <c r="AD153" s="87"/>
      <c r="AE153" s="82">
        <v>11</v>
      </c>
      <c r="AF153" s="87"/>
      <c r="AG153" s="87"/>
      <c r="AH153" s="87"/>
      <c r="AI153" s="82">
        <f t="shared" si="4"/>
        <v>11</v>
      </c>
      <c r="AJ153" s="82" t="s">
        <v>883</v>
      </c>
      <c r="AK153" s="82">
        <v>2</v>
      </c>
      <c r="AL153" s="82" t="s">
        <v>884</v>
      </c>
      <c r="AM153" s="88">
        <v>46136</v>
      </c>
      <c r="AN153" s="87"/>
      <c r="AO153" s="82" t="s">
        <v>892</v>
      </c>
      <c r="AY153" s="71"/>
    </row>
    <row r="154" spans="1:51" ht="65.25" customHeight="1" x14ac:dyDescent="0.3">
      <c r="A154" s="84">
        <v>1808</v>
      </c>
      <c r="B154" s="85" t="s">
        <v>1501</v>
      </c>
      <c r="C154" s="82" t="s">
        <v>1502</v>
      </c>
      <c r="D154" s="86">
        <v>103300000</v>
      </c>
      <c r="E154" s="82" t="s">
        <v>1503</v>
      </c>
      <c r="F154" s="82" t="str">
        <f>VLOOKUP(D154,'[1]Bến Cát'!$E$4:$F$177,2,0)</f>
        <v>11.187841770862796, 106.5925070601686</v>
      </c>
      <c r="G154" s="82" t="s">
        <v>1471</v>
      </c>
      <c r="H154" s="82" t="s">
        <v>878</v>
      </c>
      <c r="I154" s="82" t="s">
        <v>1504</v>
      </c>
      <c r="J154" s="82" t="s">
        <v>891</v>
      </c>
      <c r="K154" s="82"/>
      <c r="L154" s="82">
        <v>480</v>
      </c>
      <c r="M154" s="82">
        <f t="shared" si="5"/>
        <v>480</v>
      </c>
      <c r="N154" s="82" t="s">
        <v>91</v>
      </c>
      <c r="O154" s="82" t="s">
        <v>90</v>
      </c>
      <c r="P154" s="82" t="s">
        <v>91</v>
      </c>
      <c r="Q154" s="82" t="s">
        <v>881</v>
      </c>
      <c r="R154" s="82" t="s">
        <v>897</v>
      </c>
      <c r="S154" s="87"/>
      <c r="T154" s="87"/>
      <c r="U154" s="82">
        <v>8</v>
      </c>
      <c r="V154" s="87"/>
      <c r="W154" s="87"/>
      <c r="X154" s="87"/>
      <c r="Y154" s="82">
        <f t="shared" si="2"/>
        <v>8</v>
      </c>
      <c r="Z154" s="82">
        <v>8</v>
      </c>
      <c r="AA154" s="87"/>
      <c r="AB154" s="87"/>
      <c r="AC154" s="82">
        <f t="shared" si="3"/>
        <v>8</v>
      </c>
      <c r="AD154" s="87"/>
      <c r="AE154" s="82">
        <v>8</v>
      </c>
      <c r="AF154" s="87"/>
      <c r="AG154" s="87"/>
      <c r="AH154" s="87"/>
      <c r="AI154" s="82">
        <f t="shared" si="4"/>
        <v>8</v>
      </c>
      <c r="AJ154" s="82" t="s">
        <v>883</v>
      </c>
      <c r="AK154" s="82">
        <v>3</v>
      </c>
      <c r="AL154" s="82" t="s">
        <v>884</v>
      </c>
      <c r="AM154" s="88">
        <v>46136</v>
      </c>
      <c r="AN154" s="87"/>
      <c r="AO154" s="82" t="s">
        <v>892</v>
      </c>
      <c r="AY154" s="71"/>
    </row>
    <row r="155" spans="1:51" ht="65.25" customHeight="1" x14ac:dyDescent="0.3">
      <c r="A155" s="84">
        <v>1784</v>
      </c>
      <c r="B155" s="85" t="s">
        <v>1505</v>
      </c>
      <c r="C155" s="82" t="s">
        <v>1506</v>
      </c>
      <c r="D155" s="86">
        <v>102751000</v>
      </c>
      <c r="E155" s="82" t="s">
        <v>1507</v>
      </c>
      <c r="F155" s="82" t="str">
        <f>VLOOKUP(D155,'[1]Bến Cát'!$E$4:$F$177,2,0)</f>
        <v>11.151840684754257, 106.58878315892898</v>
      </c>
      <c r="G155" s="82" t="s">
        <v>1506</v>
      </c>
      <c r="H155" s="82" t="s">
        <v>878</v>
      </c>
      <c r="I155" s="82" t="s">
        <v>1508</v>
      </c>
      <c r="J155" s="82" t="s">
        <v>1369</v>
      </c>
      <c r="K155" s="82"/>
      <c r="L155" s="82">
        <v>1120</v>
      </c>
      <c r="M155" s="82">
        <f t="shared" si="5"/>
        <v>1120</v>
      </c>
      <c r="N155" s="82" t="s">
        <v>90</v>
      </c>
      <c r="O155" s="82" t="s">
        <v>91</v>
      </c>
      <c r="P155" s="82" t="s">
        <v>91</v>
      </c>
      <c r="Q155" s="82" t="s">
        <v>881</v>
      </c>
      <c r="R155" s="82" t="s">
        <v>882</v>
      </c>
      <c r="S155" s="87"/>
      <c r="T155" s="87"/>
      <c r="U155" s="87"/>
      <c r="V155" s="87"/>
      <c r="W155" s="82">
        <v>15</v>
      </c>
      <c r="X155" s="87"/>
      <c r="Y155" s="82">
        <f t="shared" si="2"/>
        <v>15</v>
      </c>
      <c r="Z155" s="82">
        <v>15</v>
      </c>
      <c r="AA155" s="87"/>
      <c r="AB155" s="87"/>
      <c r="AC155" s="82">
        <f t="shared" si="3"/>
        <v>15</v>
      </c>
      <c r="AD155" s="87"/>
      <c r="AE155" s="82">
        <v>15</v>
      </c>
      <c r="AF155" s="87"/>
      <c r="AG155" s="87"/>
      <c r="AH155" s="87"/>
      <c r="AI155" s="82">
        <f t="shared" si="4"/>
        <v>15</v>
      </c>
      <c r="AJ155" s="82" t="s">
        <v>883</v>
      </c>
      <c r="AK155" s="82">
        <v>2</v>
      </c>
      <c r="AL155" s="82" t="s">
        <v>884</v>
      </c>
      <c r="AM155" s="88">
        <v>46136</v>
      </c>
      <c r="AN155" s="87"/>
      <c r="AO155" s="82" t="s">
        <v>885</v>
      </c>
      <c r="AY155" s="71"/>
    </row>
    <row r="156" spans="1:51" ht="65.25" customHeight="1" x14ac:dyDescent="0.3">
      <c r="A156" s="84" t="s">
        <v>1509</v>
      </c>
      <c r="B156" s="85" t="s">
        <v>1510</v>
      </c>
      <c r="C156" s="82" t="s">
        <v>1506</v>
      </c>
      <c r="D156" s="86">
        <v>102751000</v>
      </c>
      <c r="E156" s="82" t="s">
        <v>1507</v>
      </c>
      <c r="F156" s="82" t="str">
        <f>VLOOKUP(D156,'[1]Bến Cát'!$E$4:$F$177,2,0)</f>
        <v>11.151840684754257, 106.58878315892898</v>
      </c>
      <c r="G156" s="82" t="s">
        <v>1506</v>
      </c>
      <c r="H156" s="82" t="s">
        <v>878</v>
      </c>
      <c r="I156" s="82" t="s">
        <v>1508</v>
      </c>
      <c r="J156" s="82" t="s">
        <v>1511</v>
      </c>
      <c r="K156" s="82"/>
      <c r="L156" s="82">
        <v>390</v>
      </c>
      <c r="M156" s="82">
        <f t="shared" si="5"/>
        <v>390</v>
      </c>
      <c r="N156" s="82" t="s">
        <v>90</v>
      </c>
      <c r="O156" s="82" t="s">
        <v>91</v>
      </c>
      <c r="P156" s="82" t="s">
        <v>91</v>
      </c>
      <c r="Q156" s="82" t="s">
        <v>881</v>
      </c>
      <c r="R156" s="82" t="s">
        <v>882</v>
      </c>
      <c r="S156" s="87"/>
      <c r="T156" s="87"/>
      <c r="U156" s="87"/>
      <c r="V156" s="87"/>
      <c r="W156" s="82">
        <v>13</v>
      </c>
      <c r="X156" s="87"/>
      <c r="Y156" s="82">
        <f t="shared" si="2"/>
        <v>13</v>
      </c>
      <c r="Z156" s="82">
        <v>13</v>
      </c>
      <c r="AA156" s="87"/>
      <c r="AB156" s="87"/>
      <c r="AC156" s="82">
        <f t="shared" si="3"/>
        <v>13</v>
      </c>
      <c r="AD156" s="87"/>
      <c r="AE156" s="82">
        <v>13</v>
      </c>
      <c r="AF156" s="87"/>
      <c r="AG156" s="87"/>
      <c r="AH156" s="87"/>
      <c r="AI156" s="82">
        <f t="shared" si="4"/>
        <v>13</v>
      </c>
      <c r="AJ156" s="82" t="s">
        <v>883</v>
      </c>
      <c r="AK156" s="82">
        <v>3</v>
      </c>
      <c r="AL156" s="82" t="s">
        <v>884</v>
      </c>
      <c r="AM156" s="88">
        <v>46136</v>
      </c>
      <c r="AN156" s="87"/>
      <c r="AO156" s="82" t="s">
        <v>885</v>
      </c>
      <c r="AY156" s="71"/>
    </row>
    <row r="157" spans="1:51" ht="65.25" customHeight="1" x14ac:dyDescent="0.3">
      <c r="A157" s="84" t="s">
        <v>1512</v>
      </c>
      <c r="B157" s="85" t="s">
        <v>1513</v>
      </c>
      <c r="C157" s="82" t="s">
        <v>1514</v>
      </c>
      <c r="D157" s="86">
        <v>102705000</v>
      </c>
      <c r="E157" s="82" t="s">
        <v>1515</v>
      </c>
      <c r="F157" s="82" t="str">
        <f>VLOOKUP(D157,'[1]Bến Cát'!$E$4:$F$177,2,0)</f>
        <v>11.2525064, 106.6616621</v>
      </c>
      <c r="G157" s="82" t="s">
        <v>1431</v>
      </c>
      <c r="H157" s="82" t="s">
        <v>878</v>
      </c>
      <c r="I157" s="82" t="s">
        <v>1496</v>
      </c>
      <c r="J157" s="82" t="s">
        <v>1516</v>
      </c>
      <c r="K157" s="82"/>
      <c r="L157" s="82">
        <v>1230</v>
      </c>
      <c r="M157" s="82">
        <f t="shared" si="5"/>
        <v>1230</v>
      </c>
      <c r="N157" s="82" t="s">
        <v>91</v>
      </c>
      <c r="O157" s="82" t="s">
        <v>90</v>
      </c>
      <c r="P157" s="82" t="s">
        <v>91</v>
      </c>
      <c r="Q157" s="82" t="s">
        <v>881</v>
      </c>
      <c r="R157" s="82" t="s">
        <v>882</v>
      </c>
      <c r="S157" s="87"/>
      <c r="T157" s="87"/>
      <c r="U157" s="82">
        <v>8</v>
      </c>
      <c r="V157" s="87"/>
      <c r="W157" s="82">
        <v>8</v>
      </c>
      <c r="X157" s="87"/>
      <c r="Y157" s="82">
        <f t="shared" si="2"/>
        <v>16</v>
      </c>
      <c r="Z157" s="82">
        <v>16</v>
      </c>
      <c r="AA157" s="87"/>
      <c r="AB157" s="87"/>
      <c r="AC157" s="82">
        <f t="shared" si="3"/>
        <v>16</v>
      </c>
      <c r="AD157" s="87"/>
      <c r="AE157" s="82">
        <v>16</v>
      </c>
      <c r="AF157" s="87"/>
      <c r="AG157" s="87"/>
      <c r="AH157" s="87"/>
      <c r="AI157" s="82">
        <f t="shared" si="4"/>
        <v>16</v>
      </c>
      <c r="AJ157" s="82" t="s">
        <v>883</v>
      </c>
      <c r="AK157" s="82">
        <v>3</v>
      </c>
      <c r="AL157" s="82" t="s">
        <v>884</v>
      </c>
      <c r="AM157" s="88">
        <v>46136</v>
      </c>
      <c r="AN157" s="87"/>
      <c r="AO157" s="82" t="s">
        <v>885</v>
      </c>
      <c r="AY157" s="71"/>
    </row>
    <row r="158" spans="1:51" ht="65.25" customHeight="1" x14ac:dyDescent="0.3">
      <c r="A158" s="84">
        <v>1808</v>
      </c>
      <c r="B158" s="85" t="s">
        <v>1517</v>
      </c>
      <c r="C158" s="82" t="s">
        <v>1518</v>
      </c>
      <c r="D158" s="86">
        <v>103301000</v>
      </c>
      <c r="E158" s="82" t="s">
        <v>1519</v>
      </c>
      <c r="F158" s="82" t="str">
        <f>VLOOKUP(D158,'[1]Bến Cát'!$E$4:$F$177,2,0)</f>
        <v>11.193925884309074, 106.5931836980711</v>
      </c>
      <c r="G158" s="82" t="s">
        <v>1471</v>
      </c>
      <c r="H158" s="82" t="s">
        <v>878</v>
      </c>
      <c r="I158" s="82" t="s">
        <v>1520</v>
      </c>
      <c r="J158" s="82" t="s">
        <v>891</v>
      </c>
      <c r="K158" s="82"/>
      <c r="L158" s="82">
        <v>540</v>
      </c>
      <c r="M158" s="82">
        <f t="shared" si="5"/>
        <v>540</v>
      </c>
      <c r="N158" s="82" t="s">
        <v>91</v>
      </c>
      <c r="O158" s="82" t="s">
        <v>90</v>
      </c>
      <c r="P158" s="82" t="s">
        <v>91</v>
      </c>
      <c r="Q158" s="82" t="s">
        <v>881</v>
      </c>
      <c r="R158" s="82" t="s">
        <v>882</v>
      </c>
      <c r="S158" s="87"/>
      <c r="T158" s="87"/>
      <c r="U158" s="82">
        <v>9</v>
      </c>
      <c r="V158" s="87"/>
      <c r="W158" s="87"/>
      <c r="X158" s="87"/>
      <c r="Y158" s="82">
        <f t="shared" si="2"/>
        <v>9</v>
      </c>
      <c r="Z158" s="82">
        <v>9</v>
      </c>
      <c r="AA158" s="87"/>
      <c r="AB158" s="87"/>
      <c r="AC158" s="82">
        <f t="shared" si="3"/>
        <v>9</v>
      </c>
      <c r="AD158" s="87"/>
      <c r="AE158" s="82">
        <v>9</v>
      </c>
      <c r="AF158" s="87"/>
      <c r="AG158" s="87"/>
      <c r="AH158" s="87"/>
      <c r="AI158" s="82">
        <f t="shared" si="4"/>
        <v>9</v>
      </c>
      <c r="AJ158" s="82" t="s">
        <v>883</v>
      </c>
      <c r="AK158" s="82">
        <v>3</v>
      </c>
      <c r="AL158" s="82" t="s">
        <v>884</v>
      </c>
      <c r="AM158" s="88">
        <v>46136</v>
      </c>
      <c r="AN158" s="87"/>
      <c r="AO158" s="82" t="s">
        <v>885</v>
      </c>
      <c r="AY158" s="71"/>
    </row>
    <row r="159" spans="1:51" ht="65.25" customHeight="1" x14ac:dyDescent="0.3">
      <c r="A159" s="84">
        <v>1808</v>
      </c>
      <c r="B159" s="85" t="s">
        <v>1521</v>
      </c>
      <c r="C159" s="82" t="s">
        <v>1522</v>
      </c>
      <c r="D159" s="86">
        <v>103302000</v>
      </c>
      <c r="E159" s="82" t="s">
        <v>1523</v>
      </c>
      <c r="F159" s="82" t="str">
        <f>VLOOKUP(D159,'[1]Bến Cát'!$E$4:$F$177,2,0)</f>
        <v>11.19739936850336, 106.59423221794025</v>
      </c>
      <c r="G159" s="82" t="s">
        <v>1471</v>
      </c>
      <c r="H159" s="82" t="s">
        <v>878</v>
      </c>
      <c r="I159" s="82" t="s">
        <v>1524</v>
      </c>
      <c r="J159" s="82" t="s">
        <v>911</v>
      </c>
      <c r="K159" s="82"/>
      <c r="L159" s="82">
        <v>480</v>
      </c>
      <c r="M159" s="82">
        <f t="shared" si="5"/>
        <v>480</v>
      </c>
      <c r="N159" s="82" t="s">
        <v>91</v>
      </c>
      <c r="O159" s="82" t="s">
        <v>90</v>
      </c>
      <c r="P159" s="82" t="s">
        <v>91</v>
      </c>
      <c r="Q159" s="82" t="s">
        <v>881</v>
      </c>
      <c r="R159" s="82" t="s">
        <v>882</v>
      </c>
      <c r="S159" s="87"/>
      <c r="T159" s="87"/>
      <c r="U159" s="82">
        <v>10</v>
      </c>
      <c r="V159" s="87"/>
      <c r="W159" s="87"/>
      <c r="X159" s="87"/>
      <c r="Y159" s="82">
        <f t="shared" si="2"/>
        <v>10</v>
      </c>
      <c r="Z159" s="82">
        <v>10</v>
      </c>
      <c r="AA159" s="87"/>
      <c r="AB159" s="87"/>
      <c r="AC159" s="82">
        <f t="shared" si="3"/>
        <v>10</v>
      </c>
      <c r="AD159" s="87"/>
      <c r="AE159" s="82">
        <v>10</v>
      </c>
      <c r="AF159" s="87"/>
      <c r="AG159" s="87"/>
      <c r="AH159" s="87"/>
      <c r="AI159" s="82">
        <f t="shared" si="4"/>
        <v>10</v>
      </c>
      <c r="AJ159" s="82" t="s">
        <v>883</v>
      </c>
      <c r="AK159" s="82">
        <v>3</v>
      </c>
      <c r="AL159" s="82" t="s">
        <v>884</v>
      </c>
      <c r="AM159" s="88">
        <v>46137</v>
      </c>
      <c r="AN159" s="87"/>
      <c r="AO159" s="82" t="s">
        <v>885</v>
      </c>
      <c r="AY159" s="71"/>
    </row>
    <row r="160" spans="1:51" ht="65.25" customHeight="1" x14ac:dyDescent="0.3">
      <c r="A160" s="84">
        <v>1662</v>
      </c>
      <c r="B160" s="85" t="s">
        <v>1525</v>
      </c>
      <c r="C160" s="82" t="s">
        <v>1526</v>
      </c>
      <c r="D160" s="86">
        <v>103303000</v>
      </c>
      <c r="E160" s="82" t="s">
        <v>1527</v>
      </c>
      <c r="F160" s="82" t="str">
        <f>VLOOKUP(D160,'[1]Bến Cát'!$E$4:$F$177,2,0)</f>
        <v>11.197482714421854, 106.5936836991825</v>
      </c>
      <c r="G160" s="82" t="s">
        <v>1528</v>
      </c>
      <c r="H160" s="82" t="s">
        <v>878</v>
      </c>
      <c r="I160" s="82" t="s">
        <v>1529</v>
      </c>
      <c r="J160" s="82" t="s">
        <v>891</v>
      </c>
      <c r="K160" s="82"/>
      <c r="L160" s="82">
        <v>720</v>
      </c>
      <c r="M160" s="82">
        <f t="shared" si="5"/>
        <v>720</v>
      </c>
      <c r="N160" s="82" t="s">
        <v>90</v>
      </c>
      <c r="O160" s="82" t="s">
        <v>91</v>
      </c>
      <c r="P160" s="82" t="s">
        <v>91</v>
      </c>
      <c r="Q160" s="82" t="s">
        <v>881</v>
      </c>
      <c r="R160" s="82" t="s">
        <v>897</v>
      </c>
      <c r="S160" s="87"/>
      <c r="T160" s="87"/>
      <c r="U160" s="87"/>
      <c r="V160" s="87"/>
      <c r="W160" s="82">
        <v>13</v>
      </c>
      <c r="X160" s="87"/>
      <c r="Y160" s="82">
        <f t="shared" si="2"/>
        <v>13</v>
      </c>
      <c r="Z160" s="82">
        <v>13</v>
      </c>
      <c r="AA160" s="87"/>
      <c r="AB160" s="87"/>
      <c r="AC160" s="82">
        <f t="shared" si="3"/>
        <v>13</v>
      </c>
      <c r="AD160" s="87"/>
      <c r="AE160" s="82">
        <v>13</v>
      </c>
      <c r="AF160" s="87"/>
      <c r="AG160" s="87"/>
      <c r="AH160" s="87"/>
      <c r="AI160" s="82">
        <f t="shared" si="4"/>
        <v>13</v>
      </c>
      <c r="AJ160" s="82" t="s">
        <v>883</v>
      </c>
      <c r="AK160" s="82">
        <v>3</v>
      </c>
      <c r="AL160" s="82" t="s">
        <v>884</v>
      </c>
      <c r="AM160" s="88">
        <v>46137</v>
      </c>
      <c r="AN160" s="87"/>
      <c r="AO160" s="82" t="s">
        <v>892</v>
      </c>
      <c r="AY160" s="71"/>
    </row>
    <row r="161" spans="1:51" ht="65.25" customHeight="1" x14ac:dyDescent="0.3">
      <c r="A161" s="84" t="s">
        <v>1530</v>
      </c>
      <c r="B161" s="85" t="s">
        <v>1531</v>
      </c>
      <c r="C161" s="82" t="s">
        <v>1532</v>
      </c>
      <c r="D161" s="86">
        <v>102118000</v>
      </c>
      <c r="E161" s="82"/>
      <c r="F161" s="82"/>
      <c r="G161" s="82" t="s">
        <v>1532</v>
      </c>
      <c r="H161" s="82" t="s">
        <v>878</v>
      </c>
      <c r="I161" s="82" t="s">
        <v>1363</v>
      </c>
      <c r="J161" s="82" t="s">
        <v>880</v>
      </c>
      <c r="K161" s="82"/>
      <c r="L161" s="82">
        <v>220</v>
      </c>
      <c r="M161" s="82">
        <f t="shared" si="5"/>
        <v>220</v>
      </c>
      <c r="N161" s="82" t="s">
        <v>91</v>
      </c>
      <c r="O161" s="82" t="s">
        <v>90</v>
      </c>
      <c r="P161" s="82" t="s">
        <v>91</v>
      </c>
      <c r="Q161" s="82" t="s">
        <v>881</v>
      </c>
      <c r="R161" s="82" t="s">
        <v>882</v>
      </c>
      <c r="S161" s="87"/>
      <c r="T161" s="87"/>
      <c r="U161" s="87"/>
      <c r="V161" s="87"/>
      <c r="W161" s="82">
        <v>4</v>
      </c>
      <c r="X161" s="87"/>
      <c r="Y161" s="82">
        <f t="shared" si="2"/>
        <v>4</v>
      </c>
      <c r="Z161" s="82">
        <v>4</v>
      </c>
      <c r="AA161" s="87"/>
      <c r="AB161" s="87"/>
      <c r="AC161" s="82">
        <f t="shared" si="3"/>
        <v>4</v>
      </c>
      <c r="AD161" s="87"/>
      <c r="AE161" s="82">
        <v>4</v>
      </c>
      <c r="AF161" s="87"/>
      <c r="AG161" s="87"/>
      <c r="AH161" s="87"/>
      <c r="AI161" s="82">
        <f t="shared" si="4"/>
        <v>4</v>
      </c>
      <c r="AJ161" s="82" t="s">
        <v>883</v>
      </c>
      <c r="AK161" s="82">
        <v>3</v>
      </c>
      <c r="AL161" s="82" t="s">
        <v>884</v>
      </c>
      <c r="AM161" s="88">
        <v>46137</v>
      </c>
      <c r="AN161" s="87"/>
      <c r="AO161" s="82" t="s">
        <v>885</v>
      </c>
      <c r="AY161" s="71"/>
    </row>
    <row r="162" spans="1:51" ht="65.25" customHeight="1" x14ac:dyDescent="0.3">
      <c r="A162" s="84">
        <v>1662</v>
      </c>
      <c r="B162" s="85" t="s">
        <v>1533</v>
      </c>
      <c r="C162" s="82" t="s">
        <v>1534</v>
      </c>
      <c r="D162" s="86">
        <v>103304000</v>
      </c>
      <c r="E162" s="82" t="s">
        <v>1535</v>
      </c>
      <c r="F162" s="82" t="str">
        <f>VLOOKUP(D162,'[1]Bến Cát'!$E$4:$F$177,2,0)</f>
        <v>11.201973968619724, 106.58679805094317</v>
      </c>
      <c r="G162" s="82" t="s">
        <v>1528</v>
      </c>
      <c r="H162" s="82" t="s">
        <v>878</v>
      </c>
      <c r="I162" s="82" t="s">
        <v>1536</v>
      </c>
      <c r="J162" s="82" t="s">
        <v>891</v>
      </c>
      <c r="K162" s="82"/>
      <c r="L162" s="82">
        <v>660</v>
      </c>
      <c r="M162" s="82">
        <f t="shared" si="5"/>
        <v>660</v>
      </c>
      <c r="N162" s="82" t="s">
        <v>90</v>
      </c>
      <c r="O162" s="82" t="s">
        <v>91</v>
      </c>
      <c r="P162" s="82" t="s">
        <v>91</v>
      </c>
      <c r="Q162" s="82" t="s">
        <v>881</v>
      </c>
      <c r="R162" s="82" t="s">
        <v>897</v>
      </c>
      <c r="S162" s="87"/>
      <c r="T162" s="87"/>
      <c r="U162" s="87"/>
      <c r="V162" s="87"/>
      <c r="W162" s="82">
        <v>13</v>
      </c>
      <c r="X162" s="87"/>
      <c r="Y162" s="82">
        <f t="shared" si="2"/>
        <v>13</v>
      </c>
      <c r="Z162" s="82">
        <v>13</v>
      </c>
      <c r="AA162" s="87"/>
      <c r="AB162" s="87"/>
      <c r="AC162" s="82">
        <f t="shared" si="3"/>
        <v>13</v>
      </c>
      <c r="AD162" s="87"/>
      <c r="AE162" s="82">
        <v>13</v>
      </c>
      <c r="AF162" s="87"/>
      <c r="AG162" s="87"/>
      <c r="AH162" s="87"/>
      <c r="AI162" s="82">
        <f t="shared" si="4"/>
        <v>13</v>
      </c>
      <c r="AJ162" s="82" t="s">
        <v>883</v>
      </c>
      <c r="AK162" s="82">
        <v>3</v>
      </c>
      <c r="AL162" s="82" t="s">
        <v>884</v>
      </c>
      <c r="AM162" s="88">
        <v>46137</v>
      </c>
      <c r="AN162" s="87"/>
      <c r="AO162" s="82" t="s">
        <v>892</v>
      </c>
      <c r="AY162" s="71"/>
    </row>
    <row r="163" spans="1:51" ht="65.25" customHeight="1" x14ac:dyDescent="0.3">
      <c r="A163" s="84">
        <v>1656</v>
      </c>
      <c r="B163" s="85" t="s">
        <v>1537</v>
      </c>
      <c r="C163" s="82" t="s">
        <v>1538</v>
      </c>
      <c r="D163" s="86">
        <v>103267000</v>
      </c>
      <c r="E163" s="82" t="s">
        <v>1539</v>
      </c>
      <c r="F163" s="82" t="str">
        <f>VLOOKUP(D163,'[1]Bến Cát'!$E$4:$F$177,2,0)</f>
        <v>11.241215, 106.6767017</v>
      </c>
      <c r="G163" s="82" t="s">
        <v>1391</v>
      </c>
      <c r="H163" s="82" t="s">
        <v>878</v>
      </c>
      <c r="I163" s="82" t="s">
        <v>1540</v>
      </c>
      <c r="J163" s="82" t="s">
        <v>891</v>
      </c>
      <c r="K163" s="82"/>
      <c r="L163" s="82">
        <v>660</v>
      </c>
      <c r="M163" s="82">
        <f t="shared" si="5"/>
        <v>660</v>
      </c>
      <c r="N163" s="82" t="s">
        <v>91</v>
      </c>
      <c r="O163" s="82" t="s">
        <v>90</v>
      </c>
      <c r="P163" s="82" t="s">
        <v>91</v>
      </c>
      <c r="Q163" s="82" t="s">
        <v>881</v>
      </c>
      <c r="R163" s="82" t="s">
        <v>897</v>
      </c>
      <c r="S163" s="87"/>
      <c r="T163" s="87"/>
      <c r="U163" s="87"/>
      <c r="V163" s="87"/>
      <c r="W163" s="82">
        <v>20</v>
      </c>
      <c r="X163" s="87"/>
      <c r="Y163" s="82">
        <f t="shared" si="2"/>
        <v>20</v>
      </c>
      <c r="Z163" s="82">
        <v>20</v>
      </c>
      <c r="AA163" s="87"/>
      <c r="AB163" s="87"/>
      <c r="AC163" s="82">
        <f t="shared" si="3"/>
        <v>20</v>
      </c>
      <c r="AD163" s="87"/>
      <c r="AE163" s="82">
        <v>20</v>
      </c>
      <c r="AF163" s="87"/>
      <c r="AG163" s="87"/>
      <c r="AH163" s="87"/>
      <c r="AI163" s="82">
        <f t="shared" si="4"/>
        <v>20</v>
      </c>
      <c r="AJ163" s="82" t="s">
        <v>883</v>
      </c>
      <c r="AK163" s="82">
        <v>2</v>
      </c>
      <c r="AL163" s="82" t="s">
        <v>884</v>
      </c>
      <c r="AM163" s="88">
        <v>46137</v>
      </c>
      <c r="AN163" s="87"/>
      <c r="AO163" s="82" t="s">
        <v>892</v>
      </c>
      <c r="AY163" s="71"/>
    </row>
    <row r="164" spans="1:51" ht="65.25" customHeight="1" x14ac:dyDescent="0.3">
      <c r="A164" s="84" t="s">
        <v>1541</v>
      </c>
      <c r="B164" s="85" t="s">
        <v>1542</v>
      </c>
      <c r="C164" s="82" t="s">
        <v>1543</v>
      </c>
      <c r="D164" s="86">
        <v>102706000</v>
      </c>
      <c r="E164" s="82" t="s">
        <v>1544</v>
      </c>
      <c r="F164" s="82" t="str">
        <f>VLOOKUP(D164,'[1]Bến Cát'!$E$4:$F$177,2,0)</f>
        <v>11.2469271, 106.6687276</v>
      </c>
      <c r="G164" s="82" t="s">
        <v>1431</v>
      </c>
      <c r="H164" s="82" t="s">
        <v>878</v>
      </c>
      <c r="I164" s="82" t="s">
        <v>1432</v>
      </c>
      <c r="J164" s="82" t="s">
        <v>1516</v>
      </c>
      <c r="K164" s="82"/>
      <c r="L164" s="82">
        <v>880</v>
      </c>
      <c r="M164" s="82">
        <f t="shared" si="5"/>
        <v>880</v>
      </c>
      <c r="N164" s="82" t="s">
        <v>91</v>
      </c>
      <c r="O164" s="82" t="s">
        <v>90</v>
      </c>
      <c r="P164" s="82" t="s">
        <v>91</v>
      </c>
      <c r="Q164" s="82" t="s">
        <v>881</v>
      </c>
      <c r="R164" s="82" t="s">
        <v>882</v>
      </c>
      <c r="S164" s="87"/>
      <c r="T164" s="87"/>
      <c r="U164" s="82">
        <v>9</v>
      </c>
      <c r="V164" s="87"/>
      <c r="W164" s="82">
        <v>8</v>
      </c>
      <c r="X164" s="87"/>
      <c r="Y164" s="82">
        <f t="shared" si="2"/>
        <v>17</v>
      </c>
      <c r="Z164" s="82">
        <v>17</v>
      </c>
      <c r="AA164" s="87"/>
      <c r="AB164" s="87"/>
      <c r="AC164" s="82">
        <f t="shared" si="3"/>
        <v>17</v>
      </c>
      <c r="AD164" s="87"/>
      <c r="AE164" s="82">
        <v>17</v>
      </c>
      <c r="AF164" s="87"/>
      <c r="AG164" s="87"/>
      <c r="AH164" s="87"/>
      <c r="AI164" s="82">
        <f t="shared" si="4"/>
        <v>17</v>
      </c>
      <c r="AJ164" s="82" t="s">
        <v>883</v>
      </c>
      <c r="AK164" s="82">
        <v>3</v>
      </c>
      <c r="AL164" s="82" t="s">
        <v>884</v>
      </c>
      <c r="AM164" s="88">
        <v>46137</v>
      </c>
      <c r="AN164" s="87"/>
      <c r="AO164" s="82" t="s">
        <v>885</v>
      </c>
      <c r="AY164" s="71"/>
    </row>
    <row r="165" spans="1:51" ht="65.25" customHeight="1" x14ac:dyDescent="0.3">
      <c r="A165" s="84">
        <v>1663</v>
      </c>
      <c r="B165" s="85" t="s">
        <v>1545</v>
      </c>
      <c r="C165" s="82" t="s">
        <v>1546</v>
      </c>
      <c r="D165" s="86">
        <v>103305000</v>
      </c>
      <c r="E165" s="82" t="s">
        <v>1547</v>
      </c>
      <c r="F165" s="82" t="str">
        <f>VLOOKUP(D165,'[1]Bến Cát'!$E$4:$F$177,2,0)</f>
        <v>11.197149664834384, 106.59455351680528</v>
      </c>
      <c r="G165" s="82" t="s">
        <v>1548</v>
      </c>
      <c r="H165" s="82" t="s">
        <v>878</v>
      </c>
      <c r="I165" s="82" t="s">
        <v>1549</v>
      </c>
      <c r="J165" s="82" t="s">
        <v>880</v>
      </c>
      <c r="K165" s="82"/>
      <c r="L165" s="82">
        <v>520</v>
      </c>
      <c r="M165" s="82">
        <f t="shared" si="5"/>
        <v>520</v>
      </c>
      <c r="N165" s="82" t="s">
        <v>91</v>
      </c>
      <c r="O165" s="82" t="s">
        <v>90</v>
      </c>
      <c r="P165" s="82" t="s">
        <v>91</v>
      </c>
      <c r="Q165" s="82" t="s">
        <v>881</v>
      </c>
      <c r="R165" s="82" t="s">
        <v>882</v>
      </c>
      <c r="S165" s="87"/>
      <c r="T165" s="87"/>
      <c r="U165" s="87"/>
      <c r="V165" s="87"/>
      <c r="W165" s="82">
        <v>12</v>
      </c>
      <c r="X165" s="87"/>
      <c r="Y165" s="82">
        <f t="shared" si="2"/>
        <v>12</v>
      </c>
      <c r="Z165" s="82">
        <v>12</v>
      </c>
      <c r="AA165" s="87"/>
      <c r="AB165" s="87"/>
      <c r="AC165" s="82">
        <f t="shared" si="3"/>
        <v>12</v>
      </c>
      <c r="AD165" s="87"/>
      <c r="AE165" s="82">
        <v>12</v>
      </c>
      <c r="AF165" s="87"/>
      <c r="AG165" s="87"/>
      <c r="AH165" s="87"/>
      <c r="AI165" s="82">
        <f t="shared" si="4"/>
        <v>12</v>
      </c>
      <c r="AJ165" s="82" t="s">
        <v>883</v>
      </c>
      <c r="AK165" s="82">
        <v>2</v>
      </c>
      <c r="AL165" s="82" t="s">
        <v>884</v>
      </c>
      <c r="AM165" s="88">
        <v>46137</v>
      </c>
      <c r="AN165" s="87"/>
      <c r="AO165" s="82" t="s">
        <v>885</v>
      </c>
      <c r="AY165" s="71"/>
    </row>
    <row r="166" spans="1:51" ht="65.25" customHeight="1" x14ac:dyDescent="0.3">
      <c r="A166" s="84" t="s">
        <v>1550</v>
      </c>
      <c r="B166" s="85" t="s">
        <v>1551</v>
      </c>
      <c r="C166" s="82" t="s">
        <v>1552</v>
      </c>
      <c r="D166" s="86">
        <v>103268000</v>
      </c>
      <c r="E166" s="82" t="s">
        <v>1553</v>
      </c>
      <c r="F166" s="82" t="str">
        <f>VLOOKUP(D166,'[1]Bến Cát'!$E$4:$F$177,2,0)</f>
        <v>11.2452671, 106.6680928</v>
      </c>
      <c r="G166" s="82" t="s">
        <v>1552</v>
      </c>
      <c r="H166" s="82" t="s">
        <v>878</v>
      </c>
      <c r="I166" s="82" t="s">
        <v>1554</v>
      </c>
      <c r="J166" s="82" t="s">
        <v>1467</v>
      </c>
      <c r="K166" s="82"/>
      <c r="L166" s="82">
        <v>1710</v>
      </c>
      <c r="M166" s="82">
        <f t="shared" si="5"/>
        <v>1710</v>
      </c>
      <c r="N166" s="82" t="s">
        <v>91</v>
      </c>
      <c r="O166" s="82" t="s">
        <v>90</v>
      </c>
      <c r="P166" s="82" t="s">
        <v>91</v>
      </c>
      <c r="Q166" s="82" t="s">
        <v>881</v>
      </c>
      <c r="R166" s="82" t="s">
        <v>882</v>
      </c>
      <c r="S166" s="87"/>
      <c r="T166" s="87"/>
      <c r="U166" s="82">
        <v>28</v>
      </c>
      <c r="V166" s="82">
        <v>1</v>
      </c>
      <c r="W166" s="82">
        <v>3</v>
      </c>
      <c r="X166" s="87"/>
      <c r="Y166" s="82">
        <f t="shared" si="2"/>
        <v>32</v>
      </c>
      <c r="Z166" s="82">
        <v>32</v>
      </c>
      <c r="AA166" s="87"/>
      <c r="AB166" s="87"/>
      <c r="AC166" s="82">
        <f t="shared" si="3"/>
        <v>32</v>
      </c>
      <c r="AD166" s="87"/>
      <c r="AE166" s="82">
        <v>32</v>
      </c>
      <c r="AF166" s="87"/>
      <c r="AG166" s="87"/>
      <c r="AH166" s="87"/>
      <c r="AI166" s="82">
        <f t="shared" si="4"/>
        <v>32</v>
      </c>
      <c r="AJ166" s="82" t="s">
        <v>883</v>
      </c>
      <c r="AK166" s="82">
        <v>3</v>
      </c>
      <c r="AL166" s="82" t="s">
        <v>884</v>
      </c>
      <c r="AM166" s="88">
        <v>46137</v>
      </c>
      <c r="AN166" s="87"/>
      <c r="AO166" s="82" t="s">
        <v>885</v>
      </c>
      <c r="AY166" s="71"/>
    </row>
    <row r="167" spans="1:51" ht="65.25" customHeight="1" x14ac:dyDescent="0.3">
      <c r="A167" s="84">
        <v>1655</v>
      </c>
      <c r="B167" s="85" t="s">
        <v>1555</v>
      </c>
      <c r="C167" s="82" t="s">
        <v>1556</v>
      </c>
      <c r="D167" s="86">
        <v>102707000</v>
      </c>
      <c r="E167" s="82" t="s">
        <v>1557</v>
      </c>
      <c r="F167" s="82" t="str">
        <f>VLOOKUP(D167,'[1]Bến Cát'!$E$4:$F$177,2,0)</f>
        <v>11.2442979, 106.671892</v>
      </c>
      <c r="G167" s="82" t="s">
        <v>1431</v>
      </c>
      <c r="H167" s="82" t="s">
        <v>878</v>
      </c>
      <c r="I167" s="82" t="s">
        <v>1432</v>
      </c>
      <c r="J167" s="82" t="s">
        <v>1217</v>
      </c>
      <c r="K167" s="82"/>
      <c r="L167" s="82">
        <v>540</v>
      </c>
      <c r="M167" s="82">
        <f t="shared" si="5"/>
        <v>540</v>
      </c>
      <c r="N167" s="82" t="s">
        <v>91</v>
      </c>
      <c r="O167" s="82" t="s">
        <v>90</v>
      </c>
      <c r="P167" s="82" t="s">
        <v>91</v>
      </c>
      <c r="Q167" s="82" t="s">
        <v>881</v>
      </c>
      <c r="R167" s="82" t="s">
        <v>882</v>
      </c>
      <c r="S167" s="87"/>
      <c r="T167" s="87"/>
      <c r="U167" s="82">
        <v>6</v>
      </c>
      <c r="V167" s="82">
        <v>4</v>
      </c>
      <c r="W167" s="87"/>
      <c r="X167" s="87"/>
      <c r="Y167" s="82">
        <f t="shared" si="2"/>
        <v>10</v>
      </c>
      <c r="Z167" s="82">
        <v>10</v>
      </c>
      <c r="AA167" s="87"/>
      <c r="AB167" s="87"/>
      <c r="AC167" s="82">
        <f t="shared" si="3"/>
        <v>10</v>
      </c>
      <c r="AD167" s="82">
        <v>4</v>
      </c>
      <c r="AE167" s="82">
        <v>6</v>
      </c>
      <c r="AF167" s="87"/>
      <c r="AG167" s="87"/>
      <c r="AH167" s="87"/>
      <c r="AI167" s="82">
        <f t="shared" si="4"/>
        <v>10</v>
      </c>
      <c r="AJ167" s="82" t="s">
        <v>883</v>
      </c>
      <c r="AK167" s="82">
        <v>2</v>
      </c>
      <c r="AL167" s="82" t="s">
        <v>884</v>
      </c>
      <c r="AM167" s="88">
        <v>46137</v>
      </c>
      <c r="AN167" s="87"/>
      <c r="AO167" s="82" t="s">
        <v>885</v>
      </c>
      <c r="AY167" s="71"/>
    </row>
    <row r="168" spans="1:51" ht="65.25" customHeight="1" x14ac:dyDescent="0.3">
      <c r="A168" s="84">
        <v>1663</v>
      </c>
      <c r="B168" s="85" t="s">
        <v>1558</v>
      </c>
      <c r="C168" s="82" t="s">
        <v>1559</v>
      </c>
      <c r="D168" s="86">
        <v>103306000</v>
      </c>
      <c r="E168" s="82" t="s">
        <v>1560</v>
      </c>
      <c r="F168" s="82" t="str">
        <f>VLOOKUP(D168,'[1]Bến Cát'!$E$4:$F$177,2,0)</f>
        <v>11.199805179356652, 106.5985901230221</v>
      </c>
      <c r="G168" s="82" t="s">
        <v>1548</v>
      </c>
      <c r="H168" s="82" t="s">
        <v>878</v>
      </c>
      <c r="I168" s="82" t="s">
        <v>1561</v>
      </c>
      <c r="J168" s="82" t="s">
        <v>880</v>
      </c>
      <c r="K168" s="82"/>
      <c r="L168" s="82">
        <v>300</v>
      </c>
      <c r="M168" s="82">
        <f t="shared" si="5"/>
        <v>300</v>
      </c>
      <c r="N168" s="82" t="s">
        <v>91</v>
      </c>
      <c r="O168" s="82" t="s">
        <v>90</v>
      </c>
      <c r="P168" s="82" t="s">
        <v>91</v>
      </c>
      <c r="Q168" s="82" t="s">
        <v>881</v>
      </c>
      <c r="R168" s="82" t="s">
        <v>882</v>
      </c>
      <c r="S168" s="87"/>
      <c r="T168" s="87"/>
      <c r="U168" s="87"/>
      <c r="V168" s="87"/>
      <c r="W168" s="82">
        <v>6</v>
      </c>
      <c r="X168" s="87"/>
      <c r="Y168" s="82">
        <f t="shared" si="2"/>
        <v>6</v>
      </c>
      <c r="Z168" s="82">
        <v>6</v>
      </c>
      <c r="AA168" s="87"/>
      <c r="AB168" s="87"/>
      <c r="AC168" s="82">
        <f t="shared" si="3"/>
        <v>6</v>
      </c>
      <c r="AD168" s="87"/>
      <c r="AE168" s="82">
        <v>6</v>
      </c>
      <c r="AF168" s="87"/>
      <c r="AG168" s="87"/>
      <c r="AH168" s="87"/>
      <c r="AI168" s="82">
        <f t="shared" si="4"/>
        <v>6</v>
      </c>
      <c r="AJ168" s="82" t="s">
        <v>883</v>
      </c>
      <c r="AK168" s="82">
        <v>2</v>
      </c>
      <c r="AL168" s="82" t="s">
        <v>884</v>
      </c>
      <c r="AM168" s="88">
        <v>46137</v>
      </c>
      <c r="AN168" s="87"/>
      <c r="AO168" s="82" t="s">
        <v>885</v>
      </c>
      <c r="AY168" s="71"/>
    </row>
    <row r="169" spans="1:51" ht="65.25" customHeight="1" x14ac:dyDescent="0.3">
      <c r="A169" s="84" t="s">
        <v>1562</v>
      </c>
      <c r="B169" s="85" t="s">
        <v>1361</v>
      </c>
      <c r="C169" s="82"/>
      <c r="D169" s="86">
        <v>102118000</v>
      </c>
      <c r="E169" s="82"/>
      <c r="F169" s="82"/>
      <c r="G169" s="82" t="s">
        <v>737</v>
      </c>
      <c r="H169" s="82" t="s">
        <v>878</v>
      </c>
      <c r="I169" s="82" t="s">
        <v>1363</v>
      </c>
      <c r="J169" s="82" t="s">
        <v>891</v>
      </c>
      <c r="K169" s="82"/>
      <c r="L169" s="82">
        <v>240</v>
      </c>
      <c r="M169" s="82">
        <f t="shared" si="5"/>
        <v>240</v>
      </c>
      <c r="N169" s="82" t="s">
        <v>91</v>
      </c>
      <c r="O169" s="82" t="s">
        <v>90</v>
      </c>
      <c r="P169" s="82" t="s">
        <v>91</v>
      </c>
      <c r="Q169" s="82" t="s">
        <v>881</v>
      </c>
      <c r="R169" s="82" t="s">
        <v>882</v>
      </c>
      <c r="S169" s="87"/>
      <c r="T169" s="87"/>
      <c r="U169" s="82">
        <v>6</v>
      </c>
      <c r="V169" s="87"/>
      <c r="W169" s="87"/>
      <c r="X169" s="87"/>
      <c r="Y169" s="82">
        <f t="shared" si="2"/>
        <v>6</v>
      </c>
      <c r="Z169" s="82">
        <v>6</v>
      </c>
      <c r="AA169" s="87"/>
      <c r="AB169" s="87"/>
      <c r="AC169" s="82">
        <f t="shared" si="3"/>
        <v>6</v>
      </c>
      <c r="AD169" s="87"/>
      <c r="AE169" s="82">
        <v>6</v>
      </c>
      <c r="AF169" s="87"/>
      <c r="AG169" s="87"/>
      <c r="AH169" s="87"/>
      <c r="AI169" s="82">
        <f t="shared" si="4"/>
        <v>6</v>
      </c>
      <c r="AJ169" s="82" t="s">
        <v>883</v>
      </c>
      <c r="AK169" s="82">
        <v>3</v>
      </c>
      <c r="AL169" s="82" t="s">
        <v>884</v>
      </c>
      <c r="AM169" s="88">
        <v>46137</v>
      </c>
      <c r="AN169" s="87"/>
      <c r="AO169" s="82" t="s">
        <v>885</v>
      </c>
      <c r="AY169" s="71"/>
    </row>
    <row r="170" spans="1:51" ht="65.25" customHeight="1" x14ac:dyDescent="0.3">
      <c r="A170" s="84">
        <v>1668</v>
      </c>
      <c r="B170" s="85" t="s">
        <v>1563</v>
      </c>
      <c r="C170" s="82" t="s">
        <v>1564</v>
      </c>
      <c r="D170" s="86">
        <v>103307000</v>
      </c>
      <c r="E170" s="82" t="s">
        <v>1565</v>
      </c>
      <c r="F170" s="82" t="str">
        <f>VLOOKUP(D170,'[1]Bến Cát'!$E$4:$F$177,2,0)</f>
        <v>11.195199682150925, 106.61367846998095</v>
      </c>
      <c r="G170" s="82" t="s">
        <v>1564</v>
      </c>
      <c r="H170" s="82" t="s">
        <v>878</v>
      </c>
      <c r="I170" s="82" t="s">
        <v>1566</v>
      </c>
      <c r="J170" s="82" t="s">
        <v>880</v>
      </c>
      <c r="K170" s="82"/>
      <c r="L170" s="82">
        <v>640</v>
      </c>
      <c r="M170" s="82">
        <f t="shared" si="5"/>
        <v>640</v>
      </c>
      <c r="N170" s="82" t="s">
        <v>90</v>
      </c>
      <c r="O170" s="82" t="s">
        <v>91</v>
      </c>
      <c r="P170" s="82" t="s">
        <v>91</v>
      </c>
      <c r="Q170" s="82" t="s">
        <v>881</v>
      </c>
      <c r="R170" s="82" t="s">
        <v>882</v>
      </c>
      <c r="S170" s="87"/>
      <c r="T170" s="87"/>
      <c r="U170" s="87"/>
      <c r="V170" s="87"/>
      <c r="W170" s="82">
        <v>16</v>
      </c>
      <c r="X170" s="87"/>
      <c r="Y170" s="82">
        <f t="shared" si="2"/>
        <v>16</v>
      </c>
      <c r="Z170" s="82">
        <v>16</v>
      </c>
      <c r="AA170" s="87"/>
      <c r="AB170" s="87"/>
      <c r="AC170" s="82">
        <f t="shared" si="3"/>
        <v>16</v>
      </c>
      <c r="AD170" s="87"/>
      <c r="AE170" s="82">
        <v>16</v>
      </c>
      <c r="AF170" s="87"/>
      <c r="AG170" s="87"/>
      <c r="AH170" s="87"/>
      <c r="AI170" s="82">
        <f t="shared" si="4"/>
        <v>16</v>
      </c>
      <c r="AJ170" s="82" t="s">
        <v>883</v>
      </c>
      <c r="AK170" s="82">
        <v>3</v>
      </c>
      <c r="AL170" s="82" t="s">
        <v>884</v>
      </c>
      <c r="AM170" s="88">
        <v>46137</v>
      </c>
      <c r="AN170" s="87"/>
      <c r="AO170" s="82" t="s">
        <v>885</v>
      </c>
      <c r="AY170" s="71"/>
    </row>
    <row r="171" spans="1:51" ht="65.25" customHeight="1" x14ac:dyDescent="0.3">
      <c r="A171" s="84">
        <v>1645</v>
      </c>
      <c r="B171" s="85" t="s">
        <v>1567</v>
      </c>
      <c r="C171" s="82" t="s">
        <v>1568</v>
      </c>
      <c r="D171" s="86">
        <v>103001000</v>
      </c>
      <c r="E171" s="82" t="s">
        <v>1569</v>
      </c>
      <c r="F171" s="82" t="str">
        <f>VLOOKUP(D171,'[1]Bến Cát'!$E$4:$F$177,2,0)</f>
        <v>11.2564605, 106.6638722</v>
      </c>
      <c r="G171" s="82" t="s">
        <v>1568</v>
      </c>
      <c r="H171" s="82" t="s">
        <v>878</v>
      </c>
      <c r="I171" s="82" t="s">
        <v>1570</v>
      </c>
      <c r="J171" s="82" t="s">
        <v>880</v>
      </c>
      <c r="K171" s="82"/>
      <c r="L171" s="82">
        <v>450</v>
      </c>
      <c r="M171" s="82">
        <f t="shared" si="5"/>
        <v>450</v>
      </c>
      <c r="N171" s="82" t="s">
        <v>91</v>
      </c>
      <c r="O171" s="82" t="s">
        <v>90</v>
      </c>
      <c r="P171" s="82" t="s">
        <v>91</v>
      </c>
      <c r="Q171" s="82" t="s">
        <v>881</v>
      </c>
      <c r="R171" s="82" t="s">
        <v>882</v>
      </c>
      <c r="S171" s="87"/>
      <c r="T171" s="87"/>
      <c r="U171" s="87"/>
      <c r="V171" s="87"/>
      <c r="W171" s="82">
        <v>9</v>
      </c>
      <c r="X171" s="87"/>
      <c r="Y171" s="82">
        <f t="shared" si="2"/>
        <v>9</v>
      </c>
      <c r="Z171" s="82">
        <v>9</v>
      </c>
      <c r="AA171" s="87"/>
      <c r="AB171" s="87"/>
      <c r="AC171" s="82">
        <f t="shared" si="3"/>
        <v>9</v>
      </c>
      <c r="AD171" s="87"/>
      <c r="AE171" s="82">
        <v>9</v>
      </c>
      <c r="AF171" s="87"/>
      <c r="AG171" s="87"/>
      <c r="AH171" s="87"/>
      <c r="AI171" s="82">
        <f t="shared" si="4"/>
        <v>9</v>
      </c>
      <c r="AJ171" s="82" t="s">
        <v>883</v>
      </c>
      <c r="AK171" s="82">
        <v>3</v>
      </c>
      <c r="AL171" s="82" t="s">
        <v>884</v>
      </c>
      <c r="AM171" s="88">
        <v>46137</v>
      </c>
      <c r="AN171" s="87"/>
      <c r="AO171" s="82" t="s">
        <v>885</v>
      </c>
      <c r="AY171" s="71"/>
    </row>
    <row r="172" spans="1:51" ht="65.25" customHeight="1" x14ac:dyDescent="0.3">
      <c r="A172" s="84">
        <v>1657</v>
      </c>
      <c r="B172" s="85" t="s">
        <v>1571</v>
      </c>
      <c r="C172" s="82" t="s">
        <v>1572</v>
      </c>
      <c r="D172" s="86">
        <v>102752000</v>
      </c>
      <c r="E172" s="82" t="s">
        <v>1573</v>
      </c>
      <c r="F172" s="82" t="str">
        <f>VLOOKUP(D172,'[1]Bến Cát'!$E$4:$F$177,2,0)</f>
        <v>11.23924596445325, 106.64373200503147</v>
      </c>
      <c r="G172" s="82" t="s">
        <v>1572</v>
      </c>
      <c r="H172" s="82" t="s">
        <v>878</v>
      </c>
      <c r="I172" s="82" t="s">
        <v>1574</v>
      </c>
      <c r="J172" s="82" t="s">
        <v>891</v>
      </c>
      <c r="K172" s="82"/>
      <c r="L172" s="82">
        <v>200</v>
      </c>
      <c r="M172" s="82">
        <f t="shared" si="5"/>
        <v>200</v>
      </c>
      <c r="N172" s="82" t="s">
        <v>90</v>
      </c>
      <c r="O172" s="82" t="s">
        <v>91</v>
      </c>
      <c r="P172" s="82" t="s">
        <v>91</v>
      </c>
      <c r="Q172" s="82" t="s">
        <v>881</v>
      </c>
      <c r="R172" s="82" t="s">
        <v>897</v>
      </c>
      <c r="S172" s="87"/>
      <c r="T172" s="87"/>
      <c r="U172" s="87"/>
      <c r="V172" s="87"/>
      <c r="W172" s="82">
        <v>6</v>
      </c>
      <c r="X172" s="87"/>
      <c r="Y172" s="82">
        <f t="shared" si="2"/>
        <v>6</v>
      </c>
      <c r="Z172" s="82">
        <v>6</v>
      </c>
      <c r="AA172" s="87"/>
      <c r="AB172" s="87"/>
      <c r="AC172" s="82">
        <f t="shared" si="3"/>
        <v>6</v>
      </c>
      <c r="AD172" s="87"/>
      <c r="AE172" s="82">
        <v>6</v>
      </c>
      <c r="AF172" s="87"/>
      <c r="AG172" s="87"/>
      <c r="AH172" s="87"/>
      <c r="AI172" s="82">
        <f t="shared" si="4"/>
        <v>6</v>
      </c>
      <c r="AJ172" s="82" t="s">
        <v>883</v>
      </c>
      <c r="AK172" s="82">
        <v>3</v>
      </c>
      <c r="AL172" s="82" t="s">
        <v>884</v>
      </c>
      <c r="AM172" s="88">
        <v>46137</v>
      </c>
      <c r="AN172" s="87"/>
      <c r="AO172" s="82" t="s">
        <v>892</v>
      </c>
      <c r="AY172" s="71"/>
    </row>
    <row r="173" spans="1:51" ht="65.25" customHeight="1" x14ac:dyDescent="0.3">
      <c r="A173" s="84">
        <v>1672</v>
      </c>
      <c r="B173" s="85" t="s">
        <v>1575</v>
      </c>
      <c r="C173" s="82" t="s">
        <v>1576</v>
      </c>
      <c r="D173" s="86">
        <v>103308000</v>
      </c>
      <c r="E173" s="82" t="s">
        <v>1577</v>
      </c>
      <c r="F173" s="82" t="str">
        <f>VLOOKUP(D173,'[1]Bến Cát'!$E$4:$F$177,2,0)</f>
        <v>11.198801286908605, 106.61761739931572</v>
      </c>
      <c r="G173" s="82" t="s">
        <v>1576</v>
      </c>
      <c r="H173" s="82" t="s">
        <v>878</v>
      </c>
      <c r="I173" s="82" t="s">
        <v>1578</v>
      </c>
      <c r="J173" s="82" t="s">
        <v>880</v>
      </c>
      <c r="K173" s="82"/>
      <c r="L173" s="82">
        <v>240</v>
      </c>
      <c r="M173" s="82">
        <f t="shared" si="5"/>
        <v>240</v>
      </c>
      <c r="N173" s="82" t="s">
        <v>90</v>
      </c>
      <c r="O173" s="82" t="s">
        <v>91</v>
      </c>
      <c r="P173" s="82" t="s">
        <v>91</v>
      </c>
      <c r="Q173" s="82" t="s">
        <v>881</v>
      </c>
      <c r="R173" s="82" t="s">
        <v>897</v>
      </c>
      <c r="S173" s="87"/>
      <c r="T173" s="87"/>
      <c r="U173" s="87"/>
      <c r="V173" s="87"/>
      <c r="W173" s="82">
        <v>3</v>
      </c>
      <c r="X173" s="87"/>
      <c r="Y173" s="82">
        <f t="shared" si="2"/>
        <v>3</v>
      </c>
      <c r="Z173" s="82">
        <v>3</v>
      </c>
      <c r="AA173" s="87"/>
      <c r="AB173" s="87"/>
      <c r="AC173" s="82">
        <f t="shared" si="3"/>
        <v>3</v>
      </c>
      <c r="AD173" s="87"/>
      <c r="AE173" s="82">
        <v>3</v>
      </c>
      <c r="AF173" s="87"/>
      <c r="AG173" s="87"/>
      <c r="AH173" s="87"/>
      <c r="AI173" s="82">
        <f t="shared" si="4"/>
        <v>3</v>
      </c>
      <c r="AJ173" s="82" t="s">
        <v>883</v>
      </c>
      <c r="AK173" s="82">
        <v>2</v>
      </c>
      <c r="AL173" s="82" t="s">
        <v>884</v>
      </c>
      <c r="AM173" s="88">
        <v>46137</v>
      </c>
      <c r="AN173" s="87"/>
      <c r="AO173" s="82" t="s">
        <v>885</v>
      </c>
      <c r="AY173" s="71"/>
    </row>
    <row r="174" spans="1:51" ht="65.25" customHeight="1" x14ac:dyDescent="0.3">
      <c r="A174" s="84">
        <v>1814</v>
      </c>
      <c r="B174" s="85" t="s">
        <v>1579</v>
      </c>
      <c r="C174" s="82" t="s">
        <v>1580</v>
      </c>
      <c r="D174" s="86">
        <v>102753000</v>
      </c>
      <c r="E174" s="82" t="s">
        <v>1581</v>
      </c>
      <c r="F174" s="82" t="str">
        <f>VLOOKUP(D174,'[1]Bến Cát'!$E$4:$F$177,2,0)</f>
        <v>11.24708179562757, 106.60079051857923</v>
      </c>
      <c r="G174" s="82" t="s">
        <v>1582</v>
      </c>
      <c r="H174" s="82" t="s">
        <v>878</v>
      </c>
      <c r="I174" s="82" t="s">
        <v>1583</v>
      </c>
      <c r="J174" s="82" t="s">
        <v>891</v>
      </c>
      <c r="K174" s="82"/>
      <c r="L174" s="82">
        <v>1120</v>
      </c>
      <c r="M174" s="82">
        <f t="shared" si="5"/>
        <v>1120</v>
      </c>
      <c r="N174" s="82" t="s">
        <v>91</v>
      </c>
      <c r="O174" s="82" t="s">
        <v>90</v>
      </c>
      <c r="P174" s="82" t="s">
        <v>91</v>
      </c>
      <c r="Q174" s="82" t="s">
        <v>881</v>
      </c>
      <c r="R174" s="82" t="s">
        <v>882</v>
      </c>
      <c r="S174" s="87"/>
      <c r="T174" s="87"/>
      <c r="U174" s="82">
        <v>17</v>
      </c>
      <c r="V174" s="87"/>
      <c r="W174" s="87"/>
      <c r="X174" s="87"/>
      <c r="Y174" s="82">
        <f t="shared" si="2"/>
        <v>17</v>
      </c>
      <c r="Z174" s="82">
        <v>17</v>
      </c>
      <c r="AA174" s="87"/>
      <c r="AB174" s="87"/>
      <c r="AC174" s="82">
        <f t="shared" si="3"/>
        <v>17</v>
      </c>
      <c r="AD174" s="87"/>
      <c r="AE174" s="82">
        <v>17</v>
      </c>
      <c r="AF174" s="87"/>
      <c r="AG174" s="87"/>
      <c r="AH174" s="87"/>
      <c r="AI174" s="82">
        <f t="shared" si="4"/>
        <v>17</v>
      </c>
      <c r="AJ174" s="82" t="s">
        <v>883</v>
      </c>
      <c r="AK174" s="82">
        <v>3</v>
      </c>
      <c r="AL174" s="82" t="s">
        <v>884</v>
      </c>
      <c r="AM174" s="88">
        <v>46137</v>
      </c>
      <c r="AN174" s="87"/>
      <c r="AO174" s="82" t="s">
        <v>892</v>
      </c>
      <c r="AY174" s="71"/>
    </row>
    <row r="175" spans="1:51" ht="65.25" customHeight="1" x14ac:dyDescent="0.3">
      <c r="A175" s="84">
        <v>1681</v>
      </c>
      <c r="B175" s="85" t="s">
        <v>1584</v>
      </c>
      <c r="C175" s="82" t="s">
        <v>1585</v>
      </c>
      <c r="D175" s="86">
        <v>103309000</v>
      </c>
      <c r="E175" s="82" t="s">
        <v>1586</v>
      </c>
      <c r="F175" s="82" t="str">
        <f>VLOOKUP(D175,'[1]Bến Cát'!$E$4:$F$177,2,0)</f>
        <v>11.201478680198349, 106.6203866380604</v>
      </c>
      <c r="G175" s="82" t="s">
        <v>1585</v>
      </c>
      <c r="H175" s="82" t="s">
        <v>878</v>
      </c>
      <c r="I175" s="82" t="s">
        <v>1587</v>
      </c>
      <c r="J175" s="82" t="s">
        <v>880</v>
      </c>
      <c r="K175" s="82"/>
      <c r="L175" s="82">
        <v>400</v>
      </c>
      <c r="M175" s="82">
        <f t="shared" si="5"/>
        <v>400</v>
      </c>
      <c r="N175" s="82" t="s">
        <v>91</v>
      </c>
      <c r="O175" s="82" t="s">
        <v>90</v>
      </c>
      <c r="P175" s="82" t="s">
        <v>91</v>
      </c>
      <c r="Q175" s="82" t="s">
        <v>881</v>
      </c>
      <c r="R175" s="82" t="s">
        <v>897</v>
      </c>
      <c r="S175" s="87"/>
      <c r="T175" s="87"/>
      <c r="U175" s="82">
        <v>11</v>
      </c>
      <c r="V175" s="87"/>
      <c r="W175" s="87"/>
      <c r="X175" s="87"/>
      <c r="Y175" s="82">
        <f t="shared" si="2"/>
        <v>11</v>
      </c>
      <c r="Z175" s="82">
        <v>11</v>
      </c>
      <c r="AA175" s="87"/>
      <c r="AB175" s="87"/>
      <c r="AC175" s="82">
        <f t="shared" si="3"/>
        <v>11</v>
      </c>
      <c r="AD175" s="87"/>
      <c r="AE175" s="82">
        <v>11</v>
      </c>
      <c r="AF175" s="87"/>
      <c r="AG175" s="87"/>
      <c r="AH175" s="87"/>
      <c r="AI175" s="82">
        <f t="shared" si="4"/>
        <v>11</v>
      </c>
      <c r="AJ175" s="82" t="s">
        <v>883</v>
      </c>
      <c r="AK175" s="82">
        <v>2</v>
      </c>
      <c r="AL175" s="82" t="s">
        <v>884</v>
      </c>
      <c r="AM175" s="88">
        <v>46137</v>
      </c>
      <c r="AN175" s="87"/>
      <c r="AO175" s="82" t="s">
        <v>885</v>
      </c>
      <c r="AY175" s="71"/>
    </row>
    <row r="176" spans="1:51" ht="65.25" customHeight="1" x14ac:dyDescent="0.3">
      <c r="A176" s="84">
        <v>1814</v>
      </c>
      <c r="B176" s="85" t="s">
        <v>1588</v>
      </c>
      <c r="C176" s="82" t="s">
        <v>1589</v>
      </c>
      <c r="D176" s="86">
        <v>102236000</v>
      </c>
      <c r="E176" s="82" t="s">
        <v>1590</v>
      </c>
      <c r="F176" s="82" t="str">
        <f>VLOOKUP(D176,'[1]Bến Cát'!$E$4:$F$177,2,0)</f>
        <v>11.244497940082097, 106.58522077213583</v>
      </c>
      <c r="G176" s="82" t="s">
        <v>1582</v>
      </c>
      <c r="H176" s="82" t="s">
        <v>878</v>
      </c>
      <c r="I176" s="82" t="s">
        <v>1591</v>
      </c>
      <c r="J176" s="82" t="s">
        <v>880</v>
      </c>
      <c r="K176" s="82"/>
      <c r="L176" s="82">
        <v>840</v>
      </c>
      <c r="M176" s="82">
        <f t="shared" si="5"/>
        <v>840</v>
      </c>
      <c r="N176" s="82" t="s">
        <v>91</v>
      </c>
      <c r="O176" s="82" t="s">
        <v>90</v>
      </c>
      <c r="P176" s="82" t="s">
        <v>91</v>
      </c>
      <c r="Q176" s="82" t="s">
        <v>881</v>
      </c>
      <c r="R176" s="82" t="s">
        <v>882</v>
      </c>
      <c r="S176" s="87"/>
      <c r="T176" s="87"/>
      <c r="U176" s="82">
        <v>13</v>
      </c>
      <c r="V176" s="87"/>
      <c r="W176" s="87"/>
      <c r="X176" s="87"/>
      <c r="Y176" s="82">
        <f t="shared" si="2"/>
        <v>13</v>
      </c>
      <c r="Z176" s="82">
        <v>13</v>
      </c>
      <c r="AA176" s="87"/>
      <c r="AB176" s="87"/>
      <c r="AC176" s="82">
        <f t="shared" si="3"/>
        <v>13</v>
      </c>
      <c r="AD176" s="87"/>
      <c r="AE176" s="82">
        <v>13</v>
      </c>
      <c r="AF176" s="87"/>
      <c r="AG176" s="87"/>
      <c r="AH176" s="87"/>
      <c r="AI176" s="82">
        <f t="shared" si="4"/>
        <v>13</v>
      </c>
      <c r="AJ176" s="82" t="s">
        <v>883</v>
      </c>
      <c r="AK176" s="82">
        <v>3</v>
      </c>
      <c r="AL176" s="82" t="s">
        <v>884</v>
      </c>
      <c r="AM176" s="88">
        <v>46137</v>
      </c>
      <c r="AN176" s="87"/>
      <c r="AO176" s="82" t="s">
        <v>885</v>
      </c>
      <c r="AY176" s="71"/>
    </row>
    <row r="177" spans="1:51" ht="65.25" customHeight="1" x14ac:dyDescent="0.3">
      <c r="A177" s="84">
        <v>1688</v>
      </c>
      <c r="B177" s="85" t="s">
        <v>1592</v>
      </c>
      <c r="C177" s="82" t="s">
        <v>1593</v>
      </c>
      <c r="D177" s="86">
        <v>103310000</v>
      </c>
      <c r="E177" s="82" t="s">
        <v>1594</v>
      </c>
      <c r="F177" s="82" t="str">
        <f>VLOOKUP(D177,'[1]Bến Cát'!$E$4:$F$177,2,0)</f>
        <v>11.227651676051519, 106.61857374436903</v>
      </c>
      <c r="G177" s="82" t="s">
        <v>1595</v>
      </c>
      <c r="H177" s="82" t="s">
        <v>878</v>
      </c>
      <c r="I177" s="82" t="s">
        <v>1596</v>
      </c>
      <c r="J177" s="82" t="s">
        <v>911</v>
      </c>
      <c r="K177" s="82"/>
      <c r="L177" s="82">
        <v>380</v>
      </c>
      <c r="M177" s="82">
        <f t="shared" si="5"/>
        <v>380</v>
      </c>
      <c r="N177" s="82" t="s">
        <v>90</v>
      </c>
      <c r="O177" s="82" t="s">
        <v>91</v>
      </c>
      <c r="P177" s="82" t="s">
        <v>91</v>
      </c>
      <c r="Q177" s="82" t="s">
        <v>881</v>
      </c>
      <c r="R177" s="82" t="s">
        <v>897</v>
      </c>
      <c r="S177" s="87"/>
      <c r="T177" s="87"/>
      <c r="U177" s="82">
        <v>10</v>
      </c>
      <c r="V177" s="87"/>
      <c r="W177" s="87"/>
      <c r="X177" s="87"/>
      <c r="Y177" s="82">
        <f t="shared" si="2"/>
        <v>10</v>
      </c>
      <c r="Z177" s="82">
        <v>10</v>
      </c>
      <c r="AA177" s="87"/>
      <c r="AB177" s="87"/>
      <c r="AC177" s="82">
        <f t="shared" si="3"/>
        <v>10</v>
      </c>
      <c r="AD177" s="87"/>
      <c r="AE177" s="82">
        <v>10</v>
      </c>
      <c r="AF177" s="87"/>
      <c r="AG177" s="87"/>
      <c r="AH177" s="87"/>
      <c r="AI177" s="82">
        <f t="shared" si="4"/>
        <v>10</v>
      </c>
      <c r="AJ177" s="82" t="s">
        <v>883</v>
      </c>
      <c r="AK177" s="82">
        <v>2</v>
      </c>
      <c r="AL177" s="82" t="s">
        <v>884</v>
      </c>
      <c r="AM177" s="88">
        <v>46137</v>
      </c>
      <c r="AN177" s="87"/>
      <c r="AO177" s="82" t="s">
        <v>892</v>
      </c>
      <c r="AY177" s="71"/>
    </row>
    <row r="178" spans="1:51" ht="65.25" customHeight="1" x14ac:dyDescent="0.3">
      <c r="A178" s="84">
        <v>1665</v>
      </c>
      <c r="B178" s="85" t="s">
        <v>1597</v>
      </c>
      <c r="C178" s="82" t="s">
        <v>1598</v>
      </c>
      <c r="D178" s="86">
        <v>103002000</v>
      </c>
      <c r="E178" s="82" t="s">
        <v>1599</v>
      </c>
      <c r="F178" s="82" t="str">
        <f>VLOOKUP(D178,'[1]Bến Cát'!$E$4:$F$177,2,0)</f>
        <v>11.1750138, 106.6003123</v>
      </c>
      <c r="G178" s="82" t="s">
        <v>1598</v>
      </c>
      <c r="H178" s="82" t="s">
        <v>878</v>
      </c>
      <c r="I178" s="82" t="s">
        <v>1086</v>
      </c>
      <c r="J178" s="82" t="s">
        <v>880</v>
      </c>
      <c r="K178" s="82"/>
      <c r="L178" s="82">
        <v>160</v>
      </c>
      <c r="M178" s="82">
        <f t="shared" si="5"/>
        <v>160</v>
      </c>
      <c r="N178" s="82" t="s">
        <v>90</v>
      </c>
      <c r="O178" s="82" t="s">
        <v>91</v>
      </c>
      <c r="P178" s="82" t="s">
        <v>91</v>
      </c>
      <c r="Q178" s="82" t="s">
        <v>881</v>
      </c>
      <c r="R178" s="82" t="s">
        <v>897</v>
      </c>
      <c r="S178" s="87"/>
      <c r="T178" s="87"/>
      <c r="U178" s="87"/>
      <c r="V178" s="87"/>
      <c r="W178" s="82">
        <v>6</v>
      </c>
      <c r="X178" s="87"/>
      <c r="Y178" s="82">
        <f t="shared" si="2"/>
        <v>6</v>
      </c>
      <c r="Z178" s="82">
        <v>6</v>
      </c>
      <c r="AA178" s="87"/>
      <c r="AB178" s="87"/>
      <c r="AC178" s="82">
        <f t="shared" si="3"/>
        <v>6</v>
      </c>
      <c r="AD178" s="87"/>
      <c r="AE178" s="82">
        <v>6</v>
      </c>
      <c r="AF178" s="87"/>
      <c r="AG178" s="87"/>
      <c r="AH178" s="87"/>
      <c r="AI178" s="82">
        <f t="shared" si="4"/>
        <v>6</v>
      </c>
      <c r="AJ178" s="82" t="s">
        <v>883</v>
      </c>
      <c r="AK178" s="82">
        <v>3</v>
      </c>
      <c r="AL178" s="82" t="s">
        <v>884</v>
      </c>
      <c r="AM178" s="88">
        <v>46137</v>
      </c>
      <c r="AN178" s="87"/>
      <c r="AO178" s="82" t="s">
        <v>892</v>
      </c>
      <c r="AY178" s="71"/>
    </row>
    <row r="179" spans="1:51" ht="65.25" customHeight="1" x14ac:dyDescent="0.3">
      <c r="A179" s="84">
        <v>1688</v>
      </c>
      <c r="B179" s="85" t="s">
        <v>1600</v>
      </c>
      <c r="C179" s="82" t="s">
        <v>1601</v>
      </c>
      <c r="D179" s="86">
        <v>103311000</v>
      </c>
      <c r="E179" s="82" t="s">
        <v>1602</v>
      </c>
      <c r="F179" s="82" t="str">
        <f>VLOOKUP(D179,'[1]Bến Cát'!$E$4:$F$177,2,0)</f>
        <v>11.231844351090732, 106.61854740906254</v>
      </c>
      <c r="G179" s="82" t="s">
        <v>1595</v>
      </c>
      <c r="H179" s="82" t="s">
        <v>878</v>
      </c>
      <c r="I179" s="82" t="s">
        <v>1603</v>
      </c>
      <c r="J179" s="82" t="s">
        <v>891</v>
      </c>
      <c r="K179" s="82"/>
      <c r="L179" s="82">
        <v>140</v>
      </c>
      <c r="M179" s="82">
        <f t="shared" si="5"/>
        <v>140</v>
      </c>
      <c r="N179" s="82" t="s">
        <v>91</v>
      </c>
      <c r="O179" s="82" t="s">
        <v>90</v>
      </c>
      <c r="P179" s="82" t="s">
        <v>91</v>
      </c>
      <c r="Q179" s="82" t="s">
        <v>881</v>
      </c>
      <c r="R179" s="82" t="s">
        <v>882</v>
      </c>
      <c r="S179" s="87"/>
      <c r="T179" s="87"/>
      <c r="U179" s="82">
        <v>4</v>
      </c>
      <c r="V179" s="87"/>
      <c r="W179" s="87"/>
      <c r="X179" s="87"/>
      <c r="Y179" s="82">
        <f t="shared" si="2"/>
        <v>4</v>
      </c>
      <c r="Z179" s="82">
        <v>4</v>
      </c>
      <c r="AA179" s="87"/>
      <c r="AB179" s="87"/>
      <c r="AC179" s="82">
        <f t="shared" si="3"/>
        <v>4</v>
      </c>
      <c r="AD179" s="87"/>
      <c r="AE179" s="82">
        <v>4</v>
      </c>
      <c r="AF179" s="87"/>
      <c r="AG179" s="87"/>
      <c r="AH179" s="87"/>
      <c r="AI179" s="82">
        <f t="shared" si="4"/>
        <v>4</v>
      </c>
      <c r="AJ179" s="82" t="s">
        <v>883</v>
      </c>
      <c r="AK179" s="82">
        <v>3</v>
      </c>
      <c r="AL179" s="82" t="s">
        <v>884</v>
      </c>
      <c r="AM179" s="88">
        <v>46137</v>
      </c>
      <c r="AN179" s="87"/>
      <c r="AO179" s="82" t="s">
        <v>885</v>
      </c>
      <c r="AY179" s="71"/>
    </row>
    <row r="180" spans="1:51" ht="65.25" customHeight="1" x14ac:dyDescent="0.3">
      <c r="A180" s="84">
        <v>1691</v>
      </c>
      <c r="B180" s="85" t="s">
        <v>1604</v>
      </c>
      <c r="C180" s="82" t="s">
        <v>1605</v>
      </c>
      <c r="D180" s="86">
        <v>102711000</v>
      </c>
      <c r="E180" s="82" t="s">
        <v>1606</v>
      </c>
      <c r="F180" s="82" t="str">
        <f>VLOOKUP(D180,'[1]Bến Cát'!$E$4:$F$177,2,0)</f>
        <v>11.229727235731652, 106.61638354316342</v>
      </c>
      <c r="G180" s="82" t="s">
        <v>1607</v>
      </c>
      <c r="H180" s="82" t="s">
        <v>878</v>
      </c>
      <c r="I180" s="82" t="s">
        <v>1608</v>
      </c>
      <c r="J180" s="82" t="s">
        <v>969</v>
      </c>
      <c r="K180" s="82"/>
      <c r="L180" s="82">
        <v>440</v>
      </c>
      <c r="M180" s="82">
        <f t="shared" si="5"/>
        <v>440</v>
      </c>
      <c r="N180" s="82" t="s">
        <v>91</v>
      </c>
      <c r="O180" s="82" t="s">
        <v>90</v>
      </c>
      <c r="P180" s="82" t="s">
        <v>91</v>
      </c>
      <c r="Q180" s="82" t="s">
        <v>881</v>
      </c>
      <c r="R180" s="82" t="s">
        <v>897</v>
      </c>
      <c r="S180" s="87"/>
      <c r="T180" s="87"/>
      <c r="U180" s="82">
        <v>12</v>
      </c>
      <c r="V180" s="87"/>
      <c r="W180" s="87"/>
      <c r="X180" s="87"/>
      <c r="Y180" s="82">
        <f t="shared" si="2"/>
        <v>12</v>
      </c>
      <c r="Z180" s="82">
        <v>12</v>
      </c>
      <c r="AA180" s="87"/>
      <c r="AB180" s="87"/>
      <c r="AC180" s="82">
        <f t="shared" si="3"/>
        <v>12</v>
      </c>
      <c r="AD180" s="87"/>
      <c r="AE180" s="82">
        <v>12</v>
      </c>
      <c r="AF180" s="87"/>
      <c r="AG180" s="87"/>
      <c r="AH180" s="87"/>
      <c r="AI180" s="82">
        <f t="shared" si="4"/>
        <v>12</v>
      </c>
      <c r="AJ180" s="82" t="s">
        <v>883</v>
      </c>
      <c r="AK180" s="82">
        <v>3</v>
      </c>
      <c r="AL180" s="82" t="s">
        <v>884</v>
      </c>
      <c r="AM180" s="88">
        <v>46137</v>
      </c>
      <c r="AN180" s="87"/>
      <c r="AO180" s="82" t="s">
        <v>885</v>
      </c>
      <c r="AY180" s="71"/>
    </row>
    <row r="181" spans="1:51" ht="65.25" customHeight="1" x14ac:dyDescent="0.3">
      <c r="A181" s="84">
        <v>1691</v>
      </c>
      <c r="B181" s="85" t="s">
        <v>1609</v>
      </c>
      <c r="C181" s="82" t="s">
        <v>1610</v>
      </c>
      <c r="D181" s="86">
        <v>102712000</v>
      </c>
      <c r="E181" s="82" t="s">
        <v>1611</v>
      </c>
      <c r="F181" s="82" t="str">
        <f>VLOOKUP(D181,'[1]Bến Cát'!$E$4:$F$177,2,0)</f>
        <v>11.231053478848585, 106.61675292062773</v>
      </c>
      <c r="G181" s="82" t="s">
        <v>1607</v>
      </c>
      <c r="H181" s="82" t="s">
        <v>878</v>
      </c>
      <c r="I181" s="82" t="s">
        <v>1378</v>
      </c>
      <c r="J181" s="82" t="s">
        <v>880</v>
      </c>
      <c r="K181" s="82"/>
      <c r="L181" s="82">
        <v>160</v>
      </c>
      <c r="M181" s="82">
        <f t="shared" si="5"/>
        <v>160</v>
      </c>
      <c r="N181" s="82" t="s">
        <v>91</v>
      </c>
      <c r="O181" s="82" t="s">
        <v>90</v>
      </c>
      <c r="P181" s="82" t="s">
        <v>91</v>
      </c>
      <c r="Q181" s="82" t="s">
        <v>881</v>
      </c>
      <c r="R181" s="82" t="s">
        <v>882</v>
      </c>
      <c r="S181" s="87"/>
      <c r="T181" s="87"/>
      <c r="U181" s="82">
        <v>3</v>
      </c>
      <c r="V181" s="87"/>
      <c r="W181" s="82">
        <v>1</v>
      </c>
      <c r="X181" s="87"/>
      <c r="Y181" s="82">
        <f t="shared" si="2"/>
        <v>4</v>
      </c>
      <c r="Z181" s="82">
        <v>4</v>
      </c>
      <c r="AA181" s="87"/>
      <c r="AB181" s="87"/>
      <c r="AC181" s="82">
        <f t="shared" si="3"/>
        <v>4</v>
      </c>
      <c r="AD181" s="87"/>
      <c r="AE181" s="82">
        <v>4</v>
      </c>
      <c r="AF181" s="87"/>
      <c r="AG181" s="87"/>
      <c r="AH181" s="87"/>
      <c r="AI181" s="82">
        <f t="shared" si="4"/>
        <v>4</v>
      </c>
      <c r="AJ181" s="82" t="s">
        <v>883</v>
      </c>
      <c r="AK181" s="82">
        <v>3</v>
      </c>
      <c r="AL181" s="82" t="s">
        <v>884</v>
      </c>
      <c r="AM181" s="88">
        <v>46140</v>
      </c>
      <c r="AN181" s="87"/>
      <c r="AO181" s="82" t="s">
        <v>885</v>
      </c>
      <c r="AY181" s="71"/>
    </row>
    <row r="182" spans="1:51" ht="65.25" customHeight="1" x14ac:dyDescent="0.3">
      <c r="A182" s="84">
        <v>1692</v>
      </c>
      <c r="B182" s="85" t="s">
        <v>1612</v>
      </c>
      <c r="C182" s="82" t="s">
        <v>1613</v>
      </c>
      <c r="D182" s="86">
        <v>102713000</v>
      </c>
      <c r="E182" s="82" t="s">
        <v>1614</v>
      </c>
      <c r="F182" s="82" t="str">
        <f>VLOOKUP(D182,'[1]Bến Cát'!$E$4:$F$177,2,0)</f>
        <v>11.230938041676673, 106.61614310650617</v>
      </c>
      <c r="G182" s="82" t="s">
        <v>1613</v>
      </c>
      <c r="H182" s="82" t="s">
        <v>878</v>
      </c>
      <c r="I182" s="82" t="s">
        <v>1615</v>
      </c>
      <c r="J182" s="82" t="s">
        <v>891</v>
      </c>
      <c r="K182" s="82"/>
      <c r="L182" s="82">
        <v>400</v>
      </c>
      <c r="M182" s="82">
        <f t="shared" si="5"/>
        <v>400</v>
      </c>
      <c r="N182" s="82" t="s">
        <v>91</v>
      </c>
      <c r="O182" s="82" t="s">
        <v>90</v>
      </c>
      <c r="P182" s="82" t="s">
        <v>91</v>
      </c>
      <c r="Q182" s="82" t="s">
        <v>881</v>
      </c>
      <c r="R182" s="82" t="s">
        <v>897</v>
      </c>
      <c r="S182" s="87"/>
      <c r="T182" s="87"/>
      <c r="U182" s="87"/>
      <c r="V182" s="87"/>
      <c r="W182" s="82">
        <v>10</v>
      </c>
      <c r="X182" s="87"/>
      <c r="Y182" s="82">
        <f t="shared" si="2"/>
        <v>10</v>
      </c>
      <c r="Z182" s="82">
        <v>10</v>
      </c>
      <c r="AA182" s="87"/>
      <c r="AB182" s="87"/>
      <c r="AC182" s="82">
        <f t="shared" si="3"/>
        <v>10</v>
      </c>
      <c r="AD182" s="87"/>
      <c r="AE182" s="82">
        <v>10</v>
      </c>
      <c r="AF182" s="87"/>
      <c r="AG182" s="87"/>
      <c r="AH182" s="87"/>
      <c r="AI182" s="82">
        <f t="shared" si="4"/>
        <v>10</v>
      </c>
      <c r="AJ182" s="82" t="s">
        <v>883</v>
      </c>
      <c r="AK182" s="82">
        <v>3</v>
      </c>
      <c r="AL182" s="82" t="s">
        <v>884</v>
      </c>
      <c r="AM182" s="88">
        <v>46140</v>
      </c>
      <c r="AN182" s="87"/>
      <c r="AO182" s="82" t="s">
        <v>892</v>
      </c>
      <c r="AY182" s="71"/>
    </row>
    <row r="183" spans="1:51" ht="65.25" customHeight="1" x14ac:dyDescent="0.3">
      <c r="A183" s="84">
        <v>1689</v>
      </c>
      <c r="B183" s="85" t="s">
        <v>1616</v>
      </c>
      <c r="C183" s="82" t="s">
        <v>1617</v>
      </c>
      <c r="D183" s="86">
        <v>102714000</v>
      </c>
      <c r="E183" s="82" t="s">
        <v>1618</v>
      </c>
      <c r="F183" s="82" t="str">
        <f>VLOOKUP(D183,'[1]Bến Cát'!$E$4:$F$177,2,0)</f>
        <v>11.222939468922949, 106.61890206943545</v>
      </c>
      <c r="G183" s="82" t="s">
        <v>1617</v>
      </c>
      <c r="H183" s="82" t="s">
        <v>878</v>
      </c>
      <c r="I183" s="82" t="s">
        <v>1619</v>
      </c>
      <c r="J183" s="82" t="s">
        <v>891</v>
      </c>
      <c r="K183" s="82"/>
      <c r="L183" s="82">
        <v>700</v>
      </c>
      <c r="M183" s="82">
        <f t="shared" si="5"/>
        <v>700</v>
      </c>
      <c r="N183" s="82" t="s">
        <v>91</v>
      </c>
      <c r="O183" s="82" t="s">
        <v>90</v>
      </c>
      <c r="P183" s="82" t="s">
        <v>91</v>
      </c>
      <c r="Q183" s="82" t="s">
        <v>881</v>
      </c>
      <c r="R183" s="82" t="s">
        <v>897</v>
      </c>
      <c r="S183" s="87"/>
      <c r="T183" s="87"/>
      <c r="U183" s="82">
        <v>9</v>
      </c>
      <c r="V183" s="87"/>
      <c r="W183" s="87"/>
      <c r="X183" s="87"/>
      <c r="Y183" s="82">
        <f t="shared" si="2"/>
        <v>9</v>
      </c>
      <c r="Z183" s="82">
        <v>9</v>
      </c>
      <c r="AA183" s="87"/>
      <c r="AB183" s="87"/>
      <c r="AC183" s="82">
        <f t="shared" si="3"/>
        <v>9</v>
      </c>
      <c r="AD183" s="87"/>
      <c r="AE183" s="82">
        <v>9</v>
      </c>
      <c r="AF183" s="87"/>
      <c r="AG183" s="87"/>
      <c r="AH183" s="87"/>
      <c r="AI183" s="82">
        <f t="shared" si="4"/>
        <v>9</v>
      </c>
      <c r="AJ183" s="82" t="s">
        <v>883</v>
      </c>
      <c r="AK183" s="82">
        <v>3</v>
      </c>
      <c r="AL183" s="82" t="s">
        <v>884</v>
      </c>
      <c r="AM183" s="88">
        <v>46140</v>
      </c>
      <c r="AN183" s="87"/>
      <c r="AO183" s="82" t="s">
        <v>892</v>
      </c>
      <c r="AY183" s="71"/>
    </row>
    <row r="184" spans="1:51" ht="65.25" customHeight="1" x14ac:dyDescent="0.3">
      <c r="A184" s="84">
        <v>1690</v>
      </c>
      <c r="B184" s="85" t="s">
        <v>1620</v>
      </c>
      <c r="C184" s="82" t="s">
        <v>1621</v>
      </c>
      <c r="D184" s="86">
        <v>102715000</v>
      </c>
      <c r="E184" s="82" t="s">
        <v>1622</v>
      </c>
      <c r="F184" s="82" t="str">
        <f>VLOOKUP(D184,'[1]Bến Cát'!$E$4:$F$177,2,0)</f>
        <v>11.221985203582387, 106.61850303242397</v>
      </c>
      <c r="G184" s="82" t="s">
        <v>1621</v>
      </c>
      <c r="H184" s="82" t="s">
        <v>878</v>
      </c>
      <c r="I184" s="82" t="s">
        <v>1623</v>
      </c>
      <c r="J184" s="82" t="s">
        <v>969</v>
      </c>
      <c r="K184" s="82"/>
      <c r="L184" s="82">
        <v>960</v>
      </c>
      <c r="M184" s="82">
        <f t="shared" si="5"/>
        <v>960</v>
      </c>
      <c r="N184" s="82" t="s">
        <v>91</v>
      </c>
      <c r="O184" s="82" t="s">
        <v>90</v>
      </c>
      <c r="P184" s="82" t="s">
        <v>91</v>
      </c>
      <c r="Q184" s="82" t="s">
        <v>881</v>
      </c>
      <c r="R184" s="82" t="s">
        <v>897</v>
      </c>
      <c r="S184" s="87"/>
      <c r="T184" s="87"/>
      <c r="U184" s="82">
        <v>15</v>
      </c>
      <c r="V184" s="87"/>
      <c r="W184" s="82">
        <v>3</v>
      </c>
      <c r="X184" s="87"/>
      <c r="Y184" s="82">
        <f t="shared" si="2"/>
        <v>18</v>
      </c>
      <c r="Z184" s="82">
        <v>18</v>
      </c>
      <c r="AA184" s="87"/>
      <c r="AB184" s="87"/>
      <c r="AC184" s="82">
        <f t="shared" si="3"/>
        <v>18</v>
      </c>
      <c r="AD184" s="87"/>
      <c r="AE184" s="82">
        <v>18</v>
      </c>
      <c r="AF184" s="87"/>
      <c r="AG184" s="87"/>
      <c r="AH184" s="87"/>
      <c r="AI184" s="82">
        <f t="shared" si="4"/>
        <v>18</v>
      </c>
      <c r="AJ184" s="82" t="s">
        <v>883</v>
      </c>
      <c r="AK184" s="82">
        <v>3</v>
      </c>
      <c r="AL184" s="82" t="s">
        <v>884</v>
      </c>
      <c r="AM184" s="88">
        <v>46140</v>
      </c>
      <c r="AN184" s="87"/>
      <c r="AO184" s="82" t="s">
        <v>892</v>
      </c>
      <c r="AY184" s="71"/>
    </row>
    <row r="185" spans="1:51" ht="15.75" customHeight="1" x14ac:dyDescent="0.3"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</row>
    <row r="186" spans="1:51" ht="15.75" customHeight="1" x14ac:dyDescent="0.3"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</row>
    <row r="187" spans="1:51" ht="15.75" customHeight="1" x14ac:dyDescent="0.3"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  <c r="AX187" s="71"/>
      <c r="AY187" s="71"/>
    </row>
    <row r="188" spans="1:51" ht="15.75" customHeight="1" x14ac:dyDescent="0.3"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</row>
    <row r="189" spans="1:51" ht="15.75" customHeight="1" x14ac:dyDescent="0.3"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  <c r="AY189" s="71"/>
    </row>
    <row r="190" spans="1:51" ht="15.75" customHeight="1" x14ac:dyDescent="0.3"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  <c r="AX190" s="71"/>
      <c r="AY190" s="71"/>
    </row>
    <row r="191" spans="1:51" ht="15.75" customHeight="1" x14ac:dyDescent="0.3"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  <c r="AX191" s="71"/>
      <c r="AY191" s="71"/>
    </row>
    <row r="192" spans="1:51" ht="15.75" customHeight="1" x14ac:dyDescent="0.3"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/>
    </row>
    <row r="193" spans="2:51" ht="15.75" customHeight="1" x14ac:dyDescent="0.3"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</row>
    <row r="194" spans="2:51" ht="15.75" customHeight="1" x14ac:dyDescent="0.3"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</row>
    <row r="195" spans="2:51" ht="15.75" customHeight="1" x14ac:dyDescent="0.3"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/>
    </row>
    <row r="196" spans="2:51" ht="15.75" customHeight="1" x14ac:dyDescent="0.3"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</row>
    <row r="197" spans="2:51" ht="15.75" customHeight="1" x14ac:dyDescent="0.3"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</row>
    <row r="198" spans="2:51" ht="15.75" customHeight="1" x14ac:dyDescent="0.3"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</row>
    <row r="199" spans="2:51" ht="15.75" customHeight="1" x14ac:dyDescent="0.3"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</row>
    <row r="200" spans="2:51" ht="15.75" customHeight="1" x14ac:dyDescent="0.3"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</row>
    <row r="201" spans="2:51" ht="15.75" customHeight="1" x14ac:dyDescent="0.3"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/>
      <c r="AY201" s="71"/>
    </row>
    <row r="202" spans="2:51" ht="15.75" customHeight="1" x14ac:dyDescent="0.3"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  <c r="AW202" s="71"/>
      <c r="AX202" s="71"/>
      <c r="AY202" s="71"/>
    </row>
    <row r="203" spans="2:51" ht="15.75" customHeight="1" x14ac:dyDescent="0.3"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  <c r="AR203" s="71"/>
      <c r="AS203" s="71"/>
      <c r="AT203" s="71"/>
      <c r="AU203" s="71"/>
      <c r="AV203" s="71"/>
      <c r="AW203" s="71"/>
      <c r="AX203" s="71"/>
      <c r="AY203" s="71"/>
    </row>
    <row r="204" spans="2:51" ht="15.75" customHeight="1" x14ac:dyDescent="0.3"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</row>
    <row r="205" spans="2:51" ht="15.75" customHeight="1" x14ac:dyDescent="0.3"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  <c r="AY205" s="71"/>
    </row>
    <row r="206" spans="2:51" ht="15.75" customHeight="1" x14ac:dyDescent="0.3"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</row>
    <row r="207" spans="2:51" ht="15.75" customHeight="1" x14ac:dyDescent="0.3"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</row>
    <row r="208" spans="2:51" ht="15.75" customHeight="1" x14ac:dyDescent="0.3"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</row>
    <row r="209" spans="2:51" ht="15.75" customHeight="1" x14ac:dyDescent="0.3"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</row>
    <row r="210" spans="2:51" ht="15.75" customHeight="1" x14ac:dyDescent="0.3"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  <c r="AX210" s="71"/>
      <c r="AY210" s="71"/>
    </row>
    <row r="211" spans="2:51" ht="15.75" customHeight="1" x14ac:dyDescent="0.3"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</row>
    <row r="212" spans="2:51" ht="15.75" customHeight="1" x14ac:dyDescent="0.3"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</row>
    <row r="213" spans="2:51" ht="15.75" customHeight="1" x14ac:dyDescent="0.3"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</row>
    <row r="214" spans="2:51" ht="15.75" customHeight="1" x14ac:dyDescent="0.3"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71"/>
      <c r="AX214" s="71"/>
      <c r="AY214" s="71"/>
    </row>
    <row r="215" spans="2:51" ht="15.75" customHeight="1" x14ac:dyDescent="0.3"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  <c r="AX215" s="71"/>
      <c r="AY215" s="71"/>
    </row>
    <row r="216" spans="2:51" ht="15.75" customHeight="1" x14ac:dyDescent="0.3"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</row>
    <row r="217" spans="2:51" ht="15.75" customHeight="1" x14ac:dyDescent="0.3"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</row>
    <row r="218" spans="2:51" ht="15.75" customHeight="1" x14ac:dyDescent="0.3"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</row>
    <row r="219" spans="2:51" ht="15.75" customHeight="1" x14ac:dyDescent="0.3"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</row>
    <row r="220" spans="2:51" ht="15.75" customHeight="1" x14ac:dyDescent="0.3"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</row>
    <row r="221" spans="2:51" ht="15.75" customHeight="1" x14ac:dyDescent="0.3"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</row>
    <row r="222" spans="2:51" ht="15.75" customHeight="1" x14ac:dyDescent="0.3"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</row>
    <row r="223" spans="2:51" ht="15.75" customHeight="1" x14ac:dyDescent="0.3"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</row>
    <row r="224" spans="2:51" ht="15.75" customHeight="1" x14ac:dyDescent="0.3"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</row>
    <row r="225" spans="2:51" ht="15.75" customHeight="1" x14ac:dyDescent="0.3"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</row>
    <row r="226" spans="2:51" ht="15.75" customHeight="1" x14ac:dyDescent="0.3"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</row>
    <row r="227" spans="2:51" ht="15.75" customHeight="1" x14ac:dyDescent="0.3"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</row>
    <row r="228" spans="2:51" ht="15.75" customHeight="1" x14ac:dyDescent="0.3"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</row>
    <row r="229" spans="2:51" ht="15.75" customHeight="1" x14ac:dyDescent="0.3"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</row>
    <row r="230" spans="2:51" ht="15.75" customHeight="1" x14ac:dyDescent="0.3"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</row>
    <row r="231" spans="2:51" ht="15.75" customHeight="1" x14ac:dyDescent="0.3"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</row>
    <row r="232" spans="2:51" ht="15.75" customHeight="1" x14ac:dyDescent="0.3"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1"/>
    </row>
    <row r="233" spans="2:51" ht="15.75" customHeight="1" x14ac:dyDescent="0.3"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  <c r="AX233" s="71"/>
      <c r="AY233" s="71"/>
    </row>
    <row r="234" spans="2:51" ht="15.75" customHeight="1" x14ac:dyDescent="0.3"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</row>
    <row r="235" spans="2:51" ht="15.75" customHeight="1" x14ac:dyDescent="0.3"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71"/>
      <c r="AX235" s="71"/>
      <c r="AY235" s="71"/>
    </row>
    <row r="236" spans="2:51" ht="15.75" customHeight="1" x14ac:dyDescent="0.3"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71"/>
      <c r="AX236" s="71"/>
      <c r="AY236" s="71"/>
    </row>
    <row r="237" spans="2:51" ht="15.75" customHeight="1" x14ac:dyDescent="0.3"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</row>
    <row r="238" spans="2:51" ht="15.75" customHeight="1" x14ac:dyDescent="0.3"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71"/>
      <c r="AX238" s="71"/>
      <c r="AY238" s="71"/>
    </row>
    <row r="239" spans="2:51" ht="15.75" customHeight="1" x14ac:dyDescent="0.3"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  <c r="AX239" s="71"/>
      <c r="AY239" s="71"/>
    </row>
    <row r="240" spans="2:51" ht="15.75" customHeight="1" x14ac:dyDescent="0.3"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  <c r="AX240" s="71"/>
      <c r="AY240" s="71"/>
    </row>
    <row r="241" spans="2:51" ht="15.75" customHeight="1" x14ac:dyDescent="0.3"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71"/>
      <c r="AX241" s="71"/>
      <c r="AY241" s="71"/>
    </row>
    <row r="242" spans="2:51" ht="15.75" customHeight="1" x14ac:dyDescent="0.3"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  <c r="AW242" s="71"/>
      <c r="AX242" s="71"/>
      <c r="AY242" s="71"/>
    </row>
    <row r="243" spans="2:51" ht="15.75" customHeight="1" x14ac:dyDescent="0.3"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1"/>
      <c r="AQ243" s="71"/>
      <c r="AR243" s="71"/>
      <c r="AS243" s="71"/>
      <c r="AT243" s="71"/>
      <c r="AU243" s="71"/>
      <c r="AV243" s="71"/>
      <c r="AW243" s="71"/>
      <c r="AX243" s="71"/>
      <c r="AY243" s="71"/>
    </row>
    <row r="244" spans="2:51" ht="15.75" customHeight="1" x14ac:dyDescent="0.3"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  <c r="AS244" s="71"/>
      <c r="AT244" s="71"/>
      <c r="AU244" s="71"/>
      <c r="AV244" s="71"/>
      <c r="AW244" s="71"/>
      <c r="AX244" s="71"/>
      <c r="AY244" s="71"/>
    </row>
    <row r="245" spans="2:51" ht="15.75" customHeight="1" x14ac:dyDescent="0.3"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  <c r="AR245" s="71"/>
      <c r="AS245" s="71"/>
      <c r="AT245" s="71"/>
      <c r="AU245" s="71"/>
      <c r="AV245" s="71"/>
      <c r="AW245" s="71"/>
      <c r="AX245" s="71"/>
      <c r="AY245" s="71"/>
    </row>
    <row r="246" spans="2:51" ht="15.75" customHeight="1" x14ac:dyDescent="0.3"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1"/>
      <c r="AQ246" s="71"/>
      <c r="AR246" s="71"/>
      <c r="AS246" s="71"/>
      <c r="AT246" s="71"/>
      <c r="AU246" s="71"/>
      <c r="AV246" s="71"/>
      <c r="AW246" s="71"/>
      <c r="AX246" s="71"/>
      <c r="AY246" s="71"/>
    </row>
    <row r="247" spans="2:51" ht="15.75" customHeight="1" x14ac:dyDescent="0.3"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  <c r="AR247" s="71"/>
      <c r="AS247" s="71"/>
      <c r="AT247" s="71"/>
      <c r="AU247" s="71"/>
      <c r="AV247" s="71"/>
      <c r="AW247" s="71"/>
      <c r="AX247" s="71"/>
      <c r="AY247" s="71"/>
    </row>
    <row r="248" spans="2:51" ht="15.75" customHeight="1" x14ac:dyDescent="0.3"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  <c r="AX248" s="71"/>
      <c r="AY248" s="71"/>
    </row>
    <row r="249" spans="2:51" ht="15.75" customHeight="1" x14ac:dyDescent="0.3"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  <c r="AS249" s="71"/>
      <c r="AT249" s="71"/>
      <c r="AU249" s="71"/>
      <c r="AV249" s="71"/>
      <c r="AW249" s="71"/>
      <c r="AX249" s="71"/>
      <c r="AY249" s="71"/>
    </row>
    <row r="250" spans="2:51" ht="15.75" customHeight="1" x14ac:dyDescent="0.3"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  <c r="AR250" s="71"/>
      <c r="AS250" s="71"/>
      <c r="AT250" s="71"/>
      <c r="AU250" s="71"/>
      <c r="AV250" s="71"/>
      <c r="AW250" s="71"/>
      <c r="AX250" s="71"/>
      <c r="AY250" s="71"/>
    </row>
    <row r="251" spans="2:51" ht="15.75" customHeight="1" x14ac:dyDescent="0.3"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  <c r="AR251" s="71"/>
      <c r="AS251" s="71"/>
      <c r="AT251" s="71"/>
      <c r="AU251" s="71"/>
      <c r="AV251" s="71"/>
      <c r="AW251" s="71"/>
      <c r="AX251" s="71"/>
      <c r="AY251" s="71"/>
    </row>
    <row r="252" spans="2:51" ht="15.75" customHeight="1" x14ac:dyDescent="0.3"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  <c r="AS252" s="71"/>
      <c r="AT252" s="71"/>
      <c r="AU252" s="71"/>
      <c r="AV252" s="71"/>
      <c r="AW252" s="71"/>
      <c r="AX252" s="71"/>
      <c r="AY252" s="71"/>
    </row>
    <row r="253" spans="2:51" ht="15.75" customHeight="1" x14ac:dyDescent="0.3"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  <c r="AX253" s="71"/>
      <c r="AY253" s="71"/>
    </row>
    <row r="254" spans="2:51" ht="15.75" customHeight="1" x14ac:dyDescent="0.3"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  <c r="AS254" s="71"/>
      <c r="AT254" s="71"/>
      <c r="AU254" s="71"/>
      <c r="AV254" s="71"/>
      <c r="AW254" s="71"/>
      <c r="AX254" s="71"/>
      <c r="AY254" s="71"/>
    </row>
    <row r="255" spans="2:51" ht="15.75" customHeight="1" x14ac:dyDescent="0.3"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  <c r="AW255" s="71"/>
      <c r="AX255" s="71"/>
      <c r="AY255" s="71"/>
    </row>
    <row r="256" spans="2:51" ht="15.75" customHeight="1" x14ac:dyDescent="0.3"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  <c r="AX256" s="71"/>
      <c r="AY256" s="71"/>
    </row>
    <row r="257" spans="2:51" ht="15.75" customHeight="1" x14ac:dyDescent="0.3"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  <c r="AX257" s="71"/>
      <c r="AY257" s="71"/>
    </row>
    <row r="258" spans="2:51" ht="15.75" customHeight="1" x14ac:dyDescent="0.3"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  <c r="AR258" s="71"/>
      <c r="AS258" s="71"/>
      <c r="AT258" s="71"/>
      <c r="AU258" s="71"/>
      <c r="AV258" s="71"/>
      <c r="AW258" s="71"/>
      <c r="AX258" s="71"/>
      <c r="AY258" s="71"/>
    </row>
    <row r="259" spans="2:51" ht="15.75" customHeight="1" x14ac:dyDescent="0.3"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1"/>
      <c r="AQ259" s="71"/>
      <c r="AR259" s="71"/>
      <c r="AS259" s="71"/>
      <c r="AT259" s="71"/>
      <c r="AU259" s="71"/>
      <c r="AV259" s="71"/>
      <c r="AW259" s="71"/>
      <c r="AX259" s="71"/>
      <c r="AY259" s="71"/>
    </row>
    <row r="260" spans="2:51" ht="15.75" customHeight="1" x14ac:dyDescent="0.3"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  <c r="AW260" s="71"/>
      <c r="AX260" s="71"/>
      <c r="AY260" s="71"/>
    </row>
    <row r="261" spans="2:51" ht="15.75" customHeight="1" x14ac:dyDescent="0.3"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/>
      <c r="AX261" s="71"/>
      <c r="AY261" s="71"/>
    </row>
    <row r="262" spans="2:51" ht="15.75" customHeight="1" x14ac:dyDescent="0.3"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  <c r="AW262" s="71"/>
      <c r="AX262" s="71"/>
      <c r="AY262" s="71"/>
    </row>
    <row r="263" spans="2:51" ht="15.75" customHeight="1" x14ac:dyDescent="0.3"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/>
      <c r="AX263" s="71"/>
      <c r="AY263" s="71"/>
    </row>
    <row r="264" spans="2:51" ht="15.75" customHeight="1" x14ac:dyDescent="0.3"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  <c r="AR264" s="71"/>
      <c r="AS264" s="71"/>
      <c r="AT264" s="71"/>
      <c r="AU264" s="71"/>
      <c r="AV264" s="71"/>
      <c r="AW264" s="71"/>
      <c r="AX264" s="71"/>
      <c r="AY264" s="71"/>
    </row>
    <row r="265" spans="2:51" ht="15.75" customHeight="1" x14ac:dyDescent="0.3"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/>
      <c r="AX265" s="71"/>
      <c r="AY265" s="71"/>
    </row>
    <row r="266" spans="2:51" ht="15.75" customHeight="1" x14ac:dyDescent="0.3"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  <c r="AR266" s="71"/>
      <c r="AS266" s="71"/>
      <c r="AT266" s="71"/>
      <c r="AU266" s="71"/>
      <c r="AV266" s="71"/>
      <c r="AW266" s="71"/>
      <c r="AX266" s="71"/>
      <c r="AY266" s="71"/>
    </row>
    <row r="267" spans="2:51" ht="15.75" customHeight="1" x14ac:dyDescent="0.3"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1"/>
      <c r="AL267" s="71"/>
      <c r="AM267" s="71"/>
      <c r="AN267" s="71"/>
      <c r="AO267" s="71"/>
      <c r="AP267" s="71"/>
      <c r="AQ267" s="71"/>
      <c r="AR267" s="71"/>
      <c r="AS267" s="71"/>
      <c r="AT267" s="71"/>
      <c r="AU267" s="71"/>
      <c r="AV267" s="71"/>
      <c r="AW267" s="71"/>
      <c r="AX267" s="71"/>
      <c r="AY267" s="71"/>
    </row>
    <row r="268" spans="2:51" ht="15.75" customHeight="1" x14ac:dyDescent="0.3"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1"/>
      <c r="AL268" s="71"/>
      <c r="AM268" s="71"/>
      <c r="AN268" s="71"/>
      <c r="AO268" s="71"/>
      <c r="AP268" s="71"/>
      <c r="AQ268" s="71"/>
      <c r="AR268" s="71"/>
      <c r="AS268" s="71"/>
      <c r="AT268" s="71"/>
      <c r="AU268" s="71"/>
      <c r="AV268" s="71"/>
      <c r="AW268" s="71"/>
      <c r="AX268" s="71"/>
      <c r="AY268" s="71"/>
    </row>
    <row r="269" spans="2:51" ht="15.75" customHeight="1" x14ac:dyDescent="0.3"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  <c r="AW269" s="71"/>
      <c r="AX269" s="71"/>
      <c r="AY269" s="71"/>
    </row>
    <row r="270" spans="2:51" ht="15.75" customHeight="1" x14ac:dyDescent="0.3"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  <c r="AW270" s="71"/>
      <c r="AX270" s="71"/>
      <c r="AY270" s="71"/>
    </row>
    <row r="271" spans="2:51" ht="15.75" customHeight="1" x14ac:dyDescent="0.3"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1"/>
      <c r="AL271" s="71"/>
      <c r="AM271" s="71"/>
      <c r="AN271" s="71"/>
      <c r="AO271" s="71"/>
      <c r="AP271" s="71"/>
      <c r="AQ271" s="71"/>
      <c r="AR271" s="71"/>
      <c r="AS271" s="71"/>
      <c r="AT271" s="71"/>
      <c r="AU271" s="71"/>
      <c r="AV271" s="71"/>
      <c r="AW271" s="71"/>
      <c r="AX271" s="71"/>
      <c r="AY271" s="71"/>
    </row>
    <row r="272" spans="2:51" ht="15.75" customHeight="1" x14ac:dyDescent="0.3"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  <c r="AS272" s="71"/>
      <c r="AT272" s="71"/>
      <c r="AU272" s="71"/>
      <c r="AV272" s="71"/>
      <c r="AW272" s="71"/>
      <c r="AX272" s="71"/>
      <c r="AY272" s="71"/>
    </row>
    <row r="273" spans="2:51" ht="15.75" customHeight="1" x14ac:dyDescent="0.3"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  <c r="AR273" s="71"/>
      <c r="AS273" s="71"/>
      <c r="AT273" s="71"/>
      <c r="AU273" s="71"/>
      <c r="AV273" s="71"/>
      <c r="AW273" s="71"/>
      <c r="AX273" s="71"/>
      <c r="AY273" s="71"/>
    </row>
    <row r="274" spans="2:51" ht="15.75" customHeight="1" x14ac:dyDescent="0.3"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  <c r="AL274" s="71"/>
      <c r="AM274" s="71"/>
      <c r="AN274" s="71"/>
      <c r="AO274" s="71"/>
      <c r="AP274" s="71"/>
      <c r="AQ274" s="71"/>
      <c r="AR274" s="71"/>
      <c r="AS274" s="71"/>
      <c r="AT274" s="71"/>
      <c r="AU274" s="71"/>
      <c r="AV274" s="71"/>
      <c r="AW274" s="71"/>
      <c r="AX274" s="71"/>
      <c r="AY274" s="71"/>
    </row>
    <row r="275" spans="2:51" ht="15.75" customHeight="1" x14ac:dyDescent="0.3"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1"/>
      <c r="AL275" s="71"/>
      <c r="AM275" s="71"/>
      <c r="AN275" s="71"/>
      <c r="AO275" s="71"/>
      <c r="AP275" s="71"/>
      <c r="AQ275" s="71"/>
      <c r="AR275" s="71"/>
      <c r="AS275" s="71"/>
      <c r="AT275" s="71"/>
      <c r="AU275" s="71"/>
      <c r="AV275" s="71"/>
      <c r="AW275" s="71"/>
      <c r="AX275" s="71"/>
      <c r="AY275" s="71"/>
    </row>
    <row r="276" spans="2:51" ht="15.75" customHeight="1" x14ac:dyDescent="0.3"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1"/>
      <c r="AL276" s="71"/>
      <c r="AM276" s="71"/>
      <c r="AN276" s="71"/>
      <c r="AO276" s="71"/>
      <c r="AP276" s="71"/>
      <c r="AQ276" s="71"/>
      <c r="AR276" s="71"/>
      <c r="AS276" s="71"/>
      <c r="AT276" s="71"/>
      <c r="AU276" s="71"/>
      <c r="AV276" s="71"/>
      <c r="AW276" s="71"/>
      <c r="AX276" s="71"/>
      <c r="AY276" s="71"/>
    </row>
    <row r="277" spans="2:51" ht="15.75" customHeight="1" x14ac:dyDescent="0.3"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1"/>
      <c r="AL277" s="71"/>
      <c r="AM277" s="71"/>
      <c r="AN277" s="71"/>
      <c r="AO277" s="71"/>
      <c r="AP277" s="71"/>
      <c r="AQ277" s="71"/>
      <c r="AR277" s="71"/>
      <c r="AS277" s="71"/>
      <c r="AT277" s="71"/>
      <c r="AU277" s="71"/>
      <c r="AV277" s="71"/>
      <c r="AW277" s="71"/>
      <c r="AX277" s="71"/>
      <c r="AY277" s="71"/>
    </row>
    <row r="278" spans="2:51" ht="15.75" customHeight="1" x14ac:dyDescent="0.3"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1"/>
      <c r="AQ278" s="71"/>
      <c r="AR278" s="71"/>
      <c r="AS278" s="71"/>
      <c r="AT278" s="71"/>
      <c r="AU278" s="71"/>
      <c r="AV278" s="71"/>
      <c r="AW278" s="71"/>
      <c r="AX278" s="71"/>
      <c r="AY278" s="71"/>
    </row>
    <row r="279" spans="2:51" ht="15.75" customHeight="1" x14ac:dyDescent="0.3"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  <c r="AR279" s="71"/>
      <c r="AS279" s="71"/>
      <c r="AT279" s="71"/>
      <c r="AU279" s="71"/>
      <c r="AV279" s="71"/>
      <c r="AW279" s="71"/>
      <c r="AX279" s="71"/>
      <c r="AY279" s="71"/>
    </row>
    <row r="280" spans="2:51" ht="15.75" customHeight="1" x14ac:dyDescent="0.3"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</row>
    <row r="281" spans="2:51" ht="15.75" customHeight="1" x14ac:dyDescent="0.3"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  <c r="AW281" s="71"/>
      <c r="AX281" s="71"/>
      <c r="AY281" s="71"/>
    </row>
    <row r="282" spans="2:51" ht="15.75" customHeight="1" x14ac:dyDescent="0.3"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1"/>
      <c r="AL282" s="71"/>
      <c r="AM282" s="71"/>
      <c r="AN282" s="71"/>
      <c r="AO282" s="71"/>
      <c r="AP282" s="71"/>
      <c r="AQ282" s="71"/>
      <c r="AR282" s="71"/>
      <c r="AS282" s="71"/>
      <c r="AT282" s="71"/>
      <c r="AU282" s="71"/>
      <c r="AV282" s="71"/>
      <c r="AW282" s="71"/>
      <c r="AX282" s="71"/>
      <c r="AY282" s="71"/>
    </row>
    <row r="283" spans="2:51" ht="15.75" customHeight="1" x14ac:dyDescent="0.3"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  <c r="AW283" s="71"/>
      <c r="AX283" s="71"/>
      <c r="AY283" s="71"/>
    </row>
    <row r="284" spans="2:51" ht="15.75" customHeight="1" x14ac:dyDescent="0.3"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  <c r="AR284" s="71"/>
      <c r="AS284" s="71"/>
      <c r="AT284" s="71"/>
      <c r="AU284" s="71"/>
      <c r="AV284" s="71"/>
      <c r="AW284" s="71"/>
      <c r="AX284" s="71"/>
      <c r="AY284" s="71"/>
    </row>
    <row r="285" spans="2:51" ht="15.75" customHeight="1" x14ac:dyDescent="0.3"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  <c r="AX285" s="71"/>
      <c r="AY285" s="71"/>
    </row>
    <row r="286" spans="2:51" ht="15.75" customHeight="1" x14ac:dyDescent="0.3"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  <c r="AW286" s="71"/>
      <c r="AX286" s="71"/>
      <c r="AY286" s="71"/>
    </row>
    <row r="287" spans="2:51" ht="15.75" customHeight="1" x14ac:dyDescent="0.3"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  <c r="AR287" s="71"/>
      <c r="AS287" s="71"/>
      <c r="AT287" s="71"/>
      <c r="AU287" s="71"/>
      <c r="AV287" s="71"/>
      <c r="AW287" s="71"/>
      <c r="AX287" s="71"/>
      <c r="AY287" s="71"/>
    </row>
    <row r="288" spans="2:51" ht="15.75" customHeight="1" x14ac:dyDescent="0.3"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71"/>
      <c r="AT288" s="71"/>
      <c r="AU288" s="71"/>
      <c r="AV288" s="71"/>
      <c r="AW288" s="71"/>
      <c r="AX288" s="71"/>
      <c r="AY288" s="71"/>
    </row>
    <row r="289" spans="2:51" ht="15.75" customHeight="1" x14ac:dyDescent="0.3"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  <c r="AS289" s="71"/>
      <c r="AT289" s="71"/>
      <c r="AU289" s="71"/>
      <c r="AV289" s="71"/>
      <c r="AW289" s="71"/>
      <c r="AX289" s="71"/>
      <c r="AY289" s="71"/>
    </row>
    <row r="290" spans="2:51" ht="15.75" customHeight="1" x14ac:dyDescent="0.3"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</row>
    <row r="291" spans="2:51" ht="15.75" customHeight="1" x14ac:dyDescent="0.3"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</row>
    <row r="292" spans="2:51" ht="15.75" customHeight="1" x14ac:dyDescent="0.3"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</row>
    <row r="293" spans="2:51" ht="15.75" customHeight="1" x14ac:dyDescent="0.3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</row>
    <row r="294" spans="2:51" ht="15.75" customHeight="1" x14ac:dyDescent="0.3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</row>
    <row r="295" spans="2:51" ht="15.75" customHeight="1" x14ac:dyDescent="0.3"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</row>
    <row r="296" spans="2:51" ht="15.75" customHeight="1" x14ac:dyDescent="0.3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</row>
    <row r="297" spans="2:51" ht="15.75" customHeight="1" x14ac:dyDescent="0.3"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</row>
    <row r="298" spans="2:51" ht="15.75" customHeight="1" x14ac:dyDescent="0.3"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</row>
    <row r="299" spans="2:51" ht="15.75" customHeight="1" x14ac:dyDescent="0.3"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</row>
    <row r="300" spans="2:51" ht="15.75" customHeight="1" x14ac:dyDescent="0.3"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</row>
    <row r="301" spans="2:51" ht="15.75" customHeight="1" x14ac:dyDescent="0.3"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</row>
    <row r="302" spans="2:51" ht="15.75" customHeight="1" x14ac:dyDescent="0.3"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1"/>
      <c r="AL302" s="71"/>
      <c r="AM302" s="71"/>
      <c r="AN302" s="71"/>
      <c r="AO302" s="71"/>
      <c r="AP302" s="71"/>
      <c r="AQ302" s="71"/>
      <c r="AR302" s="71"/>
      <c r="AS302" s="71"/>
      <c r="AT302" s="71"/>
      <c r="AU302" s="71"/>
      <c r="AV302" s="71"/>
      <c r="AW302" s="71"/>
      <c r="AX302" s="71"/>
      <c r="AY302" s="71"/>
    </row>
    <row r="303" spans="2:51" ht="15.75" customHeight="1" x14ac:dyDescent="0.3"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  <c r="AL303" s="71"/>
      <c r="AM303" s="71"/>
      <c r="AN303" s="71"/>
      <c r="AO303" s="71"/>
      <c r="AP303" s="71"/>
      <c r="AQ303" s="71"/>
      <c r="AR303" s="71"/>
      <c r="AS303" s="71"/>
      <c r="AT303" s="71"/>
      <c r="AU303" s="71"/>
      <c r="AV303" s="71"/>
      <c r="AW303" s="71"/>
      <c r="AX303" s="71"/>
      <c r="AY303" s="71"/>
    </row>
    <row r="304" spans="2:51" ht="15.75" customHeight="1" x14ac:dyDescent="0.3"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</row>
    <row r="305" spans="2:51" ht="15.75" customHeight="1" x14ac:dyDescent="0.3"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</row>
    <row r="306" spans="2:51" ht="15.75" customHeight="1" x14ac:dyDescent="0.3"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</row>
    <row r="307" spans="2:51" ht="15.75" customHeight="1" x14ac:dyDescent="0.3"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</row>
    <row r="308" spans="2:51" ht="15.75" customHeight="1" x14ac:dyDescent="0.3"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</row>
    <row r="309" spans="2:51" ht="15.75" customHeight="1" x14ac:dyDescent="0.3"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</row>
    <row r="310" spans="2:51" ht="15.75" customHeight="1" x14ac:dyDescent="0.3"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</row>
    <row r="311" spans="2:51" ht="15.75" customHeight="1" x14ac:dyDescent="0.3"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</row>
    <row r="312" spans="2:51" ht="15.75" customHeight="1" x14ac:dyDescent="0.3"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</row>
    <row r="313" spans="2:51" ht="15.75" customHeight="1" x14ac:dyDescent="0.3"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  <c r="AL313" s="71"/>
      <c r="AM313" s="71"/>
      <c r="AN313" s="71"/>
      <c r="AO313" s="71"/>
      <c r="AP313" s="71"/>
      <c r="AQ313" s="71"/>
      <c r="AR313" s="71"/>
      <c r="AS313" s="71"/>
      <c r="AT313" s="71"/>
      <c r="AU313" s="71"/>
      <c r="AV313" s="71"/>
      <c r="AW313" s="71"/>
      <c r="AX313" s="71"/>
      <c r="AY313" s="71"/>
    </row>
    <row r="314" spans="2:51" ht="15.75" customHeight="1" x14ac:dyDescent="0.3"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  <c r="AL314" s="71"/>
      <c r="AM314" s="71"/>
      <c r="AN314" s="71"/>
      <c r="AO314" s="71"/>
      <c r="AP314" s="71"/>
      <c r="AQ314" s="71"/>
      <c r="AR314" s="71"/>
      <c r="AS314" s="71"/>
      <c r="AT314" s="71"/>
      <c r="AU314" s="71"/>
      <c r="AV314" s="71"/>
      <c r="AW314" s="71"/>
      <c r="AX314" s="71"/>
      <c r="AY314" s="71"/>
    </row>
    <row r="315" spans="2:51" ht="15.75" customHeight="1" x14ac:dyDescent="0.3"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  <c r="AR315" s="71"/>
      <c r="AS315" s="71"/>
      <c r="AT315" s="71"/>
      <c r="AU315" s="71"/>
      <c r="AV315" s="71"/>
      <c r="AW315" s="71"/>
      <c r="AX315" s="71"/>
      <c r="AY315" s="71"/>
    </row>
    <row r="316" spans="2:51" ht="15.75" customHeight="1" x14ac:dyDescent="0.3"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1"/>
      <c r="AL316" s="71"/>
      <c r="AM316" s="71"/>
      <c r="AN316" s="71"/>
      <c r="AO316" s="71"/>
      <c r="AP316" s="71"/>
      <c r="AQ316" s="71"/>
      <c r="AR316" s="71"/>
      <c r="AS316" s="71"/>
      <c r="AT316" s="71"/>
      <c r="AU316" s="71"/>
      <c r="AV316" s="71"/>
      <c r="AW316" s="71"/>
      <c r="AX316" s="71"/>
      <c r="AY316" s="71"/>
    </row>
    <row r="317" spans="2:51" ht="15.75" customHeight="1" x14ac:dyDescent="0.3"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1"/>
      <c r="AL317" s="71"/>
      <c r="AM317" s="71"/>
      <c r="AN317" s="71"/>
      <c r="AO317" s="71"/>
      <c r="AP317" s="71"/>
      <c r="AQ317" s="71"/>
      <c r="AR317" s="71"/>
      <c r="AS317" s="71"/>
      <c r="AT317" s="71"/>
      <c r="AU317" s="71"/>
      <c r="AV317" s="71"/>
      <c r="AW317" s="71"/>
      <c r="AX317" s="71"/>
      <c r="AY317" s="71"/>
    </row>
    <row r="318" spans="2:51" ht="15.75" customHeight="1" x14ac:dyDescent="0.3"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1"/>
      <c r="AL318" s="71"/>
      <c r="AM318" s="71"/>
      <c r="AN318" s="71"/>
      <c r="AO318" s="71"/>
      <c r="AP318" s="71"/>
      <c r="AQ318" s="71"/>
      <c r="AR318" s="71"/>
      <c r="AS318" s="71"/>
      <c r="AT318" s="71"/>
      <c r="AU318" s="71"/>
      <c r="AV318" s="71"/>
      <c r="AW318" s="71"/>
      <c r="AX318" s="71"/>
      <c r="AY318" s="71"/>
    </row>
    <row r="319" spans="2:51" ht="15.75" customHeight="1" x14ac:dyDescent="0.3"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71"/>
      <c r="AK319" s="71"/>
      <c r="AL319" s="71"/>
      <c r="AM319" s="71"/>
      <c r="AN319" s="71"/>
      <c r="AO319" s="71"/>
      <c r="AP319" s="71"/>
      <c r="AQ319" s="71"/>
      <c r="AR319" s="71"/>
      <c r="AS319" s="71"/>
      <c r="AT319" s="71"/>
      <c r="AU319" s="71"/>
      <c r="AV319" s="71"/>
      <c r="AW319" s="71"/>
      <c r="AX319" s="71"/>
      <c r="AY319" s="71"/>
    </row>
    <row r="320" spans="2:51" ht="15.75" customHeight="1" x14ac:dyDescent="0.3"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1"/>
      <c r="AL320" s="71"/>
      <c r="AM320" s="71"/>
      <c r="AN320" s="71"/>
      <c r="AO320" s="71"/>
      <c r="AP320" s="71"/>
      <c r="AQ320" s="71"/>
      <c r="AR320" s="71"/>
      <c r="AS320" s="71"/>
      <c r="AT320" s="71"/>
      <c r="AU320" s="71"/>
      <c r="AV320" s="71"/>
      <c r="AW320" s="71"/>
      <c r="AX320" s="71"/>
      <c r="AY320" s="71"/>
    </row>
    <row r="321" spans="2:51" ht="15.75" customHeight="1" x14ac:dyDescent="0.3"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1"/>
      <c r="AL321" s="71"/>
      <c r="AM321" s="71"/>
      <c r="AN321" s="71"/>
      <c r="AO321" s="71"/>
      <c r="AP321" s="71"/>
      <c r="AQ321" s="71"/>
      <c r="AR321" s="71"/>
      <c r="AS321" s="71"/>
      <c r="AT321" s="71"/>
      <c r="AU321" s="71"/>
      <c r="AV321" s="71"/>
      <c r="AW321" s="71"/>
      <c r="AX321" s="71"/>
      <c r="AY321" s="71"/>
    </row>
    <row r="322" spans="2:51" ht="15.75" customHeight="1" x14ac:dyDescent="0.3"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  <c r="AL322" s="71"/>
      <c r="AM322" s="71"/>
      <c r="AN322" s="71"/>
      <c r="AO322" s="71"/>
      <c r="AP322" s="71"/>
      <c r="AQ322" s="71"/>
      <c r="AR322" s="71"/>
      <c r="AS322" s="71"/>
      <c r="AT322" s="71"/>
      <c r="AU322" s="71"/>
      <c r="AV322" s="71"/>
      <c r="AW322" s="71"/>
      <c r="AX322" s="71"/>
      <c r="AY322" s="71"/>
    </row>
    <row r="323" spans="2:51" ht="15.75" customHeight="1" x14ac:dyDescent="0.3"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71"/>
      <c r="AK323" s="71"/>
      <c r="AL323" s="71"/>
      <c r="AM323" s="71"/>
      <c r="AN323" s="71"/>
      <c r="AO323" s="71"/>
      <c r="AP323" s="71"/>
      <c r="AQ323" s="71"/>
      <c r="AR323" s="71"/>
      <c r="AS323" s="71"/>
      <c r="AT323" s="71"/>
      <c r="AU323" s="71"/>
      <c r="AV323" s="71"/>
      <c r="AW323" s="71"/>
      <c r="AX323" s="71"/>
      <c r="AY323" s="71"/>
    </row>
    <row r="324" spans="2:51" ht="15.75" customHeight="1" x14ac:dyDescent="0.3"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71"/>
      <c r="AK324" s="71"/>
      <c r="AL324" s="71"/>
      <c r="AM324" s="71"/>
      <c r="AN324" s="71"/>
      <c r="AO324" s="71"/>
      <c r="AP324" s="71"/>
      <c r="AQ324" s="71"/>
      <c r="AR324" s="71"/>
      <c r="AS324" s="71"/>
      <c r="AT324" s="71"/>
      <c r="AU324" s="71"/>
      <c r="AV324" s="71"/>
      <c r="AW324" s="71"/>
      <c r="AX324" s="71"/>
      <c r="AY324" s="71"/>
    </row>
    <row r="325" spans="2:51" ht="15.75" customHeight="1" x14ac:dyDescent="0.3"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71"/>
      <c r="AK325" s="71"/>
      <c r="AL325" s="71"/>
      <c r="AM325" s="71"/>
      <c r="AN325" s="71"/>
      <c r="AO325" s="71"/>
      <c r="AP325" s="71"/>
      <c r="AQ325" s="71"/>
      <c r="AR325" s="71"/>
      <c r="AS325" s="71"/>
      <c r="AT325" s="71"/>
      <c r="AU325" s="71"/>
      <c r="AV325" s="71"/>
      <c r="AW325" s="71"/>
      <c r="AX325" s="71"/>
      <c r="AY325" s="71"/>
    </row>
    <row r="326" spans="2:51" ht="15.75" customHeight="1" x14ac:dyDescent="0.3"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71"/>
      <c r="AK326" s="71"/>
      <c r="AL326" s="71"/>
      <c r="AM326" s="71"/>
      <c r="AN326" s="71"/>
      <c r="AO326" s="71"/>
      <c r="AP326" s="71"/>
      <c r="AQ326" s="71"/>
      <c r="AR326" s="71"/>
      <c r="AS326" s="71"/>
      <c r="AT326" s="71"/>
      <c r="AU326" s="71"/>
      <c r="AV326" s="71"/>
      <c r="AW326" s="71"/>
      <c r="AX326" s="71"/>
      <c r="AY326" s="71"/>
    </row>
    <row r="327" spans="2:51" ht="15.75" customHeight="1" x14ac:dyDescent="0.3"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71"/>
      <c r="AJ327" s="71"/>
      <c r="AK327" s="71"/>
      <c r="AL327" s="71"/>
      <c r="AM327" s="71"/>
      <c r="AN327" s="71"/>
      <c r="AO327" s="71"/>
      <c r="AP327" s="71"/>
      <c r="AQ327" s="71"/>
      <c r="AR327" s="71"/>
      <c r="AS327" s="71"/>
      <c r="AT327" s="71"/>
      <c r="AU327" s="71"/>
      <c r="AV327" s="71"/>
      <c r="AW327" s="71"/>
      <c r="AX327" s="71"/>
      <c r="AY327" s="71"/>
    </row>
    <row r="328" spans="2:51" ht="15.75" customHeight="1" x14ac:dyDescent="0.3"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71"/>
      <c r="AJ328" s="71"/>
      <c r="AK328" s="71"/>
      <c r="AL328" s="71"/>
      <c r="AM328" s="71"/>
      <c r="AN328" s="71"/>
      <c r="AO328" s="71"/>
      <c r="AP328" s="71"/>
      <c r="AQ328" s="71"/>
      <c r="AR328" s="71"/>
      <c r="AS328" s="71"/>
      <c r="AT328" s="71"/>
      <c r="AU328" s="71"/>
      <c r="AV328" s="71"/>
      <c r="AW328" s="71"/>
      <c r="AX328" s="71"/>
      <c r="AY328" s="71"/>
    </row>
    <row r="329" spans="2:51" ht="15.75" customHeight="1" x14ac:dyDescent="0.3"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71"/>
      <c r="AJ329" s="71"/>
      <c r="AK329" s="71"/>
      <c r="AL329" s="71"/>
      <c r="AM329" s="71"/>
      <c r="AN329" s="71"/>
      <c r="AO329" s="71"/>
      <c r="AP329" s="71"/>
      <c r="AQ329" s="71"/>
      <c r="AR329" s="71"/>
      <c r="AS329" s="71"/>
      <c r="AT329" s="71"/>
      <c r="AU329" s="71"/>
      <c r="AV329" s="71"/>
      <c r="AW329" s="71"/>
      <c r="AX329" s="71"/>
      <c r="AY329" s="71"/>
    </row>
    <row r="330" spans="2:51" ht="15.75" customHeight="1" x14ac:dyDescent="0.3"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71"/>
      <c r="AK330" s="71"/>
      <c r="AL330" s="71"/>
      <c r="AM330" s="71"/>
      <c r="AN330" s="71"/>
      <c r="AO330" s="71"/>
      <c r="AP330" s="71"/>
      <c r="AQ330" s="71"/>
      <c r="AR330" s="71"/>
      <c r="AS330" s="71"/>
      <c r="AT330" s="71"/>
      <c r="AU330" s="71"/>
      <c r="AV330" s="71"/>
      <c r="AW330" s="71"/>
      <c r="AX330" s="71"/>
      <c r="AY330" s="71"/>
    </row>
    <row r="331" spans="2:51" ht="15.75" customHeight="1" x14ac:dyDescent="0.3"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1"/>
      <c r="AL331" s="71"/>
      <c r="AM331" s="71"/>
      <c r="AN331" s="71"/>
      <c r="AO331" s="71"/>
      <c r="AP331" s="71"/>
      <c r="AQ331" s="71"/>
      <c r="AR331" s="71"/>
      <c r="AS331" s="71"/>
      <c r="AT331" s="71"/>
      <c r="AU331" s="71"/>
      <c r="AV331" s="71"/>
      <c r="AW331" s="71"/>
      <c r="AX331" s="71"/>
      <c r="AY331" s="71"/>
    </row>
    <row r="332" spans="2:51" ht="15.75" customHeight="1" x14ac:dyDescent="0.3"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71"/>
      <c r="AJ332" s="71"/>
      <c r="AK332" s="71"/>
      <c r="AL332" s="71"/>
      <c r="AM332" s="71"/>
      <c r="AN332" s="71"/>
      <c r="AO332" s="71"/>
      <c r="AP332" s="71"/>
      <c r="AQ332" s="71"/>
      <c r="AR332" s="71"/>
      <c r="AS332" s="71"/>
      <c r="AT332" s="71"/>
      <c r="AU332" s="71"/>
      <c r="AV332" s="71"/>
      <c r="AW332" s="71"/>
      <c r="AX332" s="71"/>
      <c r="AY332" s="71"/>
    </row>
    <row r="333" spans="2:51" ht="15.75" customHeight="1" x14ac:dyDescent="0.3"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71"/>
      <c r="AJ333" s="71"/>
      <c r="AK333" s="71"/>
      <c r="AL333" s="71"/>
      <c r="AM333" s="71"/>
      <c r="AN333" s="71"/>
      <c r="AO333" s="71"/>
      <c r="AP333" s="71"/>
      <c r="AQ333" s="71"/>
      <c r="AR333" s="71"/>
      <c r="AS333" s="71"/>
      <c r="AT333" s="71"/>
      <c r="AU333" s="71"/>
      <c r="AV333" s="71"/>
      <c r="AW333" s="71"/>
      <c r="AX333" s="71"/>
      <c r="AY333" s="71"/>
    </row>
    <row r="334" spans="2:51" ht="15.75" customHeight="1" x14ac:dyDescent="0.3"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71"/>
      <c r="AK334" s="71"/>
      <c r="AL334" s="71"/>
      <c r="AM334" s="71"/>
      <c r="AN334" s="71"/>
      <c r="AO334" s="71"/>
      <c r="AP334" s="71"/>
      <c r="AQ334" s="71"/>
      <c r="AR334" s="71"/>
      <c r="AS334" s="71"/>
      <c r="AT334" s="71"/>
      <c r="AU334" s="71"/>
      <c r="AV334" s="71"/>
      <c r="AW334" s="71"/>
      <c r="AX334" s="71"/>
      <c r="AY334" s="71"/>
    </row>
    <row r="335" spans="2:51" ht="15.75" customHeight="1" x14ac:dyDescent="0.3"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71"/>
      <c r="AJ335" s="71"/>
      <c r="AK335" s="71"/>
      <c r="AL335" s="71"/>
      <c r="AM335" s="71"/>
      <c r="AN335" s="71"/>
      <c r="AO335" s="71"/>
      <c r="AP335" s="71"/>
      <c r="AQ335" s="71"/>
      <c r="AR335" s="71"/>
      <c r="AS335" s="71"/>
      <c r="AT335" s="71"/>
      <c r="AU335" s="71"/>
      <c r="AV335" s="71"/>
      <c r="AW335" s="71"/>
      <c r="AX335" s="71"/>
      <c r="AY335" s="71"/>
    </row>
    <row r="336" spans="2:51" ht="15.75" customHeight="1" x14ac:dyDescent="0.3"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  <c r="AR336" s="71"/>
      <c r="AS336" s="71"/>
      <c r="AT336" s="71"/>
      <c r="AU336" s="71"/>
      <c r="AV336" s="71"/>
      <c r="AW336" s="71"/>
      <c r="AX336" s="71"/>
      <c r="AY336" s="71"/>
    </row>
    <row r="337" spans="2:51" ht="15.75" customHeight="1" x14ac:dyDescent="0.3"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71"/>
      <c r="AK337" s="71"/>
      <c r="AL337" s="71"/>
      <c r="AM337" s="71"/>
      <c r="AN337" s="71"/>
      <c r="AO337" s="71"/>
      <c r="AP337" s="71"/>
      <c r="AQ337" s="71"/>
      <c r="AR337" s="71"/>
      <c r="AS337" s="71"/>
      <c r="AT337" s="71"/>
      <c r="AU337" s="71"/>
      <c r="AV337" s="71"/>
      <c r="AW337" s="71"/>
      <c r="AX337" s="71"/>
      <c r="AY337" s="71"/>
    </row>
    <row r="338" spans="2:51" ht="15.75" customHeight="1" x14ac:dyDescent="0.3"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1"/>
      <c r="AL338" s="71"/>
      <c r="AM338" s="71"/>
      <c r="AN338" s="71"/>
      <c r="AO338" s="71"/>
      <c r="AP338" s="71"/>
      <c r="AQ338" s="71"/>
      <c r="AR338" s="71"/>
      <c r="AS338" s="71"/>
      <c r="AT338" s="71"/>
      <c r="AU338" s="71"/>
      <c r="AV338" s="71"/>
      <c r="AW338" s="71"/>
      <c r="AX338" s="71"/>
      <c r="AY338" s="71"/>
    </row>
    <row r="339" spans="2:51" ht="15.75" customHeight="1" x14ac:dyDescent="0.3"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71"/>
      <c r="AK339" s="71"/>
      <c r="AL339" s="71"/>
      <c r="AM339" s="71"/>
      <c r="AN339" s="71"/>
      <c r="AO339" s="71"/>
      <c r="AP339" s="71"/>
      <c r="AQ339" s="71"/>
      <c r="AR339" s="71"/>
      <c r="AS339" s="71"/>
      <c r="AT339" s="71"/>
      <c r="AU339" s="71"/>
      <c r="AV339" s="71"/>
      <c r="AW339" s="71"/>
      <c r="AX339" s="71"/>
      <c r="AY339" s="71"/>
    </row>
    <row r="340" spans="2:51" ht="15.75" customHeight="1" x14ac:dyDescent="0.3"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71"/>
      <c r="AJ340" s="71"/>
      <c r="AK340" s="71"/>
      <c r="AL340" s="71"/>
      <c r="AM340" s="71"/>
      <c r="AN340" s="71"/>
      <c r="AO340" s="71"/>
      <c r="AP340" s="71"/>
      <c r="AQ340" s="71"/>
      <c r="AR340" s="71"/>
      <c r="AS340" s="71"/>
      <c r="AT340" s="71"/>
      <c r="AU340" s="71"/>
      <c r="AV340" s="71"/>
      <c r="AW340" s="71"/>
      <c r="AX340" s="71"/>
      <c r="AY340" s="71"/>
    </row>
    <row r="341" spans="2:51" ht="15.75" customHeight="1" x14ac:dyDescent="0.3"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71"/>
      <c r="AK341" s="71"/>
      <c r="AL341" s="71"/>
      <c r="AM341" s="71"/>
      <c r="AN341" s="71"/>
      <c r="AO341" s="71"/>
      <c r="AP341" s="71"/>
      <c r="AQ341" s="71"/>
      <c r="AR341" s="71"/>
      <c r="AS341" s="71"/>
      <c r="AT341" s="71"/>
      <c r="AU341" s="71"/>
      <c r="AV341" s="71"/>
      <c r="AW341" s="71"/>
      <c r="AX341" s="71"/>
      <c r="AY341" s="71"/>
    </row>
    <row r="342" spans="2:51" ht="15.75" customHeight="1" x14ac:dyDescent="0.3"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71"/>
      <c r="AK342" s="71"/>
      <c r="AL342" s="71"/>
      <c r="AM342" s="71"/>
      <c r="AN342" s="71"/>
      <c r="AO342" s="71"/>
      <c r="AP342" s="71"/>
      <c r="AQ342" s="71"/>
      <c r="AR342" s="71"/>
      <c r="AS342" s="71"/>
      <c r="AT342" s="71"/>
      <c r="AU342" s="71"/>
      <c r="AV342" s="71"/>
      <c r="AW342" s="71"/>
      <c r="AX342" s="71"/>
      <c r="AY342" s="71"/>
    </row>
    <row r="343" spans="2:51" ht="15.75" customHeight="1" x14ac:dyDescent="0.3"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1"/>
      <c r="AK343" s="71"/>
      <c r="AL343" s="71"/>
      <c r="AM343" s="71"/>
      <c r="AN343" s="71"/>
      <c r="AO343" s="71"/>
      <c r="AP343" s="71"/>
      <c r="AQ343" s="71"/>
      <c r="AR343" s="71"/>
      <c r="AS343" s="71"/>
      <c r="AT343" s="71"/>
      <c r="AU343" s="71"/>
      <c r="AV343" s="71"/>
      <c r="AW343" s="71"/>
      <c r="AX343" s="71"/>
      <c r="AY343" s="71"/>
    </row>
    <row r="344" spans="2:51" ht="15.75" customHeight="1" x14ac:dyDescent="0.3"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71"/>
      <c r="AK344" s="71"/>
      <c r="AL344" s="71"/>
      <c r="AM344" s="71"/>
      <c r="AN344" s="71"/>
      <c r="AO344" s="71"/>
      <c r="AP344" s="71"/>
      <c r="AQ344" s="71"/>
      <c r="AR344" s="71"/>
      <c r="AS344" s="71"/>
      <c r="AT344" s="71"/>
      <c r="AU344" s="71"/>
      <c r="AV344" s="71"/>
      <c r="AW344" s="71"/>
      <c r="AX344" s="71"/>
      <c r="AY344" s="71"/>
    </row>
    <row r="345" spans="2:51" ht="15.75" customHeight="1" x14ac:dyDescent="0.3"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71"/>
      <c r="AJ345" s="71"/>
      <c r="AK345" s="71"/>
      <c r="AL345" s="71"/>
      <c r="AM345" s="71"/>
      <c r="AN345" s="71"/>
      <c r="AO345" s="71"/>
      <c r="AP345" s="71"/>
      <c r="AQ345" s="71"/>
      <c r="AR345" s="71"/>
      <c r="AS345" s="71"/>
      <c r="AT345" s="71"/>
      <c r="AU345" s="71"/>
      <c r="AV345" s="71"/>
      <c r="AW345" s="71"/>
      <c r="AX345" s="71"/>
      <c r="AY345" s="71"/>
    </row>
    <row r="346" spans="2:51" ht="15.75" customHeight="1" x14ac:dyDescent="0.3"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71"/>
      <c r="AK346" s="71"/>
      <c r="AL346" s="71"/>
      <c r="AM346" s="71"/>
      <c r="AN346" s="71"/>
      <c r="AO346" s="71"/>
      <c r="AP346" s="71"/>
      <c r="AQ346" s="71"/>
      <c r="AR346" s="71"/>
      <c r="AS346" s="71"/>
      <c r="AT346" s="71"/>
      <c r="AU346" s="71"/>
      <c r="AV346" s="71"/>
      <c r="AW346" s="71"/>
      <c r="AX346" s="71"/>
      <c r="AY346" s="71"/>
    </row>
    <row r="347" spans="2:51" ht="15.75" customHeight="1" x14ac:dyDescent="0.3"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71"/>
      <c r="AK347" s="71"/>
      <c r="AL347" s="71"/>
      <c r="AM347" s="71"/>
      <c r="AN347" s="71"/>
      <c r="AO347" s="71"/>
      <c r="AP347" s="71"/>
      <c r="AQ347" s="71"/>
      <c r="AR347" s="71"/>
      <c r="AS347" s="71"/>
      <c r="AT347" s="71"/>
      <c r="AU347" s="71"/>
      <c r="AV347" s="71"/>
      <c r="AW347" s="71"/>
      <c r="AX347" s="71"/>
      <c r="AY347" s="71"/>
    </row>
    <row r="348" spans="2:51" ht="15.75" customHeight="1" x14ac:dyDescent="0.3"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1"/>
      <c r="AL348" s="71"/>
      <c r="AM348" s="71"/>
      <c r="AN348" s="71"/>
      <c r="AO348" s="71"/>
      <c r="AP348" s="71"/>
      <c r="AQ348" s="71"/>
      <c r="AR348" s="71"/>
      <c r="AS348" s="71"/>
      <c r="AT348" s="71"/>
      <c r="AU348" s="71"/>
      <c r="AV348" s="71"/>
      <c r="AW348" s="71"/>
      <c r="AX348" s="71"/>
      <c r="AY348" s="71"/>
    </row>
    <row r="349" spans="2:51" ht="15.75" customHeight="1" x14ac:dyDescent="0.3"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  <c r="AK349" s="71"/>
      <c r="AL349" s="71"/>
      <c r="AM349" s="71"/>
      <c r="AN349" s="71"/>
      <c r="AO349" s="71"/>
      <c r="AP349" s="71"/>
      <c r="AQ349" s="71"/>
      <c r="AR349" s="71"/>
      <c r="AS349" s="71"/>
      <c r="AT349" s="71"/>
      <c r="AU349" s="71"/>
      <c r="AV349" s="71"/>
      <c r="AW349" s="71"/>
      <c r="AX349" s="71"/>
      <c r="AY349" s="71"/>
    </row>
    <row r="350" spans="2:51" ht="15.75" customHeight="1" x14ac:dyDescent="0.3"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1"/>
      <c r="AL350" s="71"/>
      <c r="AM350" s="71"/>
      <c r="AN350" s="71"/>
      <c r="AO350" s="71"/>
      <c r="AP350" s="71"/>
      <c r="AQ350" s="71"/>
      <c r="AR350" s="71"/>
      <c r="AS350" s="71"/>
      <c r="AT350" s="71"/>
      <c r="AU350" s="71"/>
      <c r="AV350" s="71"/>
      <c r="AW350" s="71"/>
      <c r="AX350" s="71"/>
      <c r="AY350" s="71"/>
    </row>
    <row r="351" spans="2:51" ht="15.75" customHeight="1" x14ac:dyDescent="0.3"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  <c r="AK351" s="71"/>
      <c r="AL351" s="71"/>
      <c r="AM351" s="71"/>
      <c r="AN351" s="71"/>
      <c r="AO351" s="71"/>
      <c r="AP351" s="71"/>
      <c r="AQ351" s="71"/>
      <c r="AR351" s="71"/>
      <c r="AS351" s="71"/>
      <c r="AT351" s="71"/>
      <c r="AU351" s="71"/>
      <c r="AV351" s="71"/>
      <c r="AW351" s="71"/>
      <c r="AX351" s="71"/>
      <c r="AY351" s="71"/>
    </row>
    <row r="352" spans="2:51" ht="15.75" customHeight="1" x14ac:dyDescent="0.3"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71"/>
      <c r="AK352" s="71"/>
      <c r="AL352" s="71"/>
      <c r="AM352" s="71"/>
      <c r="AN352" s="71"/>
      <c r="AO352" s="71"/>
      <c r="AP352" s="71"/>
      <c r="AQ352" s="71"/>
      <c r="AR352" s="71"/>
      <c r="AS352" s="71"/>
      <c r="AT352" s="71"/>
      <c r="AU352" s="71"/>
      <c r="AV352" s="71"/>
      <c r="AW352" s="71"/>
      <c r="AX352" s="71"/>
      <c r="AY352" s="71"/>
    </row>
    <row r="353" spans="2:51" ht="15.75" customHeight="1" x14ac:dyDescent="0.3"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71"/>
      <c r="AK353" s="71"/>
      <c r="AL353" s="71"/>
      <c r="AM353" s="71"/>
      <c r="AN353" s="71"/>
      <c r="AO353" s="71"/>
      <c r="AP353" s="71"/>
      <c r="AQ353" s="71"/>
      <c r="AR353" s="71"/>
      <c r="AS353" s="71"/>
      <c r="AT353" s="71"/>
      <c r="AU353" s="71"/>
      <c r="AV353" s="71"/>
      <c r="AW353" s="71"/>
      <c r="AX353" s="71"/>
      <c r="AY353" s="71"/>
    </row>
    <row r="354" spans="2:51" ht="15.75" customHeight="1" x14ac:dyDescent="0.3"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1"/>
      <c r="AL354" s="71"/>
      <c r="AM354" s="71"/>
      <c r="AN354" s="71"/>
      <c r="AO354" s="71"/>
      <c r="AP354" s="71"/>
      <c r="AQ354" s="71"/>
      <c r="AR354" s="71"/>
      <c r="AS354" s="71"/>
      <c r="AT354" s="71"/>
      <c r="AU354" s="71"/>
      <c r="AV354" s="71"/>
      <c r="AW354" s="71"/>
      <c r="AX354" s="71"/>
      <c r="AY354" s="71"/>
    </row>
    <row r="355" spans="2:51" ht="15.75" customHeight="1" x14ac:dyDescent="0.3"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71"/>
      <c r="AK355" s="71"/>
      <c r="AL355" s="71"/>
      <c r="AM355" s="71"/>
      <c r="AN355" s="71"/>
      <c r="AO355" s="71"/>
      <c r="AP355" s="71"/>
      <c r="AQ355" s="71"/>
      <c r="AR355" s="71"/>
      <c r="AS355" s="71"/>
      <c r="AT355" s="71"/>
      <c r="AU355" s="71"/>
      <c r="AV355" s="71"/>
      <c r="AW355" s="71"/>
      <c r="AX355" s="71"/>
      <c r="AY355" s="71"/>
    </row>
    <row r="356" spans="2:51" ht="15.75" customHeight="1" x14ac:dyDescent="0.3"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71"/>
      <c r="AJ356" s="71"/>
      <c r="AK356" s="71"/>
      <c r="AL356" s="71"/>
      <c r="AM356" s="71"/>
      <c r="AN356" s="71"/>
      <c r="AO356" s="71"/>
      <c r="AP356" s="71"/>
      <c r="AQ356" s="71"/>
      <c r="AR356" s="71"/>
      <c r="AS356" s="71"/>
      <c r="AT356" s="71"/>
      <c r="AU356" s="71"/>
      <c r="AV356" s="71"/>
      <c r="AW356" s="71"/>
      <c r="AX356" s="71"/>
      <c r="AY356" s="71"/>
    </row>
    <row r="357" spans="2:51" ht="15.75" customHeight="1" x14ac:dyDescent="0.3"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71"/>
      <c r="AK357" s="71"/>
      <c r="AL357" s="71"/>
      <c r="AM357" s="71"/>
      <c r="AN357" s="71"/>
      <c r="AO357" s="71"/>
      <c r="AP357" s="71"/>
      <c r="AQ357" s="71"/>
      <c r="AR357" s="71"/>
      <c r="AS357" s="71"/>
      <c r="AT357" s="71"/>
      <c r="AU357" s="71"/>
      <c r="AV357" s="71"/>
      <c r="AW357" s="71"/>
      <c r="AX357" s="71"/>
      <c r="AY357" s="71"/>
    </row>
    <row r="358" spans="2:51" ht="15.75" customHeight="1" x14ac:dyDescent="0.3"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1"/>
      <c r="AL358" s="71"/>
      <c r="AM358" s="71"/>
      <c r="AN358" s="71"/>
      <c r="AO358" s="71"/>
      <c r="AP358" s="71"/>
      <c r="AQ358" s="71"/>
      <c r="AR358" s="71"/>
      <c r="AS358" s="71"/>
      <c r="AT358" s="71"/>
      <c r="AU358" s="71"/>
      <c r="AV358" s="71"/>
      <c r="AW358" s="71"/>
      <c r="AX358" s="71"/>
      <c r="AY358" s="71"/>
    </row>
    <row r="359" spans="2:51" ht="15.75" customHeight="1" x14ac:dyDescent="0.3"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71"/>
      <c r="AK359" s="71"/>
      <c r="AL359" s="71"/>
      <c r="AM359" s="71"/>
      <c r="AN359" s="71"/>
      <c r="AO359" s="71"/>
      <c r="AP359" s="71"/>
      <c r="AQ359" s="71"/>
      <c r="AR359" s="71"/>
      <c r="AS359" s="71"/>
      <c r="AT359" s="71"/>
      <c r="AU359" s="71"/>
      <c r="AV359" s="71"/>
      <c r="AW359" s="71"/>
      <c r="AX359" s="71"/>
      <c r="AY359" s="71"/>
    </row>
    <row r="360" spans="2:51" ht="15.75" customHeight="1" x14ac:dyDescent="0.3"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71"/>
      <c r="AJ360" s="71"/>
      <c r="AK360" s="71"/>
      <c r="AL360" s="71"/>
      <c r="AM360" s="71"/>
      <c r="AN360" s="71"/>
      <c r="AO360" s="71"/>
      <c r="AP360" s="71"/>
      <c r="AQ360" s="71"/>
      <c r="AR360" s="71"/>
      <c r="AS360" s="71"/>
      <c r="AT360" s="71"/>
      <c r="AU360" s="71"/>
      <c r="AV360" s="71"/>
      <c r="AW360" s="71"/>
      <c r="AX360" s="71"/>
      <c r="AY360" s="71"/>
    </row>
    <row r="361" spans="2:51" ht="15.75" customHeight="1" x14ac:dyDescent="0.3"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  <c r="AL361" s="71"/>
      <c r="AM361" s="71"/>
      <c r="AN361" s="71"/>
      <c r="AO361" s="71"/>
      <c r="AP361" s="71"/>
      <c r="AQ361" s="71"/>
      <c r="AR361" s="71"/>
      <c r="AS361" s="71"/>
      <c r="AT361" s="71"/>
      <c r="AU361" s="71"/>
      <c r="AV361" s="71"/>
      <c r="AW361" s="71"/>
      <c r="AX361" s="71"/>
      <c r="AY361" s="71"/>
    </row>
    <row r="362" spans="2:51" ht="15.75" customHeight="1" x14ac:dyDescent="0.3"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1"/>
      <c r="AL362" s="71"/>
      <c r="AM362" s="71"/>
      <c r="AN362" s="71"/>
      <c r="AO362" s="71"/>
      <c r="AP362" s="71"/>
      <c r="AQ362" s="71"/>
      <c r="AR362" s="71"/>
      <c r="AS362" s="71"/>
      <c r="AT362" s="71"/>
      <c r="AU362" s="71"/>
      <c r="AV362" s="71"/>
      <c r="AW362" s="71"/>
      <c r="AX362" s="71"/>
      <c r="AY362" s="71"/>
    </row>
    <row r="363" spans="2:51" ht="15.75" customHeight="1" x14ac:dyDescent="0.3"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71"/>
      <c r="AK363" s="71"/>
      <c r="AL363" s="71"/>
      <c r="AM363" s="71"/>
      <c r="AN363" s="71"/>
      <c r="AO363" s="71"/>
      <c r="AP363" s="71"/>
      <c r="AQ363" s="71"/>
      <c r="AR363" s="71"/>
      <c r="AS363" s="71"/>
      <c r="AT363" s="71"/>
      <c r="AU363" s="71"/>
      <c r="AV363" s="71"/>
      <c r="AW363" s="71"/>
      <c r="AX363" s="71"/>
      <c r="AY363" s="71"/>
    </row>
    <row r="364" spans="2:51" ht="15.75" customHeight="1" x14ac:dyDescent="0.3"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71"/>
      <c r="AK364" s="71"/>
      <c r="AL364" s="71"/>
      <c r="AM364" s="71"/>
      <c r="AN364" s="71"/>
      <c r="AO364" s="71"/>
      <c r="AP364" s="71"/>
      <c r="AQ364" s="71"/>
      <c r="AR364" s="71"/>
      <c r="AS364" s="71"/>
      <c r="AT364" s="71"/>
      <c r="AU364" s="71"/>
      <c r="AV364" s="71"/>
      <c r="AW364" s="71"/>
      <c r="AX364" s="71"/>
      <c r="AY364" s="71"/>
    </row>
    <row r="365" spans="2:51" ht="15.75" customHeight="1" x14ac:dyDescent="0.3"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71"/>
      <c r="AJ365" s="71"/>
      <c r="AK365" s="71"/>
      <c r="AL365" s="71"/>
      <c r="AM365" s="71"/>
      <c r="AN365" s="71"/>
      <c r="AO365" s="71"/>
      <c r="AP365" s="71"/>
      <c r="AQ365" s="71"/>
      <c r="AR365" s="71"/>
      <c r="AS365" s="71"/>
      <c r="AT365" s="71"/>
      <c r="AU365" s="71"/>
      <c r="AV365" s="71"/>
      <c r="AW365" s="71"/>
      <c r="AX365" s="71"/>
      <c r="AY365" s="71"/>
    </row>
    <row r="366" spans="2:51" ht="15.75" customHeight="1" x14ac:dyDescent="0.3"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  <c r="AO366" s="71"/>
      <c r="AP366" s="71"/>
      <c r="AQ366" s="71"/>
      <c r="AR366" s="71"/>
      <c r="AS366" s="71"/>
      <c r="AT366" s="71"/>
      <c r="AU366" s="71"/>
      <c r="AV366" s="71"/>
      <c r="AW366" s="71"/>
      <c r="AX366" s="71"/>
      <c r="AY366" s="71"/>
    </row>
    <row r="367" spans="2:51" ht="15.75" customHeight="1" x14ac:dyDescent="0.3"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  <c r="AO367" s="71"/>
      <c r="AP367" s="71"/>
      <c r="AQ367" s="71"/>
      <c r="AR367" s="71"/>
      <c r="AS367" s="71"/>
      <c r="AT367" s="71"/>
      <c r="AU367" s="71"/>
      <c r="AV367" s="71"/>
      <c r="AW367" s="71"/>
      <c r="AX367" s="71"/>
      <c r="AY367" s="71"/>
    </row>
    <row r="368" spans="2:51" ht="15.75" customHeight="1" x14ac:dyDescent="0.3"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71"/>
      <c r="AJ368" s="71"/>
      <c r="AK368" s="71"/>
      <c r="AL368" s="71"/>
      <c r="AM368" s="71"/>
      <c r="AN368" s="71"/>
      <c r="AO368" s="71"/>
      <c r="AP368" s="71"/>
      <c r="AQ368" s="71"/>
      <c r="AR368" s="71"/>
      <c r="AS368" s="71"/>
      <c r="AT368" s="71"/>
      <c r="AU368" s="71"/>
      <c r="AV368" s="71"/>
      <c r="AW368" s="71"/>
      <c r="AX368" s="71"/>
      <c r="AY368" s="71"/>
    </row>
    <row r="369" spans="2:51" ht="15.75" customHeight="1" x14ac:dyDescent="0.3"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71"/>
      <c r="AJ369" s="71"/>
      <c r="AK369" s="71"/>
      <c r="AL369" s="71"/>
      <c r="AM369" s="71"/>
      <c r="AN369" s="71"/>
      <c r="AO369" s="71"/>
      <c r="AP369" s="71"/>
      <c r="AQ369" s="71"/>
      <c r="AR369" s="71"/>
      <c r="AS369" s="71"/>
      <c r="AT369" s="71"/>
      <c r="AU369" s="71"/>
      <c r="AV369" s="71"/>
      <c r="AW369" s="71"/>
      <c r="AX369" s="71"/>
      <c r="AY369" s="71"/>
    </row>
    <row r="370" spans="2:51" ht="15.75" customHeight="1" x14ac:dyDescent="0.3"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71"/>
      <c r="AJ370" s="71"/>
      <c r="AK370" s="71"/>
      <c r="AL370" s="71"/>
      <c r="AM370" s="71"/>
      <c r="AN370" s="71"/>
      <c r="AO370" s="71"/>
      <c r="AP370" s="71"/>
      <c r="AQ370" s="71"/>
      <c r="AR370" s="71"/>
      <c r="AS370" s="71"/>
      <c r="AT370" s="71"/>
      <c r="AU370" s="71"/>
      <c r="AV370" s="71"/>
      <c r="AW370" s="71"/>
      <c r="AX370" s="71"/>
      <c r="AY370" s="71"/>
    </row>
    <row r="371" spans="2:51" ht="15.75" customHeight="1" x14ac:dyDescent="0.3"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71"/>
      <c r="AJ371" s="71"/>
      <c r="AK371" s="71"/>
      <c r="AL371" s="71"/>
      <c r="AM371" s="71"/>
      <c r="AN371" s="71"/>
      <c r="AO371" s="71"/>
      <c r="AP371" s="71"/>
      <c r="AQ371" s="71"/>
      <c r="AR371" s="71"/>
      <c r="AS371" s="71"/>
      <c r="AT371" s="71"/>
      <c r="AU371" s="71"/>
      <c r="AV371" s="71"/>
      <c r="AW371" s="71"/>
      <c r="AX371" s="71"/>
      <c r="AY371" s="71"/>
    </row>
    <row r="372" spans="2:51" ht="15.75" customHeight="1" x14ac:dyDescent="0.3"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71"/>
      <c r="AJ372" s="71"/>
      <c r="AK372" s="71"/>
      <c r="AL372" s="71"/>
      <c r="AM372" s="71"/>
      <c r="AN372" s="71"/>
      <c r="AO372" s="71"/>
      <c r="AP372" s="71"/>
      <c r="AQ372" s="71"/>
      <c r="AR372" s="71"/>
      <c r="AS372" s="71"/>
      <c r="AT372" s="71"/>
      <c r="AU372" s="71"/>
      <c r="AV372" s="71"/>
      <c r="AW372" s="71"/>
      <c r="AX372" s="71"/>
      <c r="AY372" s="71"/>
    </row>
    <row r="373" spans="2:51" ht="15.75" customHeight="1" x14ac:dyDescent="0.3"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  <c r="AP373" s="71"/>
      <c r="AQ373" s="71"/>
      <c r="AR373" s="71"/>
      <c r="AS373" s="71"/>
      <c r="AT373" s="71"/>
      <c r="AU373" s="71"/>
      <c r="AV373" s="71"/>
      <c r="AW373" s="71"/>
      <c r="AX373" s="71"/>
      <c r="AY373" s="71"/>
    </row>
    <row r="374" spans="2:51" ht="15.75" customHeight="1" x14ac:dyDescent="0.3"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  <c r="AP374" s="71"/>
      <c r="AQ374" s="71"/>
      <c r="AR374" s="71"/>
      <c r="AS374" s="71"/>
      <c r="AT374" s="71"/>
      <c r="AU374" s="71"/>
      <c r="AV374" s="71"/>
      <c r="AW374" s="71"/>
      <c r="AX374" s="71"/>
      <c r="AY374" s="71"/>
    </row>
    <row r="375" spans="2:51" ht="15.75" customHeight="1" x14ac:dyDescent="0.3"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71"/>
      <c r="AK375" s="71"/>
      <c r="AL375" s="71"/>
      <c r="AM375" s="71"/>
      <c r="AN375" s="71"/>
      <c r="AO375" s="71"/>
      <c r="AP375" s="71"/>
      <c r="AQ375" s="71"/>
      <c r="AR375" s="71"/>
      <c r="AS375" s="71"/>
      <c r="AT375" s="71"/>
      <c r="AU375" s="71"/>
      <c r="AV375" s="71"/>
      <c r="AW375" s="71"/>
      <c r="AX375" s="71"/>
      <c r="AY375" s="71"/>
    </row>
    <row r="376" spans="2:51" ht="15.75" customHeight="1" x14ac:dyDescent="0.3"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71"/>
      <c r="AK376" s="71"/>
      <c r="AL376" s="71"/>
      <c r="AM376" s="71"/>
      <c r="AN376" s="71"/>
      <c r="AO376" s="71"/>
      <c r="AP376" s="71"/>
      <c r="AQ376" s="71"/>
      <c r="AR376" s="71"/>
      <c r="AS376" s="71"/>
      <c r="AT376" s="71"/>
      <c r="AU376" s="71"/>
      <c r="AV376" s="71"/>
      <c r="AW376" s="71"/>
      <c r="AX376" s="71"/>
      <c r="AY376" s="71"/>
    </row>
    <row r="377" spans="2:51" ht="15.75" customHeight="1" x14ac:dyDescent="0.3"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71"/>
      <c r="AJ377" s="71"/>
      <c r="AK377" s="71"/>
      <c r="AL377" s="71"/>
      <c r="AM377" s="71"/>
      <c r="AN377" s="71"/>
      <c r="AO377" s="71"/>
      <c r="AP377" s="71"/>
      <c r="AQ377" s="71"/>
      <c r="AR377" s="71"/>
      <c r="AS377" s="71"/>
      <c r="AT377" s="71"/>
      <c r="AU377" s="71"/>
      <c r="AV377" s="71"/>
      <c r="AW377" s="71"/>
      <c r="AX377" s="71"/>
      <c r="AY377" s="71"/>
    </row>
    <row r="378" spans="2:51" ht="15.75" customHeight="1" x14ac:dyDescent="0.3"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71"/>
      <c r="AJ378" s="71"/>
      <c r="AK378" s="71"/>
      <c r="AL378" s="71"/>
      <c r="AM378" s="71"/>
      <c r="AN378" s="71"/>
      <c r="AO378" s="71"/>
      <c r="AP378" s="71"/>
      <c r="AQ378" s="71"/>
      <c r="AR378" s="71"/>
      <c r="AS378" s="71"/>
      <c r="AT378" s="71"/>
      <c r="AU378" s="71"/>
      <c r="AV378" s="71"/>
      <c r="AW378" s="71"/>
      <c r="AX378" s="71"/>
      <c r="AY378" s="71"/>
    </row>
    <row r="379" spans="2:51" ht="15.75" customHeight="1" x14ac:dyDescent="0.3"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  <c r="AP379" s="71"/>
      <c r="AQ379" s="71"/>
      <c r="AR379" s="71"/>
      <c r="AS379" s="71"/>
      <c r="AT379" s="71"/>
      <c r="AU379" s="71"/>
      <c r="AV379" s="71"/>
      <c r="AW379" s="71"/>
      <c r="AX379" s="71"/>
      <c r="AY379" s="71"/>
    </row>
    <row r="380" spans="2:51" ht="15.75" customHeight="1" x14ac:dyDescent="0.3"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71"/>
      <c r="AJ380" s="71"/>
      <c r="AK380" s="71"/>
      <c r="AL380" s="71"/>
      <c r="AM380" s="71"/>
      <c r="AN380" s="71"/>
      <c r="AO380" s="71"/>
      <c r="AP380" s="71"/>
      <c r="AQ380" s="71"/>
      <c r="AR380" s="71"/>
      <c r="AS380" s="71"/>
      <c r="AT380" s="71"/>
      <c r="AU380" s="71"/>
      <c r="AV380" s="71"/>
      <c r="AW380" s="71"/>
      <c r="AX380" s="71"/>
      <c r="AY380" s="71"/>
    </row>
    <row r="381" spans="2:51" ht="15.75" customHeight="1" x14ac:dyDescent="0.3"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71"/>
      <c r="AJ381" s="71"/>
      <c r="AK381" s="71"/>
      <c r="AL381" s="71"/>
      <c r="AM381" s="71"/>
      <c r="AN381" s="71"/>
      <c r="AO381" s="71"/>
      <c r="AP381" s="71"/>
      <c r="AQ381" s="71"/>
      <c r="AR381" s="71"/>
      <c r="AS381" s="71"/>
      <c r="AT381" s="71"/>
      <c r="AU381" s="71"/>
      <c r="AV381" s="71"/>
      <c r="AW381" s="71"/>
      <c r="AX381" s="71"/>
      <c r="AY381" s="71"/>
    </row>
    <row r="382" spans="2:51" ht="15.75" customHeight="1" x14ac:dyDescent="0.3"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  <c r="AP382" s="71"/>
      <c r="AQ382" s="71"/>
      <c r="AR382" s="71"/>
      <c r="AS382" s="71"/>
      <c r="AT382" s="71"/>
      <c r="AU382" s="71"/>
      <c r="AV382" s="71"/>
      <c r="AW382" s="71"/>
      <c r="AX382" s="71"/>
      <c r="AY382" s="71"/>
    </row>
    <row r="383" spans="2:51" ht="15.75" customHeight="1" x14ac:dyDescent="0.3"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  <c r="AP383" s="71"/>
      <c r="AQ383" s="71"/>
      <c r="AR383" s="71"/>
      <c r="AS383" s="71"/>
      <c r="AT383" s="71"/>
      <c r="AU383" s="71"/>
      <c r="AV383" s="71"/>
      <c r="AW383" s="71"/>
      <c r="AX383" s="71"/>
      <c r="AY383" s="71"/>
    </row>
    <row r="384" spans="2:51" ht="15.75" customHeight="1" x14ac:dyDescent="0.3"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71"/>
      <c r="AK384" s="71"/>
      <c r="AL384" s="71"/>
      <c r="AM384" s="71"/>
      <c r="AN384" s="71"/>
      <c r="AO384" s="71"/>
      <c r="AP384" s="71"/>
      <c r="AQ384" s="71"/>
      <c r="AR384" s="71"/>
      <c r="AS384" s="71"/>
      <c r="AT384" s="71"/>
      <c r="AU384" s="71"/>
      <c r="AV384" s="71"/>
      <c r="AW384" s="71"/>
      <c r="AX384" s="71"/>
      <c r="AY384" s="71"/>
    </row>
    <row r="385" spans="2:51" ht="15.75" customHeight="1" x14ac:dyDescent="0.3"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71"/>
      <c r="AJ385" s="71"/>
      <c r="AK385" s="71"/>
      <c r="AL385" s="71"/>
      <c r="AM385" s="71"/>
      <c r="AN385" s="71"/>
      <c r="AO385" s="71"/>
      <c r="AP385" s="71"/>
      <c r="AQ385" s="71"/>
      <c r="AR385" s="71"/>
      <c r="AS385" s="71"/>
      <c r="AT385" s="71"/>
      <c r="AU385" s="71"/>
      <c r="AV385" s="71"/>
      <c r="AW385" s="71"/>
      <c r="AX385" s="71"/>
      <c r="AY385" s="71"/>
    </row>
    <row r="386" spans="2:51" ht="15.75" customHeight="1" x14ac:dyDescent="0.3"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  <c r="AO386" s="71"/>
      <c r="AP386" s="71"/>
      <c r="AQ386" s="71"/>
      <c r="AR386" s="71"/>
      <c r="AS386" s="71"/>
      <c r="AT386" s="71"/>
      <c r="AU386" s="71"/>
      <c r="AV386" s="71"/>
      <c r="AW386" s="71"/>
      <c r="AX386" s="71"/>
      <c r="AY386" s="71"/>
    </row>
    <row r="387" spans="2:51" ht="15.75" customHeight="1" x14ac:dyDescent="0.3"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  <c r="AP387" s="71"/>
      <c r="AQ387" s="71"/>
      <c r="AR387" s="71"/>
      <c r="AS387" s="71"/>
      <c r="AT387" s="71"/>
      <c r="AU387" s="71"/>
      <c r="AV387" s="71"/>
      <c r="AW387" s="71"/>
      <c r="AX387" s="71"/>
      <c r="AY387" s="71"/>
    </row>
    <row r="388" spans="2:51" ht="15.75" customHeight="1" x14ac:dyDescent="0.3"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71"/>
      <c r="AJ388" s="71"/>
      <c r="AK388" s="71"/>
      <c r="AL388" s="71"/>
      <c r="AM388" s="71"/>
      <c r="AN388" s="71"/>
      <c r="AO388" s="71"/>
      <c r="AP388" s="71"/>
      <c r="AQ388" s="71"/>
      <c r="AR388" s="71"/>
      <c r="AS388" s="71"/>
      <c r="AT388" s="71"/>
      <c r="AU388" s="71"/>
      <c r="AV388" s="71"/>
      <c r="AW388" s="71"/>
      <c r="AX388" s="71"/>
      <c r="AY388" s="71"/>
    </row>
    <row r="389" spans="2:51" ht="15.75" customHeight="1" x14ac:dyDescent="0.3"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  <c r="AP389" s="71"/>
      <c r="AQ389" s="71"/>
      <c r="AR389" s="71"/>
      <c r="AS389" s="71"/>
      <c r="AT389" s="71"/>
      <c r="AU389" s="71"/>
      <c r="AV389" s="71"/>
      <c r="AW389" s="71"/>
      <c r="AX389" s="71"/>
      <c r="AY389" s="71"/>
    </row>
    <row r="390" spans="2:51" ht="15.75" customHeight="1" x14ac:dyDescent="0.3"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  <c r="AP390" s="71"/>
      <c r="AQ390" s="71"/>
      <c r="AR390" s="71"/>
      <c r="AS390" s="71"/>
      <c r="AT390" s="71"/>
      <c r="AU390" s="71"/>
      <c r="AV390" s="71"/>
      <c r="AW390" s="71"/>
      <c r="AX390" s="71"/>
      <c r="AY390" s="71"/>
    </row>
    <row r="391" spans="2:51" ht="15.75" customHeight="1" x14ac:dyDescent="0.3"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  <c r="AL391" s="71"/>
      <c r="AM391" s="71"/>
      <c r="AN391" s="71"/>
      <c r="AO391" s="71"/>
      <c r="AP391" s="71"/>
      <c r="AQ391" s="71"/>
      <c r="AR391" s="71"/>
      <c r="AS391" s="71"/>
      <c r="AT391" s="71"/>
      <c r="AU391" s="71"/>
      <c r="AV391" s="71"/>
      <c r="AW391" s="71"/>
      <c r="AX391" s="71"/>
      <c r="AY391" s="71"/>
    </row>
    <row r="392" spans="2:51" ht="15.75" customHeight="1" x14ac:dyDescent="0.3"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  <c r="AP392" s="71"/>
      <c r="AQ392" s="71"/>
      <c r="AR392" s="71"/>
      <c r="AS392" s="71"/>
      <c r="AT392" s="71"/>
      <c r="AU392" s="71"/>
      <c r="AV392" s="71"/>
      <c r="AW392" s="71"/>
      <c r="AX392" s="71"/>
      <c r="AY392" s="71"/>
    </row>
    <row r="393" spans="2:51" ht="15.75" customHeight="1" x14ac:dyDescent="0.3"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  <c r="AP393" s="71"/>
      <c r="AQ393" s="71"/>
      <c r="AR393" s="71"/>
      <c r="AS393" s="71"/>
      <c r="AT393" s="71"/>
      <c r="AU393" s="71"/>
      <c r="AV393" s="71"/>
      <c r="AW393" s="71"/>
      <c r="AX393" s="71"/>
      <c r="AY393" s="71"/>
    </row>
    <row r="394" spans="2:51" ht="15.75" customHeight="1" x14ac:dyDescent="0.3"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71"/>
      <c r="AL394" s="71"/>
      <c r="AM394" s="71"/>
      <c r="AN394" s="71"/>
      <c r="AO394" s="71"/>
      <c r="AP394" s="71"/>
      <c r="AQ394" s="71"/>
      <c r="AR394" s="71"/>
      <c r="AS394" s="71"/>
      <c r="AT394" s="71"/>
      <c r="AU394" s="71"/>
      <c r="AV394" s="71"/>
      <c r="AW394" s="71"/>
      <c r="AX394" s="71"/>
      <c r="AY394" s="71"/>
    </row>
    <row r="395" spans="2:51" ht="15.75" customHeight="1" x14ac:dyDescent="0.3"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/>
      <c r="AO395" s="71"/>
      <c r="AP395" s="71"/>
      <c r="AQ395" s="71"/>
      <c r="AR395" s="71"/>
      <c r="AS395" s="71"/>
      <c r="AT395" s="71"/>
      <c r="AU395" s="71"/>
      <c r="AV395" s="71"/>
      <c r="AW395" s="71"/>
      <c r="AX395" s="71"/>
      <c r="AY395" s="71"/>
    </row>
    <row r="396" spans="2:51" ht="15.75" customHeight="1" x14ac:dyDescent="0.3"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71"/>
      <c r="AJ396" s="71"/>
      <c r="AK396" s="71"/>
      <c r="AL396" s="71"/>
      <c r="AM396" s="71"/>
      <c r="AN396" s="71"/>
      <c r="AO396" s="71"/>
      <c r="AP396" s="71"/>
      <c r="AQ396" s="71"/>
      <c r="AR396" s="71"/>
      <c r="AS396" s="71"/>
      <c r="AT396" s="71"/>
      <c r="AU396" s="71"/>
      <c r="AV396" s="71"/>
      <c r="AW396" s="71"/>
      <c r="AX396" s="71"/>
      <c r="AY396" s="71"/>
    </row>
    <row r="397" spans="2:51" ht="15.75" customHeight="1" x14ac:dyDescent="0.3"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71"/>
      <c r="AK397" s="71"/>
      <c r="AL397" s="71"/>
      <c r="AM397" s="71"/>
      <c r="AN397" s="71"/>
      <c r="AO397" s="71"/>
      <c r="AP397" s="71"/>
      <c r="AQ397" s="71"/>
      <c r="AR397" s="71"/>
      <c r="AS397" s="71"/>
      <c r="AT397" s="71"/>
      <c r="AU397" s="71"/>
      <c r="AV397" s="71"/>
      <c r="AW397" s="71"/>
      <c r="AX397" s="71"/>
      <c r="AY397" s="71"/>
    </row>
    <row r="398" spans="2:51" ht="15.75" customHeight="1" x14ac:dyDescent="0.3"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  <c r="AS398" s="71"/>
      <c r="AT398" s="71"/>
      <c r="AU398" s="71"/>
      <c r="AV398" s="71"/>
      <c r="AW398" s="71"/>
      <c r="AX398" s="71"/>
      <c r="AY398" s="71"/>
    </row>
    <row r="399" spans="2:51" ht="15.75" customHeight="1" x14ac:dyDescent="0.3"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  <c r="AP399" s="71"/>
      <c r="AQ399" s="71"/>
      <c r="AR399" s="71"/>
      <c r="AS399" s="71"/>
      <c r="AT399" s="71"/>
      <c r="AU399" s="71"/>
      <c r="AV399" s="71"/>
      <c r="AW399" s="71"/>
      <c r="AX399" s="71"/>
      <c r="AY399" s="71"/>
    </row>
    <row r="400" spans="2:51" ht="15.75" customHeight="1" x14ac:dyDescent="0.3"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  <c r="AR400" s="71"/>
      <c r="AS400" s="71"/>
      <c r="AT400" s="71"/>
      <c r="AU400" s="71"/>
      <c r="AV400" s="71"/>
      <c r="AW400" s="71"/>
      <c r="AX400" s="71"/>
      <c r="AY400" s="71"/>
    </row>
    <row r="401" spans="2:51" ht="15.75" customHeight="1" x14ac:dyDescent="0.3"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1"/>
      <c r="AL401" s="71"/>
      <c r="AM401" s="71"/>
      <c r="AN401" s="71"/>
      <c r="AO401" s="71"/>
      <c r="AP401" s="71"/>
      <c r="AQ401" s="71"/>
      <c r="AR401" s="71"/>
      <c r="AS401" s="71"/>
      <c r="AT401" s="71"/>
      <c r="AU401" s="71"/>
      <c r="AV401" s="71"/>
      <c r="AW401" s="71"/>
      <c r="AX401" s="71"/>
      <c r="AY401" s="71"/>
    </row>
    <row r="402" spans="2:51" ht="15.75" customHeight="1" x14ac:dyDescent="0.3"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1"/>
      <c r="AQ402" s="71"/>
      <c r="AR402" s="71"/>
      <c r="AS402" s="71"/>
      <c r="AT402" s="71"/>
      <c r="AU402" s="71"/>
      <c r="AV402" s="71"/>
      <c r="AW402" s="71"/>
      <c r="AX402" s="71"/>
      <c r="AY402" s="71"/>
    </row>
    <row r="403" spans="2:51" ht="15.75" customHeight="1" x14ac:dyDescent="0.3"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71"/>
      <c r="AW403" s="71"/>
      <c r="AX403" s="71"/>
      <c r="AY403" s="71"/>
    </row>
    <row r="404" spans="2:51" ht="15.75" customHeight="1" x14ac:dyDescent="0.3"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1"/>
      <c r="AX404" s="71"/>
      <c r="AY404" s="71"/>
    </row>
    <row r="405" spans="2:51" ht="15.75" customHeight="1" x14ac:dyDescent="0.3"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1"/>
      <c r="AX405" s="71"/>
      <c r="AY405" s="71"/>
    </row>
    <row r="406" spans="2:51" ht="15.75" customHeight="1" x14ac:dyDescent="0.3"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1"/>
      <c r="AX406" s="71"/>
      <c r="AY406" s="71"/>
    </row>
    <row r="407" spans="2:51" ht="15.75" customHeight="1" x14ac:dyDescent="0.3"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71"/>
      <c r="AX407" s="71"/>
      <c r="AY407" s="71"/>
    </row>
    <row r="408" spans="2:51" ht="15.75" customHeight="1" x14ac:dyDescent="0.3"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71"/>
      <c r="AJ408" s="71"/>
      <c r="AK408" s="71"/>
      <c r="AL408" s="71"/>
      <c r="AM408" s="71"/>
      <c r="AN408" s="71"/>
      <c r="AO408" s="71"/>
      <c r="AP408" s="71"/>
      <c r="AQ408" s="71"/>
      <c r="AR408" s="71"/>
      <c r="AS408" s="71"/>
      <c r="AT408" s="71"/>
      <c r="AU408" s="71"/>
      <c r="AV408" s="71"/>
      <c r="AW408" s="71"/>
      <c r="AX408" s="71"/>
      <c r="AY408" s="71"/>
    </row>
    <row r="409" spans="2:51" ht="15.75" customHeight="1" x14ac:dyDescent="0.3"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71"/>
      <c r="AW409" s="71"/>
      <c r="AX409" s="71"/>
      <c r="AY409" s="71"/>
    </row>
    <row r="410" spans="2:51" ht="15.75" customHeight="1" x14ac:dyDescent="0.3"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1"/>
      <c r="AX410" s="71"/>
      <c r="AY410" s="71"/>
    </row>
    <row r="411" spans="2:51" ht="15.75" customHeight="1" x14ac:dyDescent="0.3"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1"/>
      <c r="AX411" s="71"/>
      <c r="AY411" s="71"/>
    </row>
    <row r="412" spans="2:51" ht="15.75" customHeight="1" x14ac:dyDescent="0.3"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71"/>
      <c r="AX412" s="71"/>
      <c r="AY412" s="71"/>
    </row>
    <row r="413" spans="2:51" ht="15.75" customHeight="1" x14ac:dyDescent="0.3"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1"/>
      <c r="AX413" s="71"/>
      <c r="AY413" s="71"/>
    </row>
    <row r="414" spans="2:51" ht="15.75" customHeight="1" x14ac:dyDescent="0.3"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1"/>
      <c r="AX414" s="71"/>
      <c r="AY414" s="71"/>
    </row>
    <row r="415" spans="2:51" ht="15.75" customHeight="1" x14ac:dyDescent="0.3"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71"/>
      <c r="AX415" s="71"/>
      <c r="AY415" s="71"/>
    </row>
    <row r="416" spans="2:51" ht="15.75" customHeight="1" x14ac:dyDescent="0.3"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  <c r="AW416" s="71"/>
      <c r="AX416" s="71"/>
      <c r="AY416" s="71"/>
    </row>
    <row r="417" spans="2:51" ht="15.75" customHeight="1" x14ac:dyDescent="0.3"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  <c r="AO417" s="71"/>
      <c r="AP417" s="71"/>
      <c r="AQ417" s="71"/>
      <c r="AR417" s="71"/>
      <c r="AS417" s="71"/>
      <c r="AT417" s="71"/>
      <c r="AU417" s="71"/>
      <c r="AV417" s="71"/>
      <c r="AW417" s="71"/>
      <c r="AX417" s="71"/>
      <c r="AY417" s="71"/>
    </row>
    <row r="418" spans="2:51" ht="15.75" customHeight="1" x14ac:dyDescent="0.3"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71"/>
      <c r="AJ418" s="71"/>
      <c r="AK418" s="71"/>
      <c r="AL418" s="71"/>
      <c r="AM418" s="71"/>
      <c r="AN418" s="71"/>
      <c r="AO418" s="71"/>
      <c r="AP418" s="71"/>
      <c r="AQ418" s="71"/>
      <c r="AR418" s="71"/>
      <c r="AS418" s="71"/>
      <c r="AT418" s="71"/>
      <c r="AU418" s="71"/>
      <c r="AV418" s="71"/>
      <c r="AW418" s="71"/>
      <c r="AX418" s="71"/>
      <c r="AY418" s="71"/>
    </row>
    <row r="419" spans="2:51" ht="15.75" customHeight="1" x14ac:dyDescent="0.3"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  <c r="AS419" s="71"/>
      <c r="AT419" s="71"/>
      <c r="AU419" s="71"/>
      <c r="AV419" s="71"/>
      <c r="AW419" s="71"/>
      <c r="AX419" s="71"/>
      <c r="AY419" s="71"/>
    </row>
    <row r="420" spans="2:51" ht="15.75" customHeight="1" x14ac:dyDescent="0.3"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  <c r="AS420" s="71"/>
      <c r="AT420" s="71"/>
      <c r="AU420" s="71"/>
      <c r="AV420" s="71"/>
      <c r="AW420" s="71"/>
      <c r="AX420" s="71"/>
      <c r="AY420" s="71"/>
    </row>
    <row r="421" spans="2:51" ht="15.75" customHeight="1" x14ac:dyDescent="0.3"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  <c r="AR421" s="71"/>
      <c r="AS421" s="71"/>
      <c r="AT421" s="71"/>
      <c r="AU421" s="71"/>
      <c r="AV421" s="71"/>
      <c r="AW421" s="71"/>
      <c r="AX421" s="71"/>
      <c r="AY421" s="71"/>
    </row>
    <row r="422" spans="2:51" ht="15.75" customHeight="1" x14ac:dyDescent="0.3"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  <c r="AR422" s="71"/>
      <c r="AS422" s="71"/>
      <c r="AT422" s="71"/>
      <c r="AU422" s="71"/>
      <c r="AV422" s="71"/>
      <c r="AW422" s="71"/>
      <c r="AX422" s="71"/>
      <c r="AY422" s="71"/>
    </row>
    <row r="423" spans="2:51" ht="15.75" customHeight="1" x14ac:dyDescent="0.3"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71"/>
      <c r="AJ423" s="71"/>
      <c r="AK423" s="71"/>
      <c r="AL423" s="71"/>
      <c r="AM423" s="71"/>
      <c r="AN423" s="71"/>
      <c r="AO423" s="71"/>
      <c r="AP423" s="71"/>
      <c r="AQ423" s="71"/>
      <c r="AR423" s="71"/>
      <c r="AS423" s="71"/>
      <c r="AT423" s="71"/>
      <c r="AU423" s="71"/>
      <c r="AV423" s="71"/>
      <c r="AW423" s="71"/>
      <c r="AX423" s="71"/>
      <c r="AY423" s="71"/>
    </row>
    <row r="424" spans="2:51" ht="15.75" customHeight="1" x14ac:dyDescent="0.3"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  <c r="AW424" s="71"/>
      <c r="AX424" s="71"/>
      <c r="AY424" s="71"/>
    </row>
    <row r="425" spans="2:51" ht="15.75" customHeight="1" x14ac:dyDescent="0.3"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  <c r="AW425" s="71"/>
      <c r="AX425" s="71"/>
      <c r="AY425" s="71"/>
    </row>
    <row r="426" spans="2:51" ht="15.75" customHeight="1" x14ac:dyDescent="0.3"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1"/>
      <c r="AL426" s="71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  <c r="AW426" s="71"/>
      <c r="AX426" s="71"/>
      <c r="AY426" s="71"/>
    </row>
    <row r="427" spans="2:51" ht="15.75" customHeight="1" x14ac:dyDescent="0.3"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  <c r="AK427" s="71"/>
      <c r="AL427" s="71"/>
      <c r="AM427" s="71"/>
      <c r="AN427" s="71"/>
      <c r="AO427" s="71"/>
      <c r="AP427" s="71"/>
      <c r="AQ427" s="71"/>
      <c r="AR427" s="71"/>
      <c r="AS427" s="71"/>
      <c r="AT427" s="71"/>
      <c r="AU427" s="71"/>
      <c r="AV427" s="71"/>
      <c r="AW427" s="71"/>
      <c r="AX427" s="71"/>
      <c r="AY427" s="71"/>
    </row>
    <row r="428" spans="2:51" ht="15.75" customHeight="1" x14ac:dyDescent="0.3"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71"/>
      <c r="AJ428" s="71"/>
      <c r="AK428" s="71"/>
      <c r="AL428" s="71"/>
      <c r="AM428" s="71"/>
      <c r="AN428" s="71"/>
      <c r="AO428" s="71"/>
      <c r="AP428" s="71"/>
      <c r="AQ428" s="71"/>
      <c r="AR428" s="71"/>
      <c r="AS428" s="71"/>
      <c r="AT428" s="71"/>
      <c r="AU428" s="71"/>
      <c r="AV428" s="71"/>
      <c r="AW428" s="71"/>
      <c r="AX428" s="71"/>
      <c r="AY428" s="71"/>
    </row>
    <row r="429" spans="2:51" ht="15.75" customHeight="1" x14ac:dyDescent="0.3"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71"/>
      <c r="AJ429" s="71"/>
      <c r="AK429" s="71"/>
      <c r="AL429" s="71"/>
      <c r="AM429" s="71"/>
      <c r="AN429" s="71"/>
      <c r="AO429" s="71"/>
      <c r="AP429" s="71"/>
      <c r="AQ429" s="71"/>
      <c r="AR429" s="71"/>
      <c r="AS429" s="71"/>
      <c r="AT429" s="71"/>
      <c r="AU429" s="71"/>
      <c r="AV429" s="71"/>
      <c r="AW429" s="71"/>
      <c r="AX429" s="71"/>
      <c r="AY429" s="71"/>
    </row>
    <row r="430" spans="2:51" ht="15.75" customHeight="1" x14ac:dyDescent="0.3"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  <c r="AW430" s="71"/>
      <c r="AX430" s="71"/>
      <c r="AY430" s="71"/>
    </row>
    <row r="431" spans="2:51" ht="15.75" customHeight="1" x14ac:dyDescent="0.3"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  <c r="AW431" s="71"/>
      <c r="AX431" s="71"/>
      <c r="AY431" s="71"/>
    </row>
    <row r="432" spans="2:51" ht="15.75" customHeight="1" x14ac:dyDescent="0.3"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71"/>
      <c r="AJ432" s="71"/>
      <c r="AK432" s="71"/>
      <c r="AL432" s="71"/>
      <c r="AM432" s="71"/>
      <c r="AN432" s="71"/>
      <c r="AO432" s="71"/>
      <c r="AP432" s="71"/>
      <c r="AQ432" s="71"/>
      <c r="AR432" s="71"/>
      <c r="AS432" s="71"/>
      <c r="AT432" s="71"/>
      <c r="AU432" s="71"/>
      <c r="AV432" s="71"/>
      <c r="AW432" s="71"/>
      <c r="AX432" s="71"/>
      <c r="AY432" s="71"/>
    </row>
    <row r="433" spans="2:51" ht="15.75" customHeight="1" x14ac:dyDescent="0.3"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  <c r="AW433" s="71"/>
      <c r="AX433" s="71"/>
      <c r="AY433" s="71"/>
    </row>
    <row r="434" spans="2:51" ht="15.75" customHeight="1" x14ac:dyDescent="0.3"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71"/>
      <c r="AJ434" s="71"/>
      <c r="AK434" s="71"/>
      <c r="AL434" s="71"/>
      <c r="AM434" s="71"/>
      <c r="AN434" s="71"/>
      <c r="AO434" s="71"/>
      <c r="AP434" s="71"/>
      <c r="AQ434" s="71"/>
      <c r="AR434" s="71"/>
      <c r="AS434" s="71"/>
      <c r="AT434" s="71"/>
      <c r="AU434" s="71"/>
      <c r="AV434" s="71"/>
      <c r="AW434" s="71"/>
      <c r="AX434" s="71"/>
      <c r="AY434" s="71"/>
    </row>
    <row r="435" spans="2:51" ht="15.75" customHeight="1" x14ac:dyDescent="0.3"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  <c r="AR435" s="71"/>
      <c r="AS435" s="71"/>
      <c r="AT435" s="71"/>
      <c r="AU435" s="71"/>
      <c r="AV435" s="71"/>
      <c r="AW435" s="71"/>
      <c r="AX435" s="71"/>
      <c r="AY435" s="71"/>
    </row>
    <row r="436" spans="2:51" ht="15.75" customHeight="1" x14ac:dyDescent="0.3"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71"/>
      <c r="AJ436" s="71"/>
      <c r="AK436" s="71"/>
      <c r="AL436" s="71"/>
      <c r="AM436" s="71"/>
      <c r="AN436" s="71"/>
      <c r="AO436" s="71"/>
      <c r="AP436" s="71"/>
      <c r="AQ436" s="71"/>
      <c r="AR436" s="71"/>
      <c r="AS436" s="71"/>
      <c r="AT436" s="71"/>
      <c r="AU436" s="71"/>
      <c r="AV436" s="71"/>
      <c r="AW436" s="71"/>
      <c r="AX436" s="71"/>
      <c r="AY436" s="71"/>
    </row>
    <row r="437" spans="2:51" ht="15.75" customHeight="1" x14ac:dyDescent="0.3"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71"/>
      <c r="AJ437" s="71"/>
      <c r="AK437" s="71"/>
      <c r="AL437" s="71"/>
      <c r="AM437" s="71"/>
      <c r="AN437" s="71"/>
      <c r="AO437" s="71"/>
      <c r="AP437" s="71"/>
      <c r="AQ437" s="71"/>
      <c r="AR437" s="71"/>
      <c r="AS437" s="71"/>
      <c r="AT437" s="71"/>
      <c r="AU437" s="71"/>
      <c r="AV437" s="71"/>
      <c r="AW437" s="71"/>
      <c r="AX437" s="71"/>
      <c r="AY437" s="71"/>
    </row>
    <row r="438" spans="2:51" ht="15.75" customHeight="1" x14ac:dyDescent="0.3"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71"/>
      <c r="AJ438" s="71"/>
      <c r="AK438" s="71"/>
      <c r="AL438" s="71"/>
      <c r="AM438" s="71"/>
      <c r="AN438" s="71"/>
      <c r="AO438" s="71"/>
      <c r="AP438" s="71"/>
      <c r="AQ438" s="71"/>
      <c r="AR438" s="71"/>
      <c r="AS438" s="71"/>
      <c r="AT438" s="71"/>
      <c r="AU438" s="71"/>
      <c r="AV438" s="71"/>
      <c r="AW438" s="71"/>
      <c r="AX438" s="71"/>
      <c r="AY438" s="71"/>
    </row>
    <row r="439" spans="2:51" ht="15.75" customHeight="1" x14ac:dyDescent="0.3"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71"/>
      <c r="AJ439" s="71"/>
      <c r="AK439" s="71"/>
      <c r="AL439" s="71"/>
      <c r="AM439" s="71"/>
      <c r="AN439" s="71"/>
      <c r="AO439" s="71"/>
      <c r="AP439" s="71"/>
      <c r="AQ439" s="71"/>
      <c r="AR439" s="71"/>
      <c r="AS439" s="71"/>
      <c r="AT439" s="71"/>
      <c r="AU439" s="71"/>
      <c r="AV439" s="71"/>
      <c r="AW439" s="71"/>
      <c r="AX439" s="71"/>
      <c r="AY439" s="71"/>
    </row>
    <row r="440" spans="2:51" ht="15.75" customHeight="1" x14ac:dyDescent="0.3"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71"/>
      <c r="AJ440" s="71"/>
      <c r="AK440" s="71"/>
      <c r="AL440" s="71"/>
      <c r="AM440" s="71"/>
      <c r="AN440" s="71"/>
      <c r="AO440" s="71"/>
      <c r="AP440" s="71"/>
      <c r="AQ440" s="71"/>
      <c r="AR440" s="71"/>
      <c r="AS440" s="71"/>
      <c r="AT440" s="71"/>
      <c r="AU440" s="71"/>
      <c r="AV440" s="71"/>
      <c r="AW440" s="71"/>
      <c r="AX440" s="71"/>
      <c r="AY440" s="71"/>
    </row>
    <row r="441" spans="2:51" ht="15.75" customHeight="1" x14ac:dyDescent="0.3"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71"/>
      <c r="AJ441" s="71"/>
      <c r="AK441" s="71"/>
      <c r="AL441" s="71"/>
      <c r="AM441" s="71"/>
      <c r="AN441" s="71"/>
      <c r="AO441" s="71"/>
      <c r="AP441" s="71"/>
      <c r="AQ441" s="71"/>
      <c r="AR441" s="71"/>
      <c r="AS441" s="71"/>
      <c r="AT441" s="71"/>
      <c r="AU441" s="71"/>
      <c r="AV441" s="71"/>
      <c r="AW441" s="71"/>
      <c r="AX441" s="71"/>
      <c r="AY441" s="71"/>
    </row>
    <row r="442" spans="2:51" ht="15.75" customHeight="1" x14ac:dyDescent="0.3"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71"/>
      <c r="AJ442" s="71"/>
      <c r="AK442" s="71"/>
      <c r="AL442" s="71"/>
      <c r="AM442" s="71"/>
      <c r="AN442" s="71"/>
      <c r="AO442" s="71"/>
      <c r="AP442" s="71"/>
      <c r="AQ442" s="71"/>
      <c r="AR442" s="71"/>
      <c r="AS442" s="71"/>
      <c r="AT442" s="71"/>
      <c r="AU442" s="71"/>
      <c r="AV442" s="71"/>
      <c r="AW442" s="71"/>
      <c r="AX442" s="71"/>
      <c r="AY442" s="71"/>
    </row>
    <row r="443" spans="2:51" ht="15.75" customHeight="1" x14ac:dyDescent="0.3"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71"/>
      <c r="AJ443" s="71"/>
      <c r="AK443" s="71"/>
      <c r="AL443" s="71"/>
      <c r="AM443" s="71"/>
      <c r="AN443" s="71"/>
      <c r="AO443" s="71"/>
      <c r="AP443" s="71"/>
      <c r="AQ443" s="71"/>
      <c r="AR443" s="71"/>
      <c r="AS443" s="71"/>
      <c r="AT443" s="71"/>
      <c r="AU443" s="71"/>
      <c r="AV443" s="71"/>
      <c r="AW443" s="71"/>
      <c r="AX443" s="71"/>
      <c r="AY443" s="71"/>
    </row>
  </sheetData>
  <autoFilter ref="A8:AY184" xr:uid="{1A346FC2-0143-4D57-AC80-807D8236F469}"/>
  <mergeCells count="41">
    <mergeCell ref="A1:AN2"/>
    <mergeCell ref="A3:A5"/>
    <mergeCell ref="B3:B5"/>
    <mergeCell ref="C3:C5"/>
    <mergeCell ref="D3:D5"/>
    <mergeCell ref="E3:E5"/>
    <mergeCell ref="G3:G5"/>
    <mergeCell ref="H3:H5"/>
    <mergeCell ref="I3:I5"/>
    <mergeCell ref="J3:J5"/>
    <mergeCell ref="AL3:AL5"/>
    <mergeCell ref="AM3:AM5"/>
    <mergeCell ref="AN3:AN5"/>
    <mergeCell ref="AO3:AO5"/>
    <mergeCell ref="K4:K5"/>
    <mergeCell ref="L4:L5"/>
    <mergeCell ref="M4:M5"/>
    <mergeCell ref="N4:N5"/>
    <mergeCell ref="O4:O5"/>
    <mergeCell ref="P4:P5"/>
    <mergeCell ref="K3:M3"/>
    <mergeCell ref="N3:R3"/>
    <mergeCell ref="S3:Y3"/>
    <mergeCell ref="Z3:AC3"/>
    <mergeCell ref="AD3:AI3"/>
    <mergeCell ref="AJ3:AK3"/>
    <mergeCell ref="AI4:AI5"/>
    <mergeCell ref="AJ4:AK4"/>
    <mergeCell ref="F3:F5"/>
    <mergeCell ref="Z4:AB4"/>
    <mergeCell ref="AC4:AC5"/>
    <mergeCell ref="AD4:AE4"/>
    <mergeCell ref="AF4:AF5"/>
    <mergeCell ref="AG4:AG5"/>
    <mergeCell ref="AH4:AH5"/>
    <mergeCell ref="Q4:Q5"/>
    <mergeCell ref="R4:R5"/>
    <mergeCell ref="S4:V4"/>
    <mergeCell ref="W4:W5"/>
    <mergeCell ref="X4:X5"/>
    <mergeCell ref="Y4:Y5"/>
  </mergeCells>
  <conditionalFormatting sqref="C3:C1048576">
    <cfRule type="duplicateValues" dxfId="21" priority="2"/>
  </conditionalFormatting>
  <conditionalFormatting sqref="D3:D1048576">
    <cfRule type="duplicateValues" dxfId="20" priority="1"/>
  </conditionalFormatting>
  <dataValidations disablePrompts="1" count="9">
    <dataValidation type="list" allowBlank="1" showErrorMessage="1" sqref="Q9:Q184" xr:uid="{18C6FA8B-48A0-4E9F-8251-3C90A36A6656}">
      <formula1>"Thép,Composite"</formula1>
    </dataValidation>
    <dataValidation type="list" allowBlank="1" showErrorMessage="1" sqref="AJ9:AJ184" xr:uid="{B188F485-519F-4994-9A74-B12DBA03CA70}">
      <formula1>"Nhôm,Đồng"</formula1>
    </dataValidation>
    <dataValidation type="list" allowBlank="1" showErrorMessage="1" sqref="AK9:AK184" xr:uid="{9E55543F-1C49-4BBA-B58B-DD96F40944B2}">
      <formula1>"1,2,3,4"</formula1>
    </dataValidation>
    <dataValidation type="list" allowBlank="1" showErrorMessage="1" sqref="AO9:AO184" xr:uid="{B7F446EB-1174-409C-8C41-EF0ED55FB414}">
      <formula1>"Đạt,Không đạt,Tạm chấp nhận"</formula1>
    </dataValidation>
    <dataValidation type="list" allowBlank="1" showErrorMessage="1" sqref="R9:R184" xr:uid="{59A0F9E5-62E9-4C7D-BA7A-F15AAE2C6078}">
      <formula1>"Có,Không"</formula1>
    </dataValidation>
    <dataValidation type="list" allowBlank="1" showErrorMessage="1" sqref="AM7:AM8" xr:uid="{EED15B2E-48FF-4687-ACA0-D500D2C960EC}">
      <formula1>"18/3/2026,19/3/2026,20/3/2026"</formula1>
    </dataValidation>
    <dataValidation type="list" allowBlank="1" showErrorMessage="1" sqref="AJ7:AJ8" xr:uid="{0AA5A9A8-0C6E-4447-83C2-20A641FB4C97}">
      <formula1>"nhôm,đồng"</formula1>
    </dataValidation>
    <dataValidation type="list" allowBlank="1" showErrorMessage="1" sqref="R8" xr:uid="{55BE5F8C-9B6A-4EFA-A5F1-06DDB828F590}">
      <formula1>"K,C"</formula1>
    </dataValidation>
    <dataValidation type="list" allowBlank="1" showErrorMessage="1" sqref="Q8" xr:uid="{0A5FEBA1-1620-4D32-A250-673F74CF437F}">
      <formula1>"T,Nhựa,C"</formula1>
    </dataValidation>
  </dataValidations>
  <pageMargins left="0" right="0" top="0" bottom="0" header="0" footer="0"/>
  <pageSetup paperSize="8"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D8947-5082-48E7-99CC-7A06B7E9A18A}">
  <sheetPr filterMode="1">
    <tabColor rgb="FFFF0000"/>
  </sheetPr>
  <dimension ref="A1:AX373"/>
  <sheetViews>
    <sheetView zoomScale="115" zoomScaleNormal="115" workbookViewId="0">
      <pane ySplit="6" topLeftCell="A8" activePane="bottomLeft" state="frozen"/>
      <selection pane="bottomLeft" activeCell="R9" sqref="R9:AN184"/>
    </sheetView>
  </sheetViews>
  <sheetFormatPr defaultColWidth="14.42578125" defaultRowHeight="15" customHeight="1" x14ac:dyDescent="0.25"/>
  <cols>
    <col min="1" max="1" width="6.42578125" style="44" customWidth="1"/>
    <col min="2" max="2" width="20.5703125" style="62" customWidth="1"/>
    <col min="3" max="3" width="15.42578125" style="44" customWidth="1"/>
    <col min="4" max="4" width="21.5703125" style="44" customWidth="1"/>
    <col min="5" max="5" width="43.7109375" style="62" customWidth="1"/>
    <col min="6" max="6" width="22.140625" style="62" customWidth="1"/>
    <col min="7" max="7" width="22" style="44" customWidth="1"/>
    <col min="8" max="8" width="21.7109375" style="62" customWidth="1"/>
    <col min="9" max="9" width="8.5703125" style="44" customWidth="1"/>
    <col min="10" max="14" width="8.28515625" style="44" customWidth="1"/>
    <col min="15" max="15" width="9.5703125" style="44" customWidth="1"/>
    <col min="16" max="17" width="8.7109375" style="44" customWidth="1"/>
    <col min="18" max="22" width="12.7109375" style="44" customWidth="1"/>
    <col min="23" max="24" width="13.85546875" style="44" customWidth="1"/>
    <col min="25" max="26" width="9.28515625" style="44" customWidth="1"/>
    <col min="27" max="27" width="11.5703125" style="44" customWidth="1"/>
    <col min="28" max="28" width="8.28515625" style="44" customWidth="1"/>
    <col min="29" max="32" width="6.28515625" style="44" customWidth="1"/>
    <col min="33" max="33" width="11.140625" style="44" customWidth="1"/>
    <col min="34" max="34" width="8.7109375" style="44" customWidth="1"/>
    <col min="35" max="35" width="8.42578125" style="44" customWidth="1"/>
    <col min="36" max="36" width="7.28515625" style="44" customWidth="1"/>
    <col min="37" max="37" width="7.140625" style="62" customWidth="1"/>
    <col min="38" max="38" width="20.85546875" style="44" customWidth="1"/>
    <col min="39" max="39" width="11.28515625" style="44" customWidth="1"/>
    <col min="40" max="40" width="19.42578125" style="44" customWidth="1"/>
    <col min="41" max="41" width="38.42578125" style="44" customWidth="1"/>
    <col min="42" max="50" width="28" style="44" customWidth="1"/>
    <col min="51" max="16384" width="14.42578125" style="44"/>
  </cols>
  <sheetData>
    <row r="1" spans="1:50" ht="63" customHeight="1" x14ac:dyDescent="0.3">
      <c r="A1" s="180" t="s">
        <v>521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</row>
    <row r="2" spans="1:50" ht="31.5" customHeight="1" x14ac:dyDescent="0.3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</row>
    <row r="3" spans="1:50" s="66" customFormat="1" ht="44.25" customHeight="1" x14ac:dyDescent="0.25">
      <c r="A3" s="182" t="s">
        <v>1</v>
      </c>
      <c r="B3" s="151" t="s">
        <v>2</v>
      </c>
      <c r="C3" s="151" t="s">
        <v>3</v>
      </c>
      <c r="D3" s="151" t="s">
        <v>1627</v>
      </c>
      <c r="E3" s="151" t="s">
        <v>4</v>
      </c>
      <c r="F3" s="151" t="s">
        <v>5</v>
      </c>
      <c r="G3" s="151" t="s">
        <v>6</v>
      </c>
      <c r="H3" s="151" t="s">
        <v>7</v>
      </c>
      <c r="I3" s="151" t="s">
        <v>8</v>
      </c>
      <c r="J3" s="167" t="s">
        <v>9</v>
      </c>
      <c r="K3" s="169"/>
      <c r="L3" s="168"/>
      <c r="M3" s="167" t="s">
        <v>10</v>
      </c>
      <c r="N3" s="169"/>
      <c r="O3" s="169"/>
      <c r="P3" s="169"/>
      <c r="Q3" s="168"/>
      <c r="R3" s="177" t="s">
        <v>11</v>
      </c>
      <c r="S3" s="178"/>
      <c r="T3" s="178"/>
      <c r="U3" s="178"/>
      <c r="V3" s="178"/>
      <c r="W3" s="178"/>
      <c r="X3" s="179"/>
      <c r="Y3" s="177"/>
      <c r="Z3" s="178"/>
      <c r="AA3" s="178"/>
      <c r="AB3" s="179"/>
      <c r="AC3" s="177" t="s">
        <v>12</v>
      </c>
      <c r="AD3" s="178"/>
      <c r="AE3" s="178"/>
      <c r="AF3" s="178"/>
      <c r="AG3" s="178"/>
      <c r="AH3" s="179"/>
      <c r="AI3" s="177" t="s">
        <v>13</v>
      </c>
      <c r="AJ3" s="179"/>
      <c r="AK3" s="151" t="s">
        <v>14</v>
      </c>
      <c r="AL3" s="171" t="s">
        <v>15</v>
      </c>
      <c r="AM3" s="171" t="s">
        <v>16</v>
      </c>
      <c r="AN3" s="171" t="s">
        <v>523</v>
      </c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s="66" customFormat="1" ht="74.25" customHeight="1" x14ac:dyDescent="0.25">
      <c r="A4" s="183"/>
      <c r="B4" s="173"/>
      <c r="C4" s="173"/>
      <c r="D4" s="152"/>
      <c r="E4" s="152"/>
      <c r="F4" s="173"/>
      <c r="G4" s="173"/>
      <c r="H4" s="173"/>
      <c r="I4" s="173"/>
      <c r="J4" s="151" t="s">
        <v>17</v>
      </c>
      <c r="K4" s="151" t="s">
        <v>18</v>
      </c>
      <c r="L4" s="165" t="s">
        <v>19</v>
      </c>
      <c r="M4" s="151" t="s">
        <v>20</v>
      </c>
      <c r="N4" s="151" t="s">
        <v>21</v>
      </c>
      <c r="O4" s="151" t="s">
        <v>22</v>
      </c>
      <c r="P4" s="151" t="s">
        <v>23</v>
      </c>
      <c r="Q4" s="151" t="s">
        <v>24</v>
      </c>
      <c r="R4" s="167" t="s">
        <v>25</v>
      </c>
      <c r="S4" s="169"/>
      <c r="T4" s="169"/>
      <c r="U4" s="168"/>
      <c r="V4" s="171" t="s">
        <v>26</v>
      </c>
      <c r="W4" s="151" t="s">
        <v>27</v>
      </c>
      <c r="X4" s="165" t="s">
        <v>19</v>
      </c>
      <c r="Y4" s="167" t="s">
        <v>28</v>
      </c>
      <c r="Z4" s="169"/>
      <c r="AA4" s="168"/>
      <c r="AB4" s="165" t="s">
        <v>19</v>
      </c>
      <c r="AC4" s="167" t="s">
        <v>29</v>
      </c>
      <c r="AD4" s="168"/>
      <c r="AE4" s="151" t="s">
        <v>30</v>
      </c>
      <c r="AF4" s="151" t="s">
        <v>31</v>
      </c>
      <c r="AG4" s="151" t="s">
        <v>32</v>
      </c>
      <c r="AH4" s="165" t="s">
        <v>19</v>
      </c>
      <c r="AI4" s="167" t="s">
        <v>33</v>
      </c>
      <c r="AJ4" s="168"/>
      <c r="AK4" s="173"/>
      <c r="AL4" s="174"/>
      <c r="AM4" s="174"/>
      <c r="AN4" s="17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s="66" customFormat="1" ht="71.25" customHeight="1" x14ac:dyDescent="0.25">
      <c r="A5" s="184"/>
      <c r="B5" s="170"/>
      <c r="C5" s="170"/>
      <c r="D5" s="153"/>
      <c r="E5" s="153"/>
      <c r="F5" s="170"/>
      <c r="G5" s="170"/>
      <c r="H5" s="170"/>
      <c r="I5" s="170"/>
      <c r="J5" s="170"/>
      <c r="K5" s="170"/>
      <c r="L5" s="166"/>
      <c r="M5" s="170"/>
      <c r="N5" s="170"/>
      <c r="O5" s="170"/>
      <c r="P5" s="170"/>
      <c r="Q5" s="170"/>
      <c r="R5" s="6" t="s">
        <v>34</v>
      </c>
      <c r="S5" s="6" t="s">
        <v>35</v>
      </c>
      <c r="T5" s="6" t="s">
        <v>36</v>
      </c>
      <c r="U5" s="6" t="s">
        <v>37</v>
      </c>
      <c r="V5" s="172"/>
      <c r="W5" s="170"/>
      <c r="X5" s="166"/>
      <c r="Y5" s="6" t="s">
        <v>38</v>
      </c>
      <c r="Z5" s="4" t="s">
        <v>39</v>
      </c>
      <c r="AA5" s="6" t="s">
        <v>524</v>
      </c>
      <c r="AB5" s="166"/>
      <c r="AC5" s="6" t="s">
        <v>41</v>
      </c>
      <c r="AD5" s="6" t="s">
        <v>42</v>
      </c>
      <c r="AE5" s="170"/>
      <c r="AF5" s="170"/>
      <c r="AG5" s="170"/>
      <c r="AH5" s="166"/>
      <c r="AI5" s="6" t="s">
        <v>43</v>
      </c>
      <c r="AJ5" s="6" t="s">
        <v>44</v>
      </c>
      <c r="AK5" s="170"/>
      <c r="AL5" s="172"/>
      <c r="AM5" s="172"/>
      <c r="AN5" s="176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ht="21.75" customHeight="1" x14ac:dyDescent="0.3">
      <c r="A6" s="46" t="s">
        <v>45</v>
      </c>
      <c r="B6" s="47" t="s">
        <v>46</v>
      </c>
      <c r="C6" s="47" t="s">
        <v>47</v>
      </c>
      <c r="D6" s="47" t="s">
        <v>48</v>
      </c>
      <c r="E6" s="47"/>
      <c r="F6" s="48" t="s">
        <v>49</v>
      </c>
      <c r="G6" s="48" t="s">
        <v>50</v>
      </c>
      <c r="H6" s="48" t="s">
        <v>51</v>
      </c>
      <c r="I6" s="48" t="s">
        <v>52</v>
      </c>
      <c r="J6" s="48" t="s">
        <v>53</v>
      </c>
      <c r="K6" s="48" t="s">
        <v>54</v>
      </c>
      <c r="L6" s="48" t="s">
        <v>55</v>
      </c>
      <c r="M6" s="48" t="s">
        <v>56</v>
      </c>
      <c r="N6" s="48" t="s">
        <v>57</v>
      </c>
      <c r="O6" s="48" t="s">
        <v>58</v>
      </c>
      <c r="P6" s="48" t="s">
        <v>59</v>
      </c>
      <c r="Q6" s="48" t="s">
        <v>60</v>
      </c>
      <c r="R6" s="48" t="s">
        <v>61</v>
      </c>
      <c r="S6" s="47" t="s">
        <v>62</v>
      </c>
      <c r="T6" s="47" t="s">
        <v>63</v>
      </c>
      <c r="U6" s="47" t="s">
        <v>64</v>
      </c>
      <c r="V6" s="47" t="s">
        <v>65</v>
      </c>
      <c r="W6" s="47" t="s">
        <v>66</v>
      </c>
      <c r="X6" s="48" t="s">
        <v>67</v>
      </c>
      <c r="Y6" s="47" t="s">
        <v>68</v>
      </c>
      <c r="Z6" s="47" t="s">
        <v>69</v>
      </c>
      <c r="AA6" s="47" t="s">
        <v>70</v>
      </c>
      <c r="AB6" s="47" t="s">
        <v>71</v>
      </c>
      <c r="AC6" s="48" t="s">
        <v>72</v>
      </c>
      <c r="AD6" s="48" t="s">
        <v>73</v>
      </c>
      <c r="AE6" s="48" t="s">
        <v>74</v>
      </c>
      <c r="AF6" s="48" t="s">
        <v>75</v>
      </c>
      <c r="AG6" s="47" t="s">
        <v>76</v>
      </c>
      <c r="AH6" s="47" t="s">
        <v>77</v>
      </c>
      <c r="AI6" s="47" t="s">
        <v>78</v>
      </c>
      <c r="AJ6" s="47" t="s">
        <v>79</v>
      </c>
      <c r="AK6" s="47" t="s">
        <v>80</v>
      </c>
      <c r="AL6" s="47" t="s">
        <v>81</v>
      </c>
      <c r="AM6" s="47" t="s">
        <v>82</v>
      </c>
      <c r="AN6" s="49"/>
      <c r="AO6" s="67"/>
      <c r="AP6" s="67"/>
      <c r="AQ6" s="67"/>
      <c r="AR6" s="67"/>
      <c r="AS6" s="67"/>
      <c r="AT6" s="67"/>
      <c r="AU6" s="67"/>
      <c r="AV6" s="67"/>
      <c r="AW6" s="67"/>
      <c r="AX6" s="67"/>
    </row>
    <row r="7" spans="1:50" ht="48" customHeight="1" x14ac:dyDescent="0.3">
      <c r="A7" s="63"/>
      <c r="B7" s="50">
        <f>SUBTOTAL(3,B9:B9299)</f>
        <v>1</v>
      </c>
      <c r="C7" s="50">
        <f t="shared" ref="C7:AM7" si="0">SUBTOTAL(3,C9:C9299)</f>
        <v>1</v>
      </c>
      <c r="D7" s="50">
        <f t="shared" ref="D7" si="1">SUBTOTAL(3,D9:D9299)</f>
        <v>1</v>
      </c>
      <c r="E7" s="50"/>
      <c r="F7" s="50">
        <f t="shared" si="0"/>
        <v>1</v>
      </c>
      <c r="G7" s="50">
        <f t="shared" si="0"/>
        <v>1</v>
      </c>
      <c r="H7" s="50">
        <f t="shared" si="0"/>
        <v>0</v>
      </c>
      <c r="I7" s="50">
        <f t="shared" si="0"/>
        <v>1</v>
      </c>
      <c r="J7" s="50">
        <f t="shared" si="0"/>
        <v>0</v>
      </c>
      <c r="K7" s="50">
        <f t="shared" si="0"/>
        <v>1</v>
      </c>
      <c r="L7" s="50">
        <f t="shared" si="0"/>
        <v>1</v>
      </c>
      <c r="M7" s="50">
        <f t="shared" si="0"/>
        <v>1</v>
      </c>
      <c r="N7" s="50">
        <f t="shared" si="0"/>
        <v>1</v>
      </c>
      <c r="O7" s="50">
        <f t="shared" si="0"/>
        <v>0</v>
      </c>
      <c r="P7" s="50">
        <f t="shared" si="0"/>
        <v>1</v>
      </c>
      <c r="Q7" s="50">
        <f t="shared" si="0"/>
        <v>1</v>
      </c>
      <c r="R7" s="50"/>
      <c r="S7" s="50"/>
      <c r="T7" s="50"/>
      <c r="U7" s="50">
        <f t="shared" si="0"/>
        <v>0</v>
      </c>
      <c r="V7" s="50">
        <f t="shared" si="0"/>
        <v>1</v>
      </c>
      <c r="W7" s="50"/>
      <c r="X7" s="50">
        <f t="shared" si="0"/>
        <v>1</v>
      </c>
      <c r="Y7" s="50">
        <f t="shared" si="0"/>
        <v>1</v>
      </c>
      <c r="Z7" s="50">
        <f t="shared" si="0"/>
        <v>0</v>
      </c>
      <c r="AA7" s="50">
        <f t="shared" si="0"/>
        <v>0</v>
      </c>
      <c r="AB7" s="50">
        <f t="shared" si="0"/>
        <v>1</v>
      </c>
      <c r="AC7" s="50">
        <f t="shared" si="0"/>
        <v>0</v>
      </c>
      <c r="AD7" s="50">
        <f t="shared" si="0"/>
        <v>1</v>
      </c>
      <c r="AE7" s="50">
        <f t="shared" si="0"/>
        <v>0</v>
      </c>
      <c r="AF7" s="50">
        <f t="shared" si="0"/>
        <v>0</v>
      </c>
      <c r="AG7" s="50">
        <f t="shared" si="0"/>
        <v>0</v>
      </c>
      <c r="AH7" s="50">
        <f t="shared" si="0"/>
        <v>1</v>
      </c>
      <c r="AI7" s="50">
        <f t="shared" si="0"/>
        <v>1</v>
      </c>
      <c r="AJ7" s="50">
        <f t="shared" si="0"/>
        <v>1</v>
      </c>
      <c r="AK7" s="50">
        <f t="shared" si="0"/>
        <v>1</v>
      </c>
      <c r="AL7" s="50">
        <f t="shared" si="0"/>
        <v>1</v>
      </c>
      <c r="AM7" s="50">
        <f t="shared" si="0"/>
        <v>0</v>
      </c>
      <c r="AN7" s="51"/>
      <c r="AO7" s="45"/>
      <c r="AP7" s="45"/>
      <c r="AQ7" s="45"/>
      <c r="AR7" s="45"/>
      <c r="AS7" s="45"/>
      <c r="AT7" s="45"/>
      <c r="AU7" s="45"/>
      <c r="AV7" s="45"/>
      <c r="AW7" s="45"/>
      <c r="AX7" s="45"/>
    </row>
    <row r="8" spans="1:50" ht="48" customHeight="1" x14ac:dyDescent="0.3">
      <c r="A8" s="52"/>
      <c r="B8" s="64"/>
      <c r="C8" s="65"/>
      <c r="D8" s="53"/>
      <c r="E8" s="53"/>
      <c r="F8" s="64"/>
      <c r="G8" s="64"/>
      <c r="H8" s="53"/>
      <c r="I8" s="51"/>
      <c r="J8" s="51"/>
      <c r="K8" s="51"/>
      <c r="L8" s="65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65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3"/>
      <c r="AL8" s="53"/>
      <c r="AM8" s="51"/>
      <c r="AN8" s="51"/>
      <c r="AO8" s="45"/>
      <c r="AP8" s="45"/>
      <c r="AQ8" s="45"/>
      <c r="AR8" s="45"/>
      <c r="AS8" s="45"/>
      <c r="AT8" s="45"/>
      <c r="AU8" s="45"/>
      <c r="AV8" s="45"/>
      <c r="AW8" s="45"/>
      <c r="AX8" s="45"/>
    </row>
    <row r="9" spans="1:50" ht="60" hidden="1" customHeight="1" x14ac:dyDescent="0.3">
      <c r="A9" s="52">
        <v>2287</v>
      </c>
      <c r="B9" s="53" t="s">
        <v>525</v>
      </c>
      <c r="C9" s="54">
        <v>101124000</v>
      </c>
      <c r="D9" s="53" t="s">
        <v>526</v>
      </c>
      <c r="E9" s="53" t="s">
        <v>787</v>
      </c>
      <c r="F9" s="53" t="s">
        <v>525</v>
      </c>
      <c r="G9" s="53" t="s">
        <v>527</v>
      </c>
      <c r="H9" s="53">
        <v>224</v>
      </c>
      <c r="I9" s="51" t="s">
        <v>528</v>
      </c>
      <c r="J9" s="51"/>
      <c r="K9" s="51">
        <v>1473</v>
      </c>
      <c r="L9" s="51">
        <f t="shared" ref="L9:L15" si="2">SUM(J9:K9)</f>
        <v>1473</v>
      </c>
      <c r="M9" s="51" t="s">
        <v>91</v>
      </c>
      <c r="N9" s="51" t="s">
        <v>90</v>
      </c>
      <c r="O9" s="51"/>
      <c r="P9" s="51" t="s">
        <v>90</v>
      </c>
      <c r="Q9" s="51" t="s">
        <v>111</v>
      </c>
      <c r="R9" s="51"/>
      <c r="S9" s="51"/>
      <c r="T9" s="51"/>
      <c r="U9" s="51">
        <v>16</v>
      </c>
      <c r="V9" s="51">
        <v>15</v>
      </c>
      <c r="W9" s="51"/>
      <c r="X9" s="51">
        <f t="shared" ref="X9:X13" si="3">SUM(R9:W9)</f>
        <v>31</v>
      </c>
      <c r="Y9" s="51">
        <v>31</v>
      </c>
      <c r="Z9" s="51"/>
      <c r="AA9" s="51"/>
      <c r="AB9" s="51">
        <f t="shared" ref="AB9:AB12" si="4">SUM(Y9:AA9)</f>
        <v>31</v>
      </c>
      <c r="AC9" s="51">
        <v>31</v>
      </c>
      <c r="AD9" s="51"/>
      <c r="AE9" s="51"/>
      <c r="AF9" s="51"/>
      <c r="AG9" s="51"/>
      <c r="AH9" s="51">
        <f t="shared" ref="AH9:AH12" si="5">SUM(AC9:AG9)</f>
        <v>31</v>
      </c>
      <c r="AI9" s="51" t="s">
        <v>93</v>
      </c>
      <c r="AJ9" s="51">
        <v>3</v>
      </c>
      <c r="AK9" s="53" t="s">
        <v>529</v>
      </c>
      <c r="AL9" s="55">
        <v>46105</v>
      </c>
      <c r="AM9" s="51"/>
      <c r="AN9" s="51"/>
      <c r="AO9" s="45"/>
      <c r="AP9" s="45"/>
      <c r="AQ9" s="45"/>
      <c r="AR9" s="45"/>
      <c r="AS9" s="45"/>
      <c r="AT9" s="45"/>
      <c r="AU9" s="45"/>
      <c r="AV9" s="45"/>
      <c r="AW9" s="45"/>
      <c r="AX9" s="45"/>
    </row>
    <row r="10" spans="1:50" ht="60" hidden="1" customHeight="1" x14ac:dyDescent="0.3">
      <c r="A10" s="52">
        <v>2288</v>
      </c>
      <c r="B10" s="53" t="s">
        <v>530</v>
      </c>
      <c r="C10" s="54">
        <v>101121000</v>
      </c>
      <c r="D10" s="53" t="s">
        <v>531</v>
      </c>
      <c r="E10" s="53" t="s">
        <v>788</v>
      </c>
      <c r="F10" s="53" t="s">
        <v>532</v>
      </c>
      <c r="G10" s="53" t="s">
        <v>527</v>
      </c>
      <c r="H10" s="53" t="s">
        <v>533</v>
      </c>
      <c r="I10" s="51" t="s">
        <v>534</v>
      </c>
      <c r="J10" s="51"/>
      <c r="K10" s="51">
        <v>752</v>
      </c>
      <c r="L10" s="51">
        <f t="shared" si="2"/>
        <v>752</v>
      </c>
      <c r="M10" s="51" t="s">
        <v>91</v>
      </c>
      <c r="N10" s="51" t="s">
        <v>90</v>
      </c>
      <c r="O10" s="51"/>
      <c r="P10" s="51" t="s">
        <v>90</v>
      </c>
      <c r="Q10" s="51" t="s">
        <v>111</v>
      </c>
      <c r="R10" s="51"/>
      <c r="S10" s="51"/>
      <c r="T10" s="51"/>
      <c r="U10" s="51">
        <v>21</v>
      </c>
      <c r="V10" s="51"/>
      <c r="W10" s="51"/>
      <c r="X10" s="51">
        <f t="shared" si="3"/>
        <v>21</v>
      </c>
      <c r="Y10" s="51">
        <v>21</v>
      </c>
      <c r="Z10" s="51"/>
      <c r="AA10" s="51"/>
      <c r="AB10" s="51">
        <f t="shared" si="4"/>
        <v>21</v>
      </c>
      <c r="AC10" s="51">
        <v>21</v>
      </c>
      <c r="AD10" s="51"/>
      <c r="AE10" s="51"/>
      <c r="AF10" s="51"/>
      <c r="AG10" s="51"/>
      <c r="AH10" s="51">
        <f t="shared" si="5"/>
        <v>21</v>
      </c>
      <c r="AI10" s="51" t="s">
        <v>93</v>
      </c>
      <c r="AJ10" s="51">
        <v>3</v>
      </c>
      <c r="AK10" s="53" t="s">
        <v>529</v>
      </c>
      <c r="AL10" s="55">
        <v>46105</v>
      </c>
      <c r="AM10" s="51"/>
      <c r="AN10" s="51"/>
      <c r="AO10" s="45"/>
      <c r="AP10" s="45"/>
      <c r="AQ10" s="45"/>
      <c r="AR10" s="45"/>
      <c r="AS10" s="45"/>
      <c r="AT10" s="45"/>
      <c r="AU10" s="45"/>
      <c r="AV10" s="45"/>
      <c r="AW10" s="45"/>
      <c r="AX10" s="45"/>
    </row>
    <row r="11" spans="1:50" ht="60" hidden="1" customHeight="1" x14ac:dyDescent="0.3">
      <c r="A11" s="52">
        <v>2288</v>
      </c>
      <c r="B11" s="53" t="s">
        <v>535</v>
      </c>
      <c r="C11" s="54">
        <v>101120000</v>
      </c>
      <c r="D11" s="53"/>
      <c r="E11" s="53" t="s">
        <v>789</v>
      </c>
      <c r="F11" s="53" t="s">
        <v>532</v>
      </c>
      <c r="G11" s="53" t="s">
        <v>527</v>
      </c>
      <c r="H11" s="53" t="s">
        <v>536</v>
      </c>
      <c r="I11" s="51" t="s">
        <v>537</v>
      </c>
      <c r="J11" s="51"/>
      <c r="K11" s="51">
        <f>2103-K13+K14</f>
        <v>2028</v>
      </c>
      <c r="L11" s="51">
        <f t="shared" si="2"/>
        <v>2028</v>
      </c>
      <c r="M11" s="51" t="s">
        <v>91</v>
      </c>
      <c r="N11" s="51" t="s">
        <v>90</v>
      </c>
      <c r="O11" s="51"/>
      <c r="P11" s="51" t="s">
        <v>90</v>
      </c>
      <c r="Q11" s="51" t="s">
        <v>111</v>
      </c>
      <c r="R11" s="51"/>
      <c r="S11" s="51"/>
      <c r="T11" s="51"/>
      <c r="U11" s="51">
        <v>22</v>
      </c>
      <c r="V11" s="51"/>
      <c r="W11" s="51"/>
      <c r="X11" s="51">
        <f t="shared" si="3"/>
        <v>22</v>
      </c>
      <c r="Y11" s="51">
        <v>22</v>
      </c>
      <c r="Z11" s="51"/>
      <c r="AA11" s="51"/>
      <c r="AB11" s="51">
        <f t="shared" si="4"/>
        <v>22</v>
      </c>
      <c r="AC11" s="51">
        <v>22</v>
      </c>
      <c r="AD11" s="51"/>
      <c r="AE11" s="51"/>
      <c r="AF11" s="51"/>
      <c r="AG11" s="51"/>
      <c r="AH11" s="51">
        <f t="shared" si="5"/>
        <v>22</v>
      </c>
      <c r="AI11" s="51" t="s">
        <v>93</v>
      </c>
      <c r="AJ11" s="51">
        <v>3</v>
      </c>
      <c r="AK11" s="53" t="s">
        <v>529</v>
      </c>
      <c r="AL11" s="55">
        <v>46105</v>
      </c>
      <c r="AM11" s="51"/>
      <c r="AN11" s="51"/>
      <c r="AO11" s="45"/>
      <c r="AP11" s="45"/>
      <c r="AQ11" s="45"/>
      <c r="AR11" s="45"/>
      <c r="AS11" s="45"/>
      <c r="AT11" s="45"/>
      <c r="AU11" s="45"/>
      <c r="AV11" s="45"/>
      <c r="AW11" s="45"/>
      <c r="AX11" s="45"/>
    </row>
    <row r="12" spans="1:50" ht="60" hidden="1" customHeight="1" x14ac:dyDescent="0.3">
      <c r="A12" s="52">
        <v>2289</v>
      </c>
      <c r="B12" s="53" t="s">
        <v>538</v>
      </c>
      <c r="C12" s="54">
        <v>101123000</v>
      </c>
      <c r="D12" s="53" t="s">
        <v>539</v>
      </c>
      <c r="E12" s="53" t="s">
        <v>790</v>
      </c>
      <c r="F12" s="53" t="s">
        <v>538</v>
      </c>
      <c r="G12" s="53" t="s">
        <v>527</v>
      </c>
      <c r="H12" s="53">
        <v>129</v>
      </c>
      <c r="I12" s="56">
        <v>46143</v>
      </c>
      <c r="J12" s="51"/>
      <c r="K12" s="51">
        <v>322</v>
      </c>
      <c r="L12" s="51">
        <f t="shared" si="2"/>
        <v>322</v>
      </c>
      <c r="M12" s="51" t="s">
        <v>91</v>
      </c>
      <c r="N12" s="51" t="s">
        <v>90</v>
      </c>
      <c r="O12" s="51"/>
      <c r="P12" s="51" t="s">
        <v>90</v>
      </c>
      <c r="Q12" s="51" t="s">
        <v>111</v>
      </c>
      <c r="R12" s="51"/>
      <c r="S12" s="51"/>
      <c r="T12" s="51"/>
      <c r="U12" s="51">
        <v>5</v>
      </c>
      <c r="V12" s="51"/>
      <c r="W12" s="51"/>
      <c r="X12" s="51">
        <f t="shared" si="3"/>
        <v>5</v>
      </c>
      <c r="Y12" s="51">
        <v>5</v>
      </c>
      <c r="Z12" s="51"/>
      <c r="AA12" s="51"/>
      <c r="AB12" s="51">
        <f t="shared" si="4"/>
        <v>5</v>
      </c>
      <c r="AC12" s="51">
        <v>5</v>
      </c>
      <c r="AD12" s="51"/>
      <c r="AE12" s="51"/>
      <c r="AF12" s="51"/>
      <c r="AG12" s="51"/>
      <c r="AH12" s="51">
        <f t="shared" si="5"/>
        <v>5</v>
      </c>
      <c r="AI12" s="51" t="s">
        <v>93</v>
      </c>
      <c r="AJ12" s="51">
        <v>3</v>
      </c>
      <c r="AK12" s="53" t="s">
        <v>529</v>
      </c>
      <c r="AL12" s="55">
        <v>46105</v>
      </c>
      <c r="AM12" s="51"/>
      <c r="AN12" s="51"/>
      <c r="AO12" s="45"/>
      <c r="AP12" s="45"/>
      <c r="AQ12" s="45"/>
      <c r="AR12" s="45"/>
      <c r="AS12" s="45"/>
      <c r="AT12" s="45"/>
      <c r="AU12" s="45"/>
      <c r="AV12" s="45"/>
      <c r="AW12" s="45"/>
      <c r="AX12" s="45"/>
    </row>
    <row r="13" spans="1:50" ht="60" hidden="1" customHeight="1" x14ac:dyDescent="0.3">
      <c r="A13" s="52">
        <v>2290</v>
      </c>
      <c r="B13" s="53"/>
      <c r="C13" s="51"/>
      <c r="D13" s="53"/>
      <c r="E13" s="53"/>
      <c r="F13" s="53" t="s">
        <v>540</v>
      </c>
      <c r="G13" s="53" t="s">
        <v>527</v>
      </c>
      <c r="H13" s="53"/>
      <c r="I13" s="57" t="s">
        <v>541</v>
      </c>
      <c r="J13" s="51"/>
      <c r="K13" s="51">
        <v>440</v>
      </c>
      <c r="L13" s="51">
        <f t="shared" si="2"/>
        <v>440</v>
      </c>
      <c r="M13" s="51"/>
      <c r="N13" s="51"/>
      <c r="O13" s="51"/>
      <c r="P13" s="51"/>
      <c r="Q13" s="51"/>
      <c r="R13" s="51"/>
      <c r="S13" s="51"/>
      <c r="T13" s="51"/>
      <c r="U13" s="51"/>
      <c r="V13" s="51">
        <v>11</v>
      </c>
      <c r="W13" s="51"/>
      <c r="X13" s="51">
        <f t="shared" si="3"/>
        <v>11</v>
      </c>
      <c r="Y13" s="51">
        <v>11</v>
      </c>
      <c r="Z13" s="51"/>
      <c r="AA13" s="51"/>
      <c r="AB13" s="51">
        <v>11</v>
      </c>
      <c r="AC13" s="51">
        <v>11</v>
      </c>
      <c r="AD13" s="51"/>
      <c r="AE13" s="51"/>
      <c r="AF13" s="51"/>
      <c r="AG13" s="51"/>
      <c r="AH13" s="51">
        <v>11</v>
      </c>
      <c r="AI13" s="51"/>
      <c r="AJ13" s="51"/>
      <c r="AK13" s="53" t="s">
        <v>529</v>
      </c>
      <c r="AL13" s="55"/>
      <c r="AM13" s="51"/>
      <c r="AN13" s="51"/>
      <c r="AO13" s="45"/>
      <c r="AP13" s="45"/>
      <c r="AQ13" s="45"/>
      <c r="AR13" s="45"/>
      <c r="AS13" s="45"/>
      <c r="AT13" s="45"/>
      <c r="AU13" s="45"/>
      <c r="AV13" s="45"/>
      <c r="AW13" s="45"/>
      <c r="AX13" s="45"/>
    </row>
    <row r="14" spans="1:50" ht="60" hidden="1" customHeight="1" x14ac:dyDescent="0.3">
      <c r="A14" s="52">
        <v>2291</v>
      </c>
      <c r="B14" s="53"/>
      <c r="C14" s="51"/>
      <c r="D14" s="53"/>
      <c r="E14" s="53"/>
      <c r="F14" s="53" t="s">
        <v>542</v>
      </c>
      <c r="G14" s="53" t="s">
        <v>527</v>
      </c>
      <c r="H14" s="53"/>
      <c r="I14" s="57" t="s">
        <v>543</v>
      </c>
      <c r="J14" s="51"/>
      <c r="K14" s="51">
        <v>365</v>
      </c>
      <c r="L14" s="51">
        <f t="shared" si="2"/>
        <v>365</v>
      </c>
      <c r="M14" s="51"/>
      <c r="N14" s="51"/>
      <c r="O14" s="51"/>
      <c r="P14" s="51"/>
      <c r="Q14" s="51"/>
      <c r="R14" s="51"/>
      <c r="S14" s="51"/>
      <c r="T14" s="51"/>
      <c r="U14" s="51"/>
      <c r="V14" s="51">
        <v>10</v>
      </c>
      <c r="W14" s="51"/>
      <c r="X14" s="51">
        <v>10</v>
      </c>
      <c r="Y14" s="51">
        <v>10</v>
      </c>
      <c r="Z14" s="51"/>
      <c r="AA14" s="51"/>
      <c r="AB14" s="51">
        <v>10</v>
      </c>
      <c r="AC14" s="51">
        <v>10</v>
      </c>
      <c r="AD14" s="51"/>
      <c r="AE14" s="51"/>
      <c r="AF14" s="51"/>
      <c r="AG14" s="51"/>
      <c r="AH14" s="51">
        <v>10</v>
      </c>
      <c r="AI14" s="51"/>
      <c r="AJ14" s="51"/>
      <c r="AK14" s="53" t="s">
        <v>529</v>
      </c>
      <c r="AL14" s="55"/>
      <c r="AM14" s="51"/>
      <c r="AN14" s="51"/>
      <c r="AO14" s="45"/>
      <c r="AP14" s="45"/>
      <c r="AQ14" s="45"/>
      <c r="AR14" s="45"/>
      <c r="AS14" s="45"/>
      <c r="AT14" s="45"/>
      <c r="AU14" s="45"/>
      <c r="AV14" s="45"/>
      <c r="AW14" s="45"/>
      <c r="AX14" s="45"/>
    </row>
    <row r="15" spans="1:50" ht="60" hidden="1" customHeight="1" x14ac:dyDescent="0.3">
      <c r="A15" s="52">
        <v>2292</v>
      </c>
      <c r="B15" s="53" t="s">
        <v>544</v>
      </c>
      <c r="C15" s="54">
        <v>101122000</v>
      </c>
      <c r="D15" s="53" t="s">
        <v>545</v>
      </c>
      <c r="E15" s="53" t="s">
        <v>791</v>
      </c>
      <c r="F15" s="53" t="s">
        <v>544</v>
      </c>
      <c r="G15" s="53" t="s">
        <v>527</v>
      </c>
      <c r="H15" s="53" t="s">
        <v>546</v>
      </c>
      <c r="I15" s="56">
        <v>46204</v>
      </c>
      <c r="J15" s="51"/>
      <c r="K15" s="51">
        <v>348</v>
      </c>
      <c r="L15" s="51">
        <f t="shared" si="2"/>
        <v>348</v>
      </c>
      <c r="M15" s="51" t="s">
        <v>91</v>
      </c>
      <c r="N15" s="51" t="s">
        <v>90</v>
      </c>
      <c r="O15" s="51"/>
      <c r="P15" s="51" t="s">
        <v>90</v>
      </c>
      <c r="Q15" s="51" t="s">
        <v>92</v>
      </c>
      <c r="R15" s="51"/>
      <c r="S15" s="51"/>
      <c r="T15" s="51"/>
      <c r="U15" s="51">
        <v>7</v>
      </c>
      <c r="V15" s="51"/>
      <c r="W15" s="51"/>
      <c r="X15" s="51">
        <f>SUM(R15:W15)</f>
        <v>7</v>
      </c>
      <c r="Y15" s="51">
        <v>7</v>
      </c>
      <c r="Z15" s="51"/>
      <c r="AA15" s="51"/>
      <c r="AB15" s="51">
        <f>SUM(Y15:AA15)</f>
        <v>7</v>
      </c>
      <c r="AC15" s="51">
        <v>7</v>
      </c>
      <c r="AD15" s="51"/>
      <c r="AE15" s="51"/>
      <c r="AF15" s="51"/>
      <c r="AG15" s="51"/>
      <c r="AH15" s="51">
        <f>SUM(AC15:AG15)</f>
        <v>7</v>
      </c>
      <c r="AI15" s="51" t="s">
        <v>93</v>
      </c>
      <c r="AJ15" s="51">
        <v>3</v>
      </c>
      <c r="AK15" s="53" t="s">
        <v>529</v>
      </c>
      <c r="AL15" s="55">
        <v>46105</v>
      </c>
      <c r="AM15" s="51"/>
      <c r="AN15" s="51"/>
      <c r="AO15" s="45"/>
      <c r="AP15" s="45"/>
      <c r="AQ15" s="45"/>
      <c r="AR15" s="45"/>
      <c r="AS15" s="45"/>
      <c r="AT15" s="45"/>
      <c r="AU15" s="45"/>
      <c r="AV15" s="45"/>
      <c r="AW15" s="45"/>
      <c r="AX15" s="45"/>
    </row>
    <row r="16" spans="1:50" ht="60" hidden="1" customHeight="1" x14ac:dyDescent="0.3">
      <c r="A16" s="52">
        <v>2293</v>
      </c>
      <c r="B16" s="53"/>
      <c r="C16" s="51"/>
      <c r="D16" s="53"/>
      <c r="E16" s="53"/>
      <c r="F16" s="53" t="s">
        <v>547</v>
      </c>
      <c r="G16" s="53" t="s">
        <v>527</v>
      </c>
      <c r="H16" s="53"/>
      <c r="I16" s="58" t="s">
        <v>548</v>
      </c>
      <c r="J16" s="51"/>
      <c r="K16" s="51">
        <v>345</v>
      </c>
      <c r="L16" s="51"/>
      <c r="M16" s="51"/>
      <c r="N16" s="51"/>
      <c r="O16" s="51"/>
      <c r="P16" s="51"/>
      <c r="Q16" s="51"/>
      <c r="R16" s="51"/>
      <c r="S16" s="51"/>
      <c r="T16" s="51"/>
      <c r="U16" s="51">
        <v>6</v>
      </c>
      <c r="V16" s="51"/>
      <c r="W16" s="51"/>
      <c r="X16" s="51">
        <v>6</v>
      </c>
      <c r="Y16" s="51">
        <v>6</v>
      </c>
      <c r="Z16" s="51"/>
      <c r="AA16" s="51"/>
      <c r="AB16" s="51"/>
      <c r="AC16" s="51"/>
      <c r="AD16" s="51">
        <v>6</v>
      </c>
      <c r="AE16" s="51"/>
      <c r="AF16" s="51"/>
      <c r="AG16" s="51"/>
      <c r="AH16" s="51">
        <v>6</v>
      </c>
      <c r="AI16" s="51"/>
      <c r="AJ16" s="51"/>
      <c r="AK16" s="53" t="s">
        <v>529</v>
      </c>
      <c r="AL16" s="55"/>
      <c r="AM16" s="51"/>
      <c r="AN16" s="51"/>
      <c r="AO16" s="45"/>
      <c r="AP16" s="45"/>
      <c r="AQ16" s="45"/>
      <c r="AR16" s="45"/>
      <c r="AS16" s="45"/>
      <c r="AT16" s="45"/>
      <c r="AU16" s="45"/>
      <c r="AV16" s="45"/>
      <c r="AW16" s="45"/>
      <c r="AX16" s="45"/>
    </row>
    <row r="17" spans="1:50" ht="60" hidden="1" customHeight="1" x14ac:dyDescent="0.3">
      <c r="A17" s="52">
        <v>2294</v>
      </c>
      <c r="B17" s="53" t="s">
        <v>549</v>
      </c>
      <c r="C17" s="54">
        <v>109314000</v>
      </c>
      <c r="D17" s="53" t="s">
        <v>550</v>
      </c>
      <c r="E17" s="53" t="s">
        <v>786</v>
      </c>
      <c r="F17" s="53" t="s">
        <v>549</v>
      </c>
      <c r="G17" s="53" t="s">
        <v>527</v>
      </c>
      <c r="H17" s="53" t="s">
        <v>551</v>
      </c>
      <c r="I17" s="58" t="s">
        <v>543</v>
      </c>
      <c r="J17" s="51"/>
      <c r="K17" s="51">
        <f>555+65</f>
        <v>620</v>
      </c>
      <c r="L17" s="51">
        <f t="shared" ref="L17:L68" si="6">SUM(J17:K17)</f>
        <v>620</v>
      </c>
      <c r="M17" s="51"/>
      <c r="N17" s="51" t="s">
        <v>90</v>
      </c>
      <c r="O17" s="51"/>
      <c r="P17" s="51" t="s">
        <v>90</v>
      </c>
      <c r="Q17" s="51"/>
      <c r="R17" s="51"/>
      <c r="S17" s="51"/>
      <c r="T17" s="51"/>
      <c r="U17" s="51">
        <v>10</v>
      </c>
      <c r="V17" s="51"/>
      <c r="W17" s="51"/>
      <c r="X17" s="51">
        <f t="shared" ref="X17:X68" si="7">SUM(R17:W17)</f>
        <v>10</v>
      </c>
      <c r="Y17" s="51">
        <v>10</v>
      </c>
      <c r="Z17" s="51"/>
      <c r="AA17" s="51"/>
      <c r="AB17" s="51">
        <f t="shared" ref="AB17:AB27" si="8">SUM(Y17:AA17)</f>
        <v>10</v>
      </c>
      <c r="AC17" s="51"/>
      <c r="AD17" s="51">
        <v>10</v>
      </c>
      <c r="AE17" s="51"/>
      <c r="AF17" s="51"/>
      <c r="AG17" s="51"/>
      <c r="AH17" s="51">
        <f t="shared" ref="AH17:AH27" si="9">SUM(AC17:AG17)</f>
        <v>10</v>
      </c>
      <c r="AI17" s="51" t="s">
        <v>93</v>
      </c>
      <c r="AJ17" s="51">
        <v>3</v>
      </c>
      <c r="AK17" s="53" t="s">
        <v>529</v>
      </c>
      <c r="AL17" s="55">
        <v>46106</v>
      </c>
      <c r="AM17" s="51"/>
      <c r="AN17" s="51"/>
      <c r="AO17" s="45"/>
      <c r="AP17" s="45"/>
      <c r="AQ17" s="45"/>
      <c r="AR17" s="45"/>
      <c r="AS17" s="45"/>
      <c r="AT17" s="45"/>
      <c r="AU17" s="45"/>
      <c r="AV17" s="45"/>
      <c r="AW17" s="45"/>
      <c r="AX17" s="45"/>
    </row>
    <row r="18" spans="1:50" ht="60" hidden="1" customHeight="1" x14ac:dyDescent="0.3">
      <c r="A18" s="52">
        <v>2295</v>
      </c>
      <c r="B18" s="53" t="s">
        <v>552</v>
      </c>
      <c r="C18" s="54">
        <v>101313000</v>
      </c>
      <c r="D18" s="53" t="s">
        <v>553</v>
      </c>
      <c r="E18" s="53" t="s">
        <v>792</v>
      </c>
      <c r="F18" s="53" t="s">
        <v>552</v>
      </c>
      <c r="G18" s="53" t="s">
        <v>527</v>
      </c>
      <c r="H18" s="53" t="s">
        <v>554</v>
      </c>
      <c r="I18" s="58" t="s">
        <v>555</v>
      </c>
      <c r="J18" s="51"/>
      <c r="K18" s="51">
        <v>710</v>
      </c>
      <c r="L18" s="51">
        <f t="shared" si="6"/>
        <v>710</v>
      </c>
      <c r="M18" s="51"/>
      <c r="N18" s="51" t="s">
        <v>90</v>
      </c>
      <c r="O18" s="51"/>
      <c r="P18" s="51" t="s">
        <v>90</v>
      </c>
      <c r="Q18" s="51"/>
      <c r="R18" s="51"/>
      <c r="S18" s="51"/>
      <c r="T18" s="51"/>
      <c r="U18" s="51">
        <v>12</v>
      </c>
      <c r="V18" s="51"/>
      <c r="W18" s="51"/>
      <c r="X18" s="51">
        <f t="shared" si="7"/>
        <v>12</v>
      </c>
      <c r="Y18" s="51">
        <v>12</v>
      </c>
      <c r="Z18" s="51"/>
      <c r="AA18" s="51"/>
      <c r="AB18" s="51">
        <f t="shared" si="8"/>
        <v>12</v>
      </c>
      <c r="AC18" s="51"/>
      <c r="AD18" s="51">
        <v>12</v>
      </c>
      <c r="AE18" s="51"/>
      <c r="AF18" s="51"/>
      <c r="AG18" s="51"/>
      <c r="AH18" s="51">
        <f t="shared" si="9"/>
        <v>12</v>
      </c>
      <c r="AI18" s="51" t="s">
        <v>93</v>
      </c>
      <c r="AJ18" s="51">
        <v>3</v>
      </c>
      <c r="AK18" s="53" t="s">
        <v>529</v>
      </c>
      <c r="AL18" s="55">
        <v>46106</v>
      </c>
      <c r="AM18" s="51"/>
      <c r="AN18" s="51"/>
      <c r="AO18" s="45"/>
      <c r="AP18" s="45"/>
      <c r="AQ18" s="45"/>
      <c r="AR18" s="45"/>
      <c r="AS18" s="45"/>
      <c r="AT18" s="45"/>
      <c r="AU18" s="45"/>
      <c r="AV18" s="45"/>
      <c r="AW18" s="45"/>
      <c r="AX18" s="45"/>
    </row>
    <row r="19" spans="1:50" ht="60" hidden="1" customHeight="1" x14ac:dyDescent="0.3">
      <c r="A19" s="52">
        <v>2296</v>
      </c>
      <c r="B19" s="53" t="s">
        <v>556</v>
      </c>
      <c r="C19" s="54">
        <v>101316000</v>
      </c>
      <c r="D19" s="53" t="s">
        <v>557</v>
      </c>
      <c r="E19" s="53" t="s">
        <v>793</v>
      </c>
      <c r="F19" s="53" t="s">
        <v>556</v>
      </c>
      <c r="G19" s="53" t="s">
        <v>527</v>
      </c>
      <c r="H19" s="53"/>
      <c r="I19" s="58" t="s">
        <v>558</v>
      </c>
      <c r="J19" s="51"/>
      <c r="K19" s="51">
        <v>405</v>
      </c>
      <c r="L19" s="51">
        <f t="shared" si="6"/>
        <v>405</v>
      </c>
      <c r="M19" s="51"/>
      <c r="N19" s="51" t="s">
        <v>90</v>
      </c>
      <c r="O19" s="51"/>
      <c r="P19" s="51" t="s">
        <v>90</v>
      </c>
      <c r="Q19" s="51"/>
      <c r="R19" s="51"/>
      <c r="S19" s="51"/>
      <c r="T19" s="51"/>
      <c r="U19" s="51">
        <v>8</v>
      </c>
      <c r="V19" s="51"/>
      <c r="W19" s="51"/>
      <c r="X19" s="51">
        <f t="shared" si="7"/>
        <v>8</v>
      </c>
      <c r="Y19" s="51">
        <v>8</v>
      </c>
      <c r="Z19" s="51"/>
      <c r="AA19" s="51"/>
      <c r="AB19" s="51">
        <f t="shared" si="8"/>
        <v>8</v>
      </c>
      <c r="AC19" s="51"/>
      <c r="AD19" s="51">
        <v>8</v>
      </c>
      <c r="AE19" s="51"/>
      <c r="AF19" s="51"/>
      <c r="AG19" s="51"/>
      <c r="AH19" s="51">
        <f t="shared" si="9"/>
        <v>8</v>
      </c>
      <c r="AI19" s="51" t="s">
        <v>93</v>
      </c>
      <c r="AJ19" s="51">
        <v>3</v>
      </c>
      <c r="AK19" s="53" t="s">
        <v>529</v>
      </c>
      <c r="AL19" s="55">
        <v>46106</v>
      </c>
      <c r="AM19" s="51"/>
      <c r="AN19" s="51"/>
      <c r="AO19" s="45"/>
      <c r="AP19" s="45"/>
      <c r="AQ19" s="45"/>
      <c r="AR19" s="45"/>
      <c r="AS19" s="45"/>
      <c r="AT19" s="45"/>
      <c r="AU19" s="45"/>
      <c r="AV19" s="45"/>
      <c r="AW19" s="45"/>
      <c r="AX19" s="45"/>
    </row>
    <row r="20" spans="1:50" ht="60" hidden="1" customHeight="1" x14ac:dyDescent="0.3">
      <c r="A20" s="52">
        <v>2297</v>
      </c>
      <c r="B20" s="53"/>
      <c r="C20" s="51"/>
      <c r="D20" s="53"/>
      <c r="E20" s="53"/>
      <c r="F20" s="53" t="s">
        <v>559</v>
      </c>
      <c r="G20" s="53" t="s">
        <v>527</v>
      </c>
      <c r="H20" s="53"/>
      <c r="I20" s="58" t="s">
        <v>560</v>
      </c>
      <c r="J20" s="51"/>
      <c r="K20" s="51">
        <v>410</v>
      </c>
      <c r="L20" s="51">
        <f t="shared" si="6"/>
        <v>410</v>
      </c>
      <c r="M20" s="51"/>
      <c r="N20" s="51"/>
      <c r="O20" s="51"/>
      <c r="P20" s="51"/>
      <c r="Q20" s="51"/>
      <c r="R20" s="51"/>
      <c r="S20" s="51"/>
      <c r="T20" s="51"/>
      <c r="U20" s="51">
        <v>9</v>
      </c>
      <c r="V20" s="51"/>
      <c r="W20" s="51"/>
      <c r="X20" s="51">
        <f t="shared" si="7"/>
        <v>9</v>
      </c>
      <c r="Y20" s="51">
        <v>9</v>
      </c>
      <c r="Z20" s="51"/>
      <c r="AA20" s="51"/>
      <c r="AB20" s="51">
        <f t="shared" si="8"/>
        <v>9</v>
      </c>
      <c r="AC20" s="51"/>
      <c r="AD20" s="51">
        <v>9</v>
      </c>
      <c r="AE20" s="51"/>
      <c r="AF20" s="51"/>
      <c r="AG20" s="51"/>
      <c r="AH20" s="51">
        <f t="shared" si="9"/>
        <v>9</v>
      </c>
      <c r="AI20" s="51"/>
      <c r="AJ20" s="51"/>
      <c r="AK20" s="53" t="s">
        <v>529</v>
      </c>
      <c r="AL20" s="55">
        <v>46106</v>
      </c>
      <c r="AM20" s="51"/>
      <c r="AN20" s="51"/>
      <c r="AO20" s="45"/>
      <c r="AP20" s="45"/>
      <c r="AQ20" s="45"/>
      <c r="AR20" s="45"/>
      <c r="AS20" s="45"/>
      <c r="AT20" s="45"/>
      <c r="AU20" s="45"/>
      <c r="AV20" s="45"/>
      <c r="AW20" s="45"/>
      <c r="AX20" s="45"/>
    </row>
    <row r="21" spans="1:50" ht="60" hidden="1" customHeight="1" x14ac:dyDescent="0.3">
      <c r="A21" s="52">
        <v>2298</v>
      </c>
      <c r="B21" s="53" t="s">
        <v>561</v>
      </c>
      <c r="C21" s="54">
        <v>101151000</v>
      </c>
      <c r="D21" s="53" t="s">
        <v>562</v>
      </c>
      <c r="E21" s="53" t="s">
        <v>794</v>
      </c>
      <c r="F21" s="53" t="s">
        <v>561</v>
      </c>
      <c r="G21" s="53" t="s">
        <v>527</v>
      </c>
      <c r="H21" s="53" t="s">
        <v>563</v>
      </c>
      <c r="I21" s="58" t="s">
        <v>548</v>
      </c>
      <c r="J21" s="51"/>
      <c r="K21" s="51">
        <v>195</v>
      </c>
      <c r="L21" s="51">
        <f t="shared" si="6"/>
        <v>195</v>
      </c>
      <c r="M21" s="51"/>
      <c r="N21" s="51" t="s">
        <v>90</v>
      </c>
      <c r="O21" s="51"/>
      <c r="P21" s="51" t="s">
        <v>90</v>
      </c>
      <c r="Q21" s="51"/>
      <c r="R21" s="51"/>
      <c r="S21" s="51"/>
      <c r="T21" s="51"/>
      <c r="U21" s="51"/>
      <c r="V21" s="51">
        <v>6</v>
      </c>
      <c r="W21" s="51"/>
      <c r="X21" s="51">
        <f t="shared" si="7"/>
        <v>6</v>
      </c>
      <c r="Y21" s="51"/>
      <c r="Z21" s="51"/>
      <c r="AA21" s="51"/>
      <c r="AB21" s="51">
        <f t="shared" si="8"/>
        <v>0</v>
      </c>
      <c r="AC21" s="51"/>
      <c r="AD21" s="51">
        <v>6</v>
      </c>
      <c r="AE21" s="51"/>
      <c r="AF21" s="51"/>
      <c r="AG21" s="51"/>
      <c r="AH21" s="51">
        <f t="shared" si="9"/>
        <v>6</v>
      </c>
      <c r="AI21" s="51" t="s">
        <v>93</v>
      </c>
      <c r="AJ21" s="51">
        <v>3</v>
      </c>
      <c r="AK21" s="53" t="s">
        <v>529</v>
      </c>
      <c r="AL21" s="55">
        <v>46106</v>
      </c>
      <c r="AM21" s="51"/>
      <c r="AN21" s="51"/>
      <c r="AO21" s="45"/>
      <c r="AP21" s="45"/>
      <c r="AQ21" s="45"/>
      <c r="AR21" s="45"/>
      <c r="AS21" s="45"/>
      <c r="AT21" s="45"/>
      <c r="AU21" s="45"/>
      <c r="AV21" s="45"/>
      <c r="AW21" s="45"/>
      <c r="AX21" s="45"/>
    </row>
    <row r="22" spans="1:50" ht="60" hidden="1" customHeight="1" x14ac:dyDescent="0.3">
      <c r="A22" s="52">
        <v>2299</v>
      </c>
      <c r="B22" s="53" t="s">
        <v>564</v>
      </c>
      <c r="C22" s="54">
        <v>101153000</v>
      </c>
      <c r="D22" s="53" t="s">
        <v>565</v>
      </c>
      <c r="E22" s="53" t="s">
        <v>795</v>
      </c>
      <c r="F22" s="53" t="s">
        <v>566</v>
      </c>
      <c r="G22" s="53" t="s">
        <v>527</v>
      </c>
      <c r="H22" s="53">
        <v>177</v>
      </c>
      <c r="I22" s="58" t="s">
        <v>567</v>
      </c>
      <c r="J22" s="51"/>
      <c r="K22" s="51">
        <f>245+490+375</f>
        <v>1110</v>
      </c>
      <c r="L22" s="51">
        <f t="shared" si="6"/>
        <v>1110</v>
      </c>
      <c r="M22" s="51"/>
      <c r="N22" s="51" t="s">
        <v>90</v>
      </c>
      <c r="O22" s="51"/>
      <c r="P22" s="51" t="s">
        <v>90</v>
      </c>
      <c r="Q22" s="51"/>
      <c r="R22" s="51"/>
      <c r="S22" s="51"/>
      <c r="T22" s="51"/>
      <c r="U22" s="51">
        <v>9</v>
      </c>
      <c r="V22" s="51">
        <v>25</v>
      </c>
      <c r="W22" s="51"/>
      <c r="X22" s="51">
        <f t="shared" si="7"/>
        <v>34</v>
      </c>
      <c r="Y22" s="51">
        <v>34</v>
      </c>
      <c r="Z22" s="51"/>
      <c r="AA22" s="51"/>
      <c r="AB22" s="51">
        <f t="shared" si="8"/>
        <v>34</v>
      </c>
      <c r="AC22" s="51"/>
      <c r="AD22" s="51">
        <v>34</v>
      </c>
      <c r="AE22" s="51"/>
      <c r="AF22" s="51"/>
      <c r="AG22" s="51"/>
      <c r="AH22" s="51">
        <f t="shared" si="9"/>
        <v>34</v>
      </c>
      <c r="AI22" s="51" t="s">
        <v>93</v>
      </c>
      <c r="AJ22" s="51">
        <v>3</v>
      </c>
      <c r="AK22" s="53" t="s">
        <v>529</v>
      </c>
      <c r="AL22" s="55">
        <v>46106</v>
      </c>
      <c r="AM22" s="51"/>
      <c r="AN22" s="51"/>
      <c r="AO22" s="45"/>
      <c r="AP22" s="45"/>
      <c r="AQ22" s="45"/>
      <c r="AR22" s="45"/>
      <c r="AS22" s="45"/>
      <c r="AT22" s="45"/>
      <c r="AU22" s="45"/>
      <c r="AV22" s="45"/>
      <c r="AW22" s="45"/>
      <c r="AX22" s="45"/>
    </row>
    <row r="23" spans="1:50" ht="60" hidden="1" customHeight="1" x14ac:dyDescent="0.3">
      <c r="A23" s="52">
        <v>2300</v>
      </c>
      <c r="B23" s="53"/>
      <c r="C23" s="51"/>
      <c r="D23" s="53"/>
      <c r="E23" s="53"/>
      <c r="F23" s="53" t="s">
        <v>564</v>
      </c>
      <c r="G23" s="53" t="s">
        <v>527</v>
      </c>
      <c r="H23" s="53"/>
      <c r="I23" s="58" t="s">
        <v>568</v>
      </c>
      <c r="J23" s="51"/>
      <c r="K23" s="51">
        <v>110</v>
      </c>
      <c r="L23" s="51">
        <f t="shared" si="6"/>
        <v>110</v>
      </c>
      <c r="M23" s="51"/>
      <c r="N23" s="51"/>
      <c r="O23" s="51"/>
      <c r="P23" s="51"/>
      <c r="Q23" s="51"/>
      <c r="R23" s="51"/>
      <c r="S23" s="51"/>
      <c r="T23" s="51"/>
      <c r="U23" s="51">
        <v>3</v>
      </c>
      <c r="V23" s="51"/>
      <c r="W23" s="51"/>
      <c r="X23" s="51">
        <f t="shared" si="7"/>
        <v>3</v>
      </c>
      <c r="Y23" s="51">
        <v>3</v>
      </c>
      <c r="Z23" s="51"/>
      <c r="AA23" s="51"/>
      <c r="AB23" s="51">
        <f t="shared" si="8"/>
        <v>3</v>
      </c>
      <c r="AC23" s="51"/>
      <c r="AD23" s="51">
        <v>3</v>
      </c>
      <c r="AE23" s="51"/>
      <c r="AF23" s="51"/>
      <c r="AG23" s="51"/>
      <c r="AH23" s="51">
        <f t="shared" si="9"/>
        <v>3</v>
      </c>
      <c r="AI23" s="51"/>
      <c r="AJ23" s="51"/>
      <c r="AK23" s="53" t="s">
        <v>529</v>
      </c>
      <c r="AL23" s="55">
        <v>46106</v>
      </c>
      <c r="AM23" s="51"/>
      <c r="AN23" s="51"/>
      <c r="AO23" s="45"/>
      <c r="AP23" s="45"/>
      <c r="AQ23" s="45"/>
      <c r="AR23" s="45"/>
      <c r="AS23" s="45"/>
      <c r="AT23" s="45"/>
      <c r="AU23" s="45"/>
      <c r="AV23" s="45"/>
      <c r="AW23" s="45"/>
      <c r="AX23" s="45"/>
    </row>
    <row r="24" spans="1:50" ht="60" hidden="1" customHeight="1" x14ac:dyDescent="0.3">
      <c r="A24" s="52">
        <v>2301</v>
      </c>
      <c r="B24" s="53" t="s">
        <v>569</v>
      </c>
      <c r="C24" s="54">
        <v>101154000</v>
      </c>
      <c r="D24" s="53" t="s">
        <v>570</v>
      </c>
      <c r="E24" s="53" t="s">
        <v>796</v>
      </c>
      <c r="F24" s="53" t="s">
        <v>571</v>
      </c>
      <c r="G24" s="53" t="s">
        <v>527</v>
      </c>
      <c r="H24" s="53" t="s">
        <v>572</v>
      </c>
      <c r="I24" s="58" t="s">
        <v>573</v>
      </c>
      <c r="J24" s="51"/>
      <c r="K24" s="51">
        <v>1495</v>
      </c>
      <c r="L24" s="51">
        <f t="shared" si="6"/>
        <v>1495</v>
      </c>
      <c r="M24" s="51"/>
      <c r="N24" s="51" t="s">
        <v>90</v>
      </c>
      <c r="O24" s="51"/>
      <c r="P24" s="51" t="s">
        <v>90</v>
      </c>
      <c r="Q24" s="51"/>
      <c r="R24" s="51"/>
      <c r="S24" s="51"/>
      <c r="T24" s="51"/>
      <c r="U24" s="51">
        <v>21</v>
      </c>
      <c r="V24" s="51">
        <v>11</v>
      </c>
      <c r="W24" s="51"/>
      <c r="X24" s="51">
        <f t="shared" si="7"/>
        <v>32</v>
      </c>
      <c r="Y24" s="51">
        <v>32</v>
      </c>
      <c r="Z24" s="51"/>
      <c r="AA24" s="51"/>
      <c r="AB24" s="51">
        <f t="shared" si="8"/>
        <v>32</v>
      </c>
      <c r="AC24" s="51"/>
      <c r="AD24" s="51">
        <v>32</v>
      </c>
      <c r="AE24" s="51"/>
      <c r="AF24" s="51"/>
      <c r="AG24" s="51"/>
      <c r="AH24" s="51">
        <f t="shared" si="9"/>
        <v>32</v>
      </c>
      <c r="AI24" s="51" t="s">
        <v>93</v>
      </c>
      <c r="AJ24" s="51">
        <v>3</v>
      </c>
      <c r="AK24" s="53" t="s">
        <v>529</v>
      </c>
      <c r="AL24" s="55">
        <v>46106</v>
      </c>
      <c r="AM24" s="51"/>
      <c r="AN24" s="51"/>
      <c r="AO24" s="45"/>
      <c r="AP24" s="45"/>
      <c r="AQ24" s="45"/>
      <c r="AR24" s="45"/>
      <c r="AS24" s="45"/>
      <c r="AT24" s="45"/>
      <c r="AU24" s="45"/>
      <c r="AV24" s="45"/>
      <c r="AW24" s="45"/>
      <c r="AX24" s="45"/>
    </row>
    <row r="25" spans="1:50" ht="60" hidden="1" customHeight="1" x14ac:dyDescent="0.3">
      <c r="A25" s="52">
        <v>2302</v>
      </c>
      <c r="B25" s="53" t="s">
        <v>574</v>
      </c>
      <c r="C25" s="54">
        <v>101315000</v>
      </c>
      <c r="D25" s="53" t="s">
        <v>575</v>
      </c>
      <c r="E25" s="53" t="s">
        <v>797</v>
      </c>
      <c r="F25" s="53" t="s">
        <v>574</v>
      </c>
      <c r="G25" s="53" t="s">
        <v>527</v>
      </c>
      <c r="H25" s="53"/>
      <c r="I25" s="58" t="s">
        <v>576</v>
      </c>
      <c r="J25" s="51"/>
      <c r="K25" s="51">
        <f>170+560</f>
        <v>730</v>
      </c>
      <c r="L25" s="51">
        <f t="shared" si="6"/>
        <v>730</v>
      </c>
      <c r="M25" s="51"/>
      <c r="N25" s="51" t="s">
        <v>90</v>
      </c>
      <c r="O25" s="51"/>
      <c r="P25" s="51" t="s">
        <v>90</v>
      </c>
      <c r="Q25" s="51"/>
      <c r="R25" s="51"/>
      <c r="S25" s="51"/>
      <c r="T25" s="51"/>
      <c r="U25" s="51"/>
      <c r="V25" s="51">
        <v>19</v>
      </c>
      <c r="W25" s="51"/>
      <c r="X25" s="51">
        <f t="shared" si="7"/>
        <v>19</v>
      </c>
      <c r="Y25" s="51">
        <v>19</v>
      </c>
      <c r="Z25" s="51"/>
      <c r="AA25" s="51"/>
      <c r="AB25" s="51">
        <f t="shared" si="8"/>
        <v>19</v>
      </c>
      <c r="AC25" s="51"/>
      <c r="AD25" s="51">
        <v>19</v>
      </c>
      <c r="AE25" s="51"/>
      <c r="AF25" s="51"/>
      <c r="AG25" s="51"/>
      <c r="AH25" s="51">
        <f t="shared" si="9"/>
        <v>19</v>
      </c>
      <c r="AI25" s="51" t="s">
        <v>93</v>
      </c>
      <c r="AJ25" s="51">
        <v>3</v>
      </c>
      <c r="AK25" s="53" t="s">
        <v>529</v>
      </c>
      <c r="AL25" s="55">
        <v>46106</v>
      </c>
      <c r="AM25" s="51"/>
      <c r="AN25" s="51"/>
      <c r="AO25" s="45"/>
      <c r="AP25" s="45"/>
      <c r="AQ25" s="45"/>
      <c r="AR25" s="45"/>
      <c r="AS25" s="45"/>
      <c r="AT25" s="45"/>
      <c r="AU25" s="45"/>
      <c r="AV25" s="45"/>
      <c r="AW25" s="45"/>
      <c r="AX25" s="45"/>
    </row>
    <row r="26" spans="1:50" ht="60" hidden="1" customHeight="1" x14ac:dyDescent="0.3">
      <c r="A26" s="52">
        <v>2303</v>
      </c>
      <c r="B26" s="53" t="s">
        <v>577</v>
      </c>
      <c r="C26" s="54">
        <v>101151000</v>
      </c>
      <c r="D26" s="53" t="s">
        <v>578</v>
      </c>
      <c r="E26" s="53" t="s">
        <v>794</v>
      </c>
      <c r="F26" s="53" t="s">
        <v>577</v>
      </c>
      <c r="G26" s="53" t="s">
        <v>527</v>
      </c>
      <c r="H26" s="53" t="s">
        <v>579</v>
      </c>
      <c r="I26" s="58" t="s">
        <v>580</v>
      </c>
      <c r="J26" s="51"/>
      <c r="K26" s="51">
        <f>718</f>
        <v>718</v>
      </c>
      <c r="L26" s="51">
        <f t="shared" si="6"/>
        <v>718</v>
      </c>
      <c r="M26" s="51" t="s">
        <v>90</v>
      </c>
      <c r="N26" s="51"/>
      <c r="O26" s="51"/>
      <c r="P26" s="51" t="s">
        <v>90</v>
      </c>
      <c r="Q26" s="51"/>
      <c r="R26" s="51"/>
      <c r="S26" s="51"/>
      <c r="T26" s="51"/>
      <c r="U26" s="51"/>
      <c r="V26" s="51">
        <v>20</v>
      </c>
      <c r="W26" s="51"/>
      <c r="X26" s="51">
        <f t="shared" si="7"/>
        <v>20</v>
      </c>
      <c r="Y26" s="51">
        <v>20</v>
      </c>
      <c r="Z26" s="51"/>
      <c r="AA26" s="51"/>
      <c r="AB26" s="51">
        <f t="shared" si="8"/>
        <v>20</v>
      </c>
      <c r="AC26" s="51"/>
      <c r="AD26" s="51">
        <v>20</v>
      </c>
      <c r="AE26" s="51"/>
      <c r="AF26" s="51"/>
      <c r="AG26" s="51"/>
      <c r="AH26" s="51">
        <f t="shared" si="9"/>
        <v>20</v>
      </c>
      <c r="AI26" s="51" t="s">
        <v>93</v>
      </c>
      <c r="AJ26" s="51">
        <v>3</v>
      </c>
      <c r="AK26" s="53" t="s">
        <v>529</v>
      </c>
      <c r="AL26" s="55">
        <v>46106</v>
      </c>
      <c r="AM26" s="51"/>
      <c r="AN26" s="51"/>
      <c r="AO26" s="45"/>
      <c r="AP26" s="45"/>
      <c r="AQ26" s="45"/>
      <c r="AR26" s="45"/>
      <c r="AS26" s="45"/>
      <c r="AT26" s="45"/>
      <c r="AU26" s="45"/>
      <c r="AV26" s="45"/>
      <c r="AW26" s="45"/>
      <c r="AX26" s="45"/>
    </row>
    <row r="27" spans="1:50" ht="60" hidden="1" customHeight="1" x14ac:dyDescent="0.3">
      <c r="A27" s="52">
        <v>2304</v>
      </c>
      <c r="B27" s="53" t="s">
        <v>581</v>
      </c>
      <c r="C27" s="54">
        <v>101312000</v>
      </c>
      <c r="D27" s="53"/>
      <c r="E27" s="53" t="s">
        <v>798</v>
      </c>
      <c r="F27" s="53" t="s">
        <v>581</v>
      </c>
      <c r="G27" s="53" t="s">
        <v>527</v>
      </c>
      <c r="H27" s="53" t="s">
        <v>582</v>
      </c>
      <c r="I27" s="58" t="s">
        <v>548</v>
      </c>
      <c r="J27" s="51"/>
      <c r="K27" s="51">
        <v>270</v>
      </c>
      <c r="L27" s="51">
        <f t="shared" si="6"/>
        <v>270</v>
      </c>
      <c r="M27" s="51" t="s">
        <v>90</v>
      </c>
      <c r="N27" s="51"/>
      <c r="O27" s="51"/>
      <c r="P27" s="51" t="s">
        <v>90</v>
      </c>
      <c r="Q27" s="51"/>
      <c r="R27" s="51"/>
      <c r="S27" s="51"/>
      <c r="T27" s="51"/>
      <c r="U27" s="51"/>
      <c r="V27" s="51">
        <v>6</v>
      </c>
      <c r="W27" s="51"/>
      <c r="X27" s="51">
        <f t="shared" si="7"/>
        <v>6</v>
      </c>
      <c r="Y27" s="51">
        <v>6</v>
      </c>
      <c r="Z27" s="51"/>
      <c r="AA27" s="51"/>
      <c r="AB27" s="51">
        <f t="shared" si="8"/>
        <v>6</v>
      </c>
      <c r="AC27" s="51">
        <v>6</v>
      </c>
      <c r="AD27" s="51"/>
      <c r="AE27" s="51"/>
      <c r="AF27" s="51"/>
      <c r="AG27" s="51"/>
      <c r="AH27" s="51">
        <f t="shared" si="9"/>
        <v>6</v>
      </c>
      <c r="AI27" s="51" t="s">
        <v>93</v>
      </c>
      <c r="AJ27" s="51">
        <v>3</v>
      </c>
      <c r="AK27" s="53" t="s">
        <v>529</v>
      </c>
      <c r="AL27" s="55">
        <v>46106</v>
      </c>
      <c r="AM27" s="51"/>
      <c r="AN27" s="51"/>
      <c r="AO27" s="45"/>
      <c r="AP27" s="45"/>
      <c r="AQ27" s="45"/>
      <c r="AR27" s="45"/>
      <c r="AS27" s="45"/>
      <c r="AT27" s="45"/>
      <c r="AU27" s="45"/>
      <c r="AV27" s="45"/>
      <c r="AW27" s="45"/>
      <c r="AX27" s="45"/>
    </row>
    <row r="28" spans="1:50" ht="60" hidden="1" customHeight="1" x14ac:dyDescent="0.3">
      <c r="A28" s="52">
        <v>2305</v>
      </c>
      <c r="B28" s="53"/>
      <c r="C28" s="51"/>
      <c r="D28" s="53"/>
      <c r="E28" s="53"/>
      <c r="F28" s="53" t="s">
        <v>583</v>
      </c>
      <c r="G28" s="53" t="s">
        <v>527</v>
      </c>
      <c r="H28" s="53"/>
      <c r="I28" s="58" t="s">
        <v>584</v>
      </c>
      <c r="J28" s="51"/>
      <c r="K28" s="51">
        <v>511</v>
      </c>
      <c r="L28" s="51">
        <f t="shared" si="6"/>
        <v>511</v>
      </c>
      <c r="M28" s="51"/>
      <c r="N28" s="51"/>
      <c r="O28" s="51"/>
      <c r="P28" s="51"/>
      <c r="Q28" s="51"/>
      <c r="R28" s="51"/>
      <c r="S28" s="51"/>
      <c r="T28" s="51"/>
      <c r="U28" s="51">
        <v>13</v>
      </c>
      <c r="V28" s="51"/>
      <c r="W28" s="51"/>
      <c r="X28" s="51">
        <f t="shared" si="7"/>
        <v>13</v>
      </c>
      <c r="Y28" s="51">
        <v>13</v>
      </c>
      <c r="Z28" s="51"/>
      <c r="AA28" s="51"/>
      <c r="AB28" s="51">
        <v>13</v>
      </c>
      <c r="AC28" s="51"/>
      <c r="AD28" s="51">
        <v>13</v>
      </c>
      <c r="AE28" s="51"/>
      <c r="AF28" s="51"/>
      <c r="AG28" s="51"/>
      <c r="AH28" s="51">
        <v>13</v>
      </c>
      <c r="AI28" s="51"/>
      <c r="AJ28" s="51"/>
      <c r="AK28" s="53" t="s">
        <v>529</v>
      </c>
      <c r="AL28" s="55">
        <v>46106</v>
      </c>
      <c r="AM28" s="51"/>
      <c r="AN28" s="51"/>
      <c r="AO28" s="45"/>
      <c r="AP28" s="45"/>
      <c r="AQ28" s="45"/>
      <c r="AR28" s="45"/>
      <c r="AS28" s="45"/>
      <c r="AT28" s="45"/>
      <c r="AU28" s="45"/>
      <c r="AV28" s="45"/>
      <c r="AW28" s="45"/>
      <c r="AX28" s="45"/>
    </row>
    <row r="29" spans="1:50" ht="60" hidden="1" customHeight="1" x14ac:dyDescent="0.3">
      <c r="A29" s="52">
        <v>2306</v>
      </c>
      <c r="B29" s="53" t="s">
        <v>585</v>
      </c>
      <c r="C29" s="54">
        <v>101317000</v>
      </c>
      <c r="D29" s="53" t="s">
        <v>586</v>
      </c>
      <c r="E29" s="53" t="s">
        <v>799</v>
      </c>
      <c r="F29" s="53" t="s">
        <v>585</v>
      </c>
      <c r="G29" s="53" t="s">
        <v>527</v>
      </c>
      <c r="H29" s="53" t="s">
        <v>587</v>
      </c>
      <c r="I29" s="58" t="s">
        <v>588</v>
      </c>
      <c r="J29" s="51"/>
      <c r="K29" s="51">
        <v>290</v>
      </c>
      <c r="L29" s="51">
        <f t="shared" si="6"/>
        <v>290</v>
      </c>
      <c r="M29" s="51" t="s">
        <v>90</v>
      </c>
      <c r="N29" s="51"/>
      <c r="O29" s="51"/>
      <c r="P29" s="51" t="s">
        <v>90</v>
      </c>
      <c r="Q29" s="51"/>
      <c r="R29" s="51"/>
      <c r="S29" s="51"/>
      <c r="T29" s="51"/>
      <c r="U29" s="51"/>
      <c r="V29" s="51">
        <v>7</v>
      </c>
      <c r="W29" s="51"/>
      <c r="X29" s="51">
        <f t="shared" si="7"/>
        <v>7</v>
      </c>
      <c r="Y29" s="51">
        <v>7</v>
      </c>
      <c r="Z29" s="51"/>
      <c r="AA29" s="51"/>
      <c r="AB29" s="51">
        <f t="shared" ref="AB29:AB32" si="10">SUM(Y29:AA29)</f>
        <v>7</v>
      </c>
      <c r="AC29" s="51"/>
      <c r="AD29" s="51">
        <v>7</v>
      </c>
      <c r="AE29" s="51"/>
      <c r="AF29" s="51"/>
      <c r="AG29" s="51"/>
      <c r="AH29" s="51">
        <f t="shared" ref="AH29:AH32" si="11">SUM(AC29:AG29)</f>
        <v>7</v>
      </c>
      <c r="AI29" s="51" t="s">
        <v>93</v>
      </c>
      <c r="AJ29" s="51">
        <v>3</v>
      </c>
      <c r="AK29" s="53" t="s">
        <v>529</v>
      </c>
      <c r="AL29" s="55">
        <v>46106</v>
      </c>
      <c r="AM29" s="51"/>
      <c r="AN29" s="51"/>
      <c r="AO29" s="45"/>
      <c r="AP29" s="45"/>
      <c r="AQ29" s="45"/>
      <c r="AR29" s="45"/>
      <c r="AS29" s="45"/>
      <c r="AT29" s="45"/>
      <c r="AU29" s="45"/>
      <c r="AV29" s="45"/>
      <c r="AW29" s="45"/>
      <c r="AX29" s="45"/>
    </row>
    <row r="30" spans="1:50" ht="60" hidden="1" customHeight="1" x14ac:dyDescent="0.3">
      <c r="A30" s="52">
        <v>2307</v>
      </c>
      <c r="B30" s="53" t="s">
        <v>589</v>
      </c>
      <c r="C30" s="54">
        <v>101182000</v>
      </c>
      <c r="D30" s="53" t="s">
        <v>590</v>
      </c>
      <c r="E30" s="53" t="s">
        <v>800</v>
      </c>
      <c r="F30" s="53" t="s">
        <v>589</v>
      </c>
      <c r="G30" s="53" t="s">
        <v>527</v>
      </c>
      <c r="H30" s="53"/>
      <c r="I30" s="58" t="s">
        <v>576</v>
      </c>
      <c r="J30" s="51"/>
      <c r="K30" s="51">
        <v>688</v>
      </c>
      <c r="L30" s="51">
        <f t="shared" si="6"/>
        <v>688</v>
      </c>
      <c r="M30" s="51"/>
      <c r="N30" s="51" t="s">
        <v>90</v>
      </c>
      <c r="O30" s="51"/>
      <c r="P30" s="51" t="s">
        <v>90</v>
      </c>
      <c r="Q30" s="51"/>
      <c r="R30" s="51"/>
      <c r="S30" s="51"/>
      <c r="T30" s="51"/>
      <c r="U30" s="51"/>
      <c r="V30" s="51">
        <v>19</v>
      </c>
      <c r="W30" s="51"/>
      <c r="X30" s="51">
        <f t="shared" si="7"/>
        <v>19</v>
      </c>
      <c r="Y30" s="51">
        <v>19</v>
      </c>
      <c r="Z30" s="51"/>
      <c r="AA30" s="51"/>
      <c r="AB30" s="51">
        <f t="shared" si="10"/>
        <v>19</v>
      </c>
      <c r="AC30" s="51"/>
      <c r="AD30" s="51">
        <v>19</v>
      </c>
      <c r="AE30" s="51"/>
      <c r="AF30" s="51"/>
      <c r="AG30" s="51"/>
      <c r="AH30" s="51">
        <f t="shared" si="11"/>
        <v>19</v>
      </c>
      <c r="AI30" s="51" t="s">
        <v>93</v>
      </c>
      <c r="AJ30" s="51">
        <v>3</v>
      </c>
      <c r="AK30" s="53" t="s">
        <v>529</v>
      </c>
      <c r="AL30" s="55">
        <v>46106</v>
      </c>
      <c r="AM30" s="51"/>
      <c r="AN30" s="51"/>
      <c r="AO30" s="45"/>
      <c r="AP30" s="45"/>
      <c r="AQ30" s="45"/>
      <c r="AR30" s="45"/>
      <c r="AS30" s="45"/>
      <c r="AT30" s="45"/>
      <c r="AU30" s="45"/>
      <c r="AV30" s="45"/>
      <c r="AW30" s="45"/>
      <c r="AX30" s="45"/>
    </row>
    <row r="31" spans="1:50" ht="60" hidden="1" customHeight="1" x14ac:dyDescent="0.3">
      <c r="A31" s="52">
        <v>2308</v>
      </c>
      <c r="B31" s="53" t="s">
        <v>591</v>
      </c>
      <c r="C31" s="54">
        <v>101185000</v>
      </c>
      <c r="D31" s="53" t="s">
        <v>592</v>
      </c>
      <c r="E31" s="53" t="s">
        <v>801</v>
      </c>
      <c r="F31" s="53" t="s">
        <v>593</v>
      </c>
      <c r="G31" s="53" t="s">
        <v>527</v>
      </c>
      <c r="H31" s="53"/>
      <c r="I31" s="58" t="s">
        <v>594</v>
      </c>
      <c r="J31" s="51"/>
      <c r="K31" s="51">
        <f>2007-K33-K34</f>
        <v>1428</v>
      </c>
      <c r="L31" s="51">
        <f t="shared" si="6"/>
        <v>1428</v>
      </c>
      <c r="M31" s="51" t="s">
        <v>90</v>
      </c>
      <c r="N31" s="51"/>
      <c r="O31" s="51"/>
      <c r="P31" s="51" t="s">
        <v>90</v>
      </c>
      <c r="Q31" s="51"/>
      <c r="R31" s="51"/>
      <c r="S31" s="51"/>
      <c r="T31" s="51"/>
      <c r="U31" s="51"/>
      <c r="V31" s="51">
        <f>55-V33-V34</f>
        <v>37</v>
      </c>
      <c r="W31" s="51"/>
      <c r="X31" s="51">
        <f t="shared" si="7"/>
        <v>37</v>
      </c>
      <c r="Y31" s="51">
        <v>37</v>
      </c>
      <c r="Z31" s="51"/>
      <c r="AA31" s="51"/>
      <c r="AB31" s="51">
        <f t="shared" si="10"/>
        <v>37</v>
      </c>
      <c r="AC31" s="51"/>
      <c r="AD31" s="51">
        <v>37</v>
      </c>
      <c r="AE31" s="51"/>
      <c r="AF31" s="51"/>
      <c r="AG31" s="51"/>
      <c r="AH31" s="51">
        <f t="shared" si="11"/>
        <v>37</v>
      </c>
      <c r="AI31" s="51" t="s">
        <v>93</v>
      </c>
      <c r="AJ31" s="51">
        <v>2</v>
      </c>
      <c r="AK31" s="53" t="s">
        <v>529</v>
      </c>
      <c r="AL31" s="55">
        <v>46106</v>
      </c>
      <c r="AM31" s="51"/>
      <c r="AN31" s="51"/>
      <c r="AO31" s="45"/>
      <c r="AP31" s="45"/>
      <c r="AQ31" s="45"/>
      <c r="AR31" s="45"/>
      <c r="AS31" s="45"/>
      <c r="AT31" s="45"/>
      <c r="AU31" s="45"/>
      <c r="AV31" s="45"/>
      <c r="AW31" s="45"/>
      <c r="AX31" s="45"/>
    </row>
    <row r="32" spans="1:50" ht="60" hidden="1" customHeight="1" x14ac:dyDescent="0.3">
      <c r="A32" s="52">
        <v>2308</v>
      </c>
      <c r="B32" s="53" t="s">
        <v>595</v>
      </c>
      <c r="C32" s="54">
        <v>101188000</v>
      </c>
      <c r="D32" s="53"/>
      <c r="E32" s="53" t="s">
        <v>802</v>
      </c>
      <c r="F32" s="53" t="s">
        <v>593</v>
      </c>
      <c r="G32" s="53" t="s">
        <v>527</v>
      </c>
      <c r="H32" s="53"/>
      <c r="I32" s="58" t="s">
        <v>596</v>
      </c>
      <c r="J32" s="51"/>
      <c r="K32" s="51">
        <v>1761</v>
      </c>
      <c r="L32" s="51">
        <f t="shared" si="6"/>
        <v>1761</v>
      </c>
      <c r="M32" s="51"/>
      <c r="N32" s="51" t="s">
        <v>90</v>
      </c>
      <c r="O32" s="51"/>
      <c r="P32" s="51" t="s">
        <v>90</v>
      </c>
      <c r="Q32" s="51"/>
      <c r="R32" s="51"/>
      <c r="S32" s="51"/>
      <c r="T32" s="51"/>
      <c r="U32" s="51"/>
      <c r="V32" s="51">
        <v>25</v>
      </c>
      <c r="W32" s="51"/>
      <c r="X32" s="51">
        <f t="shared" si="7"/>
        <v>25</v>
      </c>
      <c r="Y32" s="51">
        <v>25</v>
      </c>
      <c r="Z32" s="51"/>
      <c r="AA32" s="51"/>
      <c r="AB32" s="51">
        <f t="shared" si="10"/>
        <v>25</v>
      </c>
      <c r="AC32" s="51"/>
      <c r="AD32" s="51">
        <v>25</v>
      </c>
      <c r="AE32" s="51"/>
      <c r="AF32" s="51"/>
      <c r="AG32" s="51"/>
      <c r="AH32" s="51">
        <f t="shared" si="11"/>
        <v>25</v>
      </c>
      <c r="AI32" s="51" t="s">
        <v>93</v>
      </c>
      <c r="AJ32" s="51">
        <v>3</v>
      </c>
      <c r="AK32" s="53" t="s">
        <v>529</v>
      </c>
      <c r="AL32" s="55">
        <v>46106</v>
      </c>
      <c r="AM32" s="51"/>
      <c r="AN32" s="51"/>
      <c r="AO32" s="45"/>
      <c r="AP32" s="45"/>
      <c r="AQ32" s="45"/>
      <c r="AR32" s="45"/>
      <c r="AS32" s="45"/>
      <c r="AT32" s="45"/>
      <c r="AU32" s="45"/>
      <c r="AV32" s="45"/>
      <c r="AW32" s="45"/>
      <c r="AX32" s="45"/>
    </row>
    <row r="33" spans="1:50" ht="60" hidden="1" customHeight="1" x14ac:dyDescent="0.3">
      <c r="A33" s="52">
        <v>2309</v>
      </c>
      <c r="B33" s="53"/>
      <c r="C33" s="51"/>
      <c r="D33" s="53"/>
      <c r="E33" s="53"/>
      <c r="F33" s="53" t="s">
        <v>597</v>
      </c>
      <c r="G33" s="53" t="s">
        <v>527</v>
      </c>
      <c r="H33" s="53"/>
      <c r="I33" s="53" t="str">
        <f t="shared" ref="I33:I34" si="12">1&amp;"-"&amp;X33</f>
        <v>1-4</v>
      </c>
      <c r="J33" s="51"/>
      <c r="K33" s="51">
        <v>110</v>
      </c>
      <c r="L33" s="51">
        <f t="shared" si="6"/>
        <v>110</v>
      </c>
      <c r="M33" s="51"/>
      <c r="N33" s="51"/>
      <c r="O33" s="51"/>
      <c r="P33" s="51"/>
      <c r="Q33" s="51"/>
      <c r="R33" s="51"/>
      <c r="S33" s="51"/>
      <c r="T33" s="51"/>
      <c r="U33" s="51"/>
      <c r="V33" s="51">
        <v>4</v>
      </c>
      <c r="W33" s="51"/>
      <c r="X33" s="51">
        <f t="shared" si="7"/>
        <v>4</v>
      </c>
      <c r="Y33" s="51">
        <v>4</v>
      </c>
      <c r="Z33" s="51"/>
      <c r="AA33" s="51"/>
      <c r="AB33" s="51">
        <v>4</v>
      </c>
      <c r="AC33" s="51"/>
      <c r="AD33" s="51">
        <v>4</v>
      </c>
      <c r="AE33" s="51"/>
      <c r="AF33" s="51"/>
      <c r="AG33" s="51"/>
      <c r="AH33" s="51">
        <v>4</v>
      </c>
      <c r="AI33" s="51"/>
      <c r="AJ33" s="51"/>
      <c r="AK33" s="53" t="s">
        <v>529</v>
      </c>
      <c r="AL33" s="55"/>
      <c r="AM33" s="51"/>
      <c r="AN33" s="51"/>
      <c r="AO33" s="45"/>
      <c r="AP33" s="45"/>
      <c r="AQ33" s="45"/>
      <c r="AR33" s="45"/>
      <c r="AS33" s="45"/>
      <c r="AT33" s="45"/>
      <c r="AU33" s="45"/>
      <c r="AV33" s="45"/>
      <c r="AW33" s="45"/>
      <c r="AX33" s="45"/>
    </row>
    <row r="34" spans="1:50" ht="60" hidden="1" customHeight="1" x14ac:dyDescent="0.3">
      <c r="A34" s="52">
        <v>2310</v>
      </c>
      <c r="B34" s="53"/>
      <c r="C34" s="51"/>
      <c r="D34" s="53"/>
      <c r="E34" s="53"/>
      <c r="F34" s="53" t="s">
        <v>598</v>
      </c>
      <c r="G34" s="53" t="s">
        <v>527</v>
      </c>
      <c r="H34" s="53"/>
      <c r="I34" s="53" t="str">
        <f t="shared" si="12"/>
        <v>1-14</v>
      </c>
      <c r="J34" s="51"/>
      <c r="K34" s="51">
        <f>237+232</f>
        <v>469</v>
      </c>
      <c r="L34" s="51">
        <f t="shared" si="6"/>
        <v>469</v>
      </c>
      <c r="M34" s="51"/>
      <c r="N34" s="51"/>
      <c r="O34" s="51"/>
      <c r="P34" s="51"/>
      <c r="Q34" s="51"/>
      <c r="R34" s="51"/>
      <c r="S34" s="51"/>
      <c r="T34" s="51"/>
      <c r="U34" s="51"/>
      <c r="V34" s="51">
        <v>14</v>
      </c>
      <c r="W34" s="51"/>
      <c r="X34" s="51">
        <f t="shared" si="7"/>
        <v>14</v>
      </c>
      <c r="Y34" s="51">
        <v>14</v>
      </c>
      <c r="Z34" s="51"/>
      <c r="AA34" s="51"/>
      <c r="AB34" s="51">
        <v>14</v>
      </c>
      <c r="AC34" s="51"/>
      <c r="AD34" s="51">
        <v>14</v>
      </c>
      <c r="AE34" s="51"/>
      <c r="AF34" s="51"/>
      <c r="AG34" s="51"/>
      <c r="AH34" s="51">
        <v>14</v>
      </c>
      <c r="AI34" s="51"/>
      <c r="AJ34" s="51"/>
      <c r="AK34" s="53" t="s">
        <v>529</v>
      </c>
      <c r="AL34" s="55"/>
      <c r="AM34" s="51"/>
      <c r="AN34" s="51"/>
      <c r="AO34" s="45"/>
      <c r="AP34" s="45"/>
      <c r="AQ34" s="45"/>
      <c r="AR34" s="45"/>
      <c r="AS34" s="45"/>
      <c r="AT34" s="45"/>
      <c r="AU34" s="45"/>
      <c r="AV34" s="45"/>
      <c r="AW34" s="45"/>
      <c r="AX34" s="45"/>
    </row>
    <row r="35" spans="1:50" ht="60" hidden="1" customHeight="1" x14ac:dyDescent="0.3">
      <c r="A35" s="52">
        <v>2311</v>
      </c>
      <c r="B35" s="53" t="s">
        <v>599</v>
      </c>
      <c r="C35" s="54">
        <v>101208000</v>
      </c>
      <c r="D35" s="53"/>
      <c r="E35" s="53" t="s">
        <v>803</v>
      </c>
      <c r="F35" s="53" t="s">
        <v>599</v>
      </c>
      <c r="G35" s="53" t="s">
        <v>527</v>
      </c>
      <c r="H35" s="53"/>
      <c r="I35" s="58" t="s">
        <v>537</v>
      </c>
      <c r="J35" s="51"/>
      <c r="K35" s="51">
        <v>860</v>
      </c>
      <c r="L35" s="51">
        <f t="shared" si="6"/>
        <v>860</v>
      </c>
      <c r="M35" s="51"/>
      <c r="N35" s="51"/>
      <c r="O35" s="51"/>
      <c r="P35" s="51"/>
      <c r="Q35" s="51"/>
      <c r="R35" s="51"/>
      <c r="S35" s="51"/>
      <c r="T35" s="51"/>
      <c r="U35" s="51"/>
      <c r="V35" s="51">
        <v>22</v>
      </c>
      <c r="W35" s="51"/>
      <c r="X35" s="51">
        <f t="shared" si="7"/>
        <v>22</v>
      </c>
      <c r="Y35" s="51">
        <v>22</v>
      </c>
      <c r="Z35" s="51"/>
      <c r="AA35" s="51"/>
      <c r="AB35" s="51">
        <f t="shared" ref="AB35:AB39" si="13">SUM(Y35:AA35)</f>
        <v>22</v>
      </c>
      <c r="AC35" s="51"/>
      <c r="AD35" s="51">
        <v>22</v>
      </c>
      <c r="AE35" s="51"/>
      <c r="AF35" s="51"/>
      <c r="AG35" s="51"/>
      <c r="AH35" s="51">
        <f t="shared" ref="AH35:AH39" si="14">SUM(AC35:AG35)</f>
        <v>22</v>
      </c>
      <c r="AI35" s="51" t="s">
        <v>93</v>
      </c>
      <c r="AJ35" s="51">
        <v>3</v>
      </c>
      <c r="AK35" s="53" t="s">
        <v>529</v>
      </c>
      <c r="AL35" s="55">
        <v>46106</v>
      </c>
      <c r="AM35" s="51"/>
      <c r="AN35" s="51"/>
      <c r="AO35" s="45"/>
      <c r="AP35" s="45"/>
      <c r="AQ35" s="45"/>
      <c r="AR35" s="45"/>
      <c r="AS35" s="45"/>
      <c r="AT35" s="45"/>
      <c r="AU35" s="45"/>
      <c r="AV35" s="45"/>
      <c r="AW35" s="45"/>
      <c r="AX35" s="45"/>
    </row>
    <row r="36" spans="1:50" ht="60" hidden="1" customHeight="1" x14ac:dyDescent="0.3">
      <c r="A36" s="52">
        <v>2312</v>
      </c>
      <c r="B36" s="53" t="s">
        <v>600</v>
      </c>
      <c r="C36" s="54">
        <v>101170000</v>
      </c>
      <c r="D36" s="53" t="s">
        <v>601</v>
      </c>
      <c r="E36" s="53" t="s">
        <v>804</v>
      </c>
      <c r="F36" s="53" t="s">
        <v>602</v>
      </c>
      <c r="G36" s="53" t="s">
        <v>527</v>
      </c>
      <c r="H36" s="53"/>
      <c r="I36" s="58" t="s">
        <v>603</v>
      </c>
      <c r="J36" s="51"/>
      <c r="K36" s="51">
        <v>751</v>
      </c>
      <c r="L36" s="51">
        <f t="shared" si="6"/>
        <v>751</v>
      </c>
      <c r="M36" s="51"/>
      <c r="N36" s="51" t="s">
        <v>90</v>
      </c>
      <c r="O36" s="51"/>
      <c r="P36" s="51" t="s">
        <v>90</v>
      </c>
      <c r="Q36" s="51"/>
      <c r="R36" s="51"/>
      <c r="S36" s="51"/>
      <c r="T36" s="51"/>
      <c r="U36" s="51">
        <v>7</v>
      </c>
      <c r="V36" s="51"/>
      <c r="W36" s="51"/>
      <c r="X36" s="51">
        <f t="shared" si="7"/>
        <v>7</v>
      </c>
      <c r="Y36" s="51">
        <v>7</v>
      </c>
      <c r="Z36" s="51"/>
      <c r="AA36" s="51"/>
      <c r="AB36" s="51">
        <f t="shared" si="13"/>
        <v>7</v>
      </c>
      <c r="AC36" s="51"/>
      <c r="AD36" s="51">
        <v>7</v>
      </c>
      <c r="AE36" s="51"/>
      <c r="AF36" s="51"/>
      <c r="AG36" s="51"/>
      <c r="AH36" s="51">
        <f t="shared" si="14"/>
        <v>7</v>
      </c>
      <c r="AI36" s="51" t="s">
        <v>93</v>
      </c>
      <c r="AJ36" s="51">
        <v>3</v>
      </c>
      <c r="AK36" s="53" t="s">
        <v>529</v>
      </c>
      <c r="AL36" s="55">
        <v>46106</v>
      </c>
      <c r="AM36" s="51"/>
      <c r="AN36" s="51"/>
      <c r="AO36" s="45"/>
      <c r="AP36" s="45"/>
      <c r="AQ36" s="45"/>
      <c r="AR36" s="45"/>
      <c r="AS36" s="45"/>
      <c r="AT36" s="45"/>
      <c r="AU36" s="45"/>
      <c r="AV36" s="45"/>
      <c r="AW36" s="45"/>
      <c r="AX36" s="45"/>
    </row>
    <row r="37" spans="1:50" ht="60" hidden="1" customHeight="1" x14ac:dyDescent="0.3">
      <c r="A37" s="52">
        <v>2312</v>
      </c>
      <c r="B37" s="53" t="s">
        <v>604</v>
      </c>
      <c r="C37" s="54">
        <v>101173000</v>
      </c>
      <c r="D37" s="53" t="s">
        <v>605</v>
      </c>
      <c r="E37" s="53" t="s">
        <v>805</v>
      </c>
      <c r="F37" s="53" t="s">
        <v>602</v>
      </c>
      <c r="G37" s="53" t="s">
        <v>527</v>
      </c>
      <c r="H37" s="53"/>
      <c r="I37" s="58" t="s">
        <v>606</v>
      </c>
      <c r="J37" s="51"/>
      <c r="K37" s="51">
        <v>932</v>
      </c>
      <c r="L37" s="51">
        <f t="shared" si="6"/>
        <v>932</v>
      </c>
      <c r="M37" s="51"/>
      <c r="N37" s="51" t="s">
        <v>90</v>
      </c>
      <c r="O37" s="51"/>
      <c r="P37" s="51" t="s">
        <v>90</v>
      </c>
      <c r="Q37" s="51"/>
      <c r="R37" s="51"/>
      <c r="S37" s="51"/>
      <c r="T37" s="51"/>
      <c r="U37" s="51"/>
      <c r="V37" s="51">
        <v>17</v>
      </c>
      <c r="W37" s="51"/>
      <c r="X37" s="51">
        <f t="shared" si="7"/>
        <v>17</v>
      </c>
      <c r="Y37" s="51">
        <v>17</v>
      </c>
      <c r="Z37" s="51"/>
      <c r="AA37" s="51"/>
      <c r="AB37" s="51">
        <f t="shared" si="13"/>
        <v>17</v>
      </c>
      <c r="AC37" s="51"/>
      <c r="AD37" s="51">
        <v>17</v>
      </c>
      <c r="AE37" s="51"/>
      <c r="AF37" s="51"/>
      <c r="AG37" s="51"/>
      <c r="AH37" s="51">
        <f t="shared" si="14"/>
        <v>17</v>
      </c>
      <c r="AI37" s="51" t="s">
        <v>93</v>
      </c>
      <c r="AJ37" s="51">
        <v>3</v>
      </c>
      <c r="AK37" s="53" t="s">
        <v>529</v>
      </c>
      <c r="AL37" s="55">
        <v>46106</v>
      </c>
      <c r="AM37" s="51"/>
      <c r="AN37" s="51"/>
      <c r="AO37" s="45"/>
      <c r="AP37" s="45"/>
      <c r="AQ37" s="45"/>
      <c r="AR37" s="45"/>
      <c r="AS37" s="45"/>
      <c r="AT37" s="45"/>
      <c r="AU37" s="45"/>
      <c r="AV37" s="45"/>
      <c r="AW37" s="45"/>
      <c r="AX37" s="45"/>
    </row>
    <row r="38" spans="1:50" ht="60" hidden="1" customHeight="1" x14ac:dyDescent="0.3">
      <c r="A38" s="52">
        <v>2312</v>
      </c>
      <c r="B38" s="53" t="s">
        <v>607</v>
      </c>
      <c r="C38" s="54">
        <v>101176000</v>
      </c>
      <c r="D38" s="53" t="s">
        <v>608</v>
      </c>
      <c r="E38" s="53" t="s">
        <v>806</v>
      </c>
      <c r="F38" s="53" t="s">
        <v>602</v>
      </c>
      <c r="G38" s="53" t="s">
        <v>527</v>
      </c>
      <c r="H38" s="53"/>
      <c r="I38" s="58" t="s">
        <v>580</v>
      </c>
      <c r="J38" s="51"/>
      <c r="K38" s="51">
        <v>904</v>
      </c>
      <c r="L38" s="51">
        <f t="shared" si="6"/>
        <v>904</v>
      </c>
      <c r="M38" s="51"/>
      <c r="N38" s="51" t="s">
        <v>90</v>
      </c>
      <c r="O38" s="51"/>
      <c r="P38" s="51" t="s">
        <v>90</v>
      </c>
      <c r="Q38" s="51"/>
      <c r="R38" s="51"/>
      <c r="S38" s="51"/>
      <c r="T38" s="51"/>
      <c r="U38" s="51">
        <v>7</v>
      </c>
      <c r="V38" s="51">
        <v>13</v>
      </c>
      <c r="W38" s="51"/>
      <c r="X38" s="51">
        <f t="shared" si="7"/>
        <v>20</v>
      </c>
      <c r="Y38" s="51">
        <v>20</v>
      </c>
      <c r="Z38" s="51"/>
      <c r="AA38" s="51"/>
      <c r="AB38" s="51">
        <f t="shared" si="13"/>
        <v>20</v>
      </c>
      <c r="AC38" s="51"/>
      <c r="AD38" s="51">
        <v>20</v>
      </c>
      <c r="AE38" s="51"/>
      <c r="AF38" s="51"/>
      <c r="AG38" s="51"/>
      <c r="AH38" s="51">
        <f t="shared" si="14"/>
        <v>20</v>
      </c>
      <c r="AI38" s="51" t="s">
        <v>93</v>
      </c>
      <c r="AJ38" s="51">
        <v>3</v>
      </c>
      <c r="AK38" s="53" t="s">
        <v>529</v>
      </c>
      <c r="AL38" s="55">
        <v>46106</v>
      </c>
      <c r="AM38" s="51"/>
      <c r="AN38" s="51"/>
      <c r="AO38" s="45"/>
      <c r="AP38" s="45"/>
      <c r="AQ38" s="45"/>
      <c r="AR38" s="45"/>
      <c r="AS38" s="45"/>
      <c r="AT38" s="45"/>
      <c r="AU38" s="45"/>
      <c r="AV38" s="45"/>
      <c r="AW38" s="45"/>
      <c r="AX38" s="45"/>
    </row>
    <row r="39" spans="1:50" ht="60" hidden="1" customHeight="1" x14ac:dyDescent="0.3">
      <c r="A39" s="52">
        <v>2313</v>
      </c>
      <c r="B39" s="53" t="s">
        <v>609</v>
      </c>
      <c r="C39" s="54">
        <v>101179000</v>
      </c>
      <c r="D39" s="53" t="s">
        <v>610</v>
      </c>
      <c r="E39" s="53" t="s">
        <v>807</v>
      </c>
      <c r="F39" s="53" t="s">
        <v>609</v>
      </c>
      <c r="G39" s="53" t="s">
        <v>527</v>
      </c>
      <c r="H39" s="53"/>
      <c r="I39" s="58" t="s">
        <v>548</v>
      </c>
      <c r="J39" s="51"/>
      <c r="K39" s="51">
        <v>145</v>
      </c>
      <c r="L39" s="51">
        <f t="shared" si="6"/>
        <v>145</v>
      </c>
      <c r="M39" s="51" t="s">
        <v>90</v>
      </c>
      <c r="N39" s="51"/>
      <c r="O39" s="51"/>
      <c r="P39" s="51" t="s">
        <v>90</v>
      </c>
      <c r="Q39" s="51"/>
      <c r="R39" s="51"/>
      <c r="S39" s="51"/>
      <c r="T39" s="51"/>
      <c r="U39" s="51"/>
      <c r="V39" s="51">
        <v>6</v>
      </c>
      <c r="W39" s="51"/>
      <c r="X39" s="51">
        <f t="shared" si="7"/>
        <v>6</v>
      </c>
      <c r="Y39" s="51">
        <v>6</v>
      </c>
      <c r="Z39" s="51"/>
      <c r="AA39" s="51"/>
      <c r="AB39" s="51">
        <f t="shared" si="13"/>
        <v>6</v>
      </c>
      <c r="AC39" s="51"/>
      <c r="AD39" s="51">
        <v>6</v>
      </c>
      <c r="AE39" s="51"/>
      <c r="AF39" s="51"/>
      <c r="AG39" s="51"/>
      <c r="AH39" s="51">
        <f t="shared" si="14"/>
        <v>6</v>
      </c>
      <c r="AI39" s="51" t="s">
        <v>93</v>
      </c>
      <c r="AJ39" s="51">
        <v>3</v>
      </c>
      <c r="AK39" s="53" t="s">
        <v>529</v>
      </c>
      <c r="AL39" s="55">
        <v>46106</v>
      </c>
      <c r="AM39" s="51"/>
      <c r="AN39" s="51"/>
      <c r="AO39" s="45"/>
      <c r="AP39" s="45"/>
      <c r="AQ39" s="45"/>
      <c r="AR39" s="45"/>
      <c r="AS39" s="45"/>
      <c r="AT39" s="45"/>
      <c r="AU39" s="45"/>
      <c r="AV39" s="45"/>
      <c r="AW39" s="45"/>
      <c r="AX39" s="45"/>
    </row>
    <row r="40" spans="1:50" ht="60" hidden="1" customHeight="1" x14ac:dyDescent="0.3">
      <c r="A40" s="52">
        <v>2314</v>
      </c>
      <c r="B40" s="53"/>
      <c r="C40" s="51"/>
      <c r="D40" s="53"/>
      <c r="E40" s="53"/>
      <c r="F40" s="53" t="s">
        <v>611</v>
      </c>
      <c r="G40" s="53" t="s">
        <v>527</v>
      </c>
      <c r="H40" s="53"/>
      <c r="I40" s="58" t="s">
        <v>588</v>
      </c>
      <c r="J40" s="51"/>
      <c r="K40" s="51">
        <v>209</v>
      </c>
      <c r="L40" s="51">
        <f t="shared" si="6"/>
        <v>209</v>
      </c>
      <c r="M40" s="51"/>
      <c r="N40" s="51"/>
      <c r="O40" s="51"/>
      <c r="P40" s="51"/>
      <c r="Q40" s="51"/>
      <c r="R40" s="51"/>
      <c r="S40" s="51"/>
      <c r="T40" s="51"/>
      <c r="U40" s="51"/>
      <c r="V40" s="51">
        <v>17</v>
      </c>
      <c r="W40" s="51"/>
      <c r="X40" s="51">
        <f t="shared" si="7"/>
        <v>17</v>
      </c>
      <c r="Y40" s="51">
        <v>17</v>
      </c>
      <c r="Z40" s="51"/>
      <c r="AA40" s="51"/>
      <c r="AB40" s="51"/>
      <c r="AC40" s="51"/>
      <c r="AD40" s="51">
        <v>17</v>
      </c>
      <c r="AE40" s="51"/>
      <c r="AF40" s="51"/>
      <c r="AG40" s="51"/>
      <c r="AH40" s="51">
        <v>17</v>
      </c>
      <c r="AI40" s="51"/>
      <c r="AJ40" s="51"/>
      <c r="AK40" s="53" t="s">
        <v>529</v>
      </c>
      <c r="AL40" s="55">
        <v>46106</v>
      </c>
      <c r="AM40" s="51"/>
      <c r="AN40" s="51"/>
      <c r="AO40" s="45"/>
      <c r="AP40" s="45"/>
      <c r="AQ40" s="45"/>
      <c r="AR40" s="45"/>
      <c r="AS40" s="45"/>
      <c r="AT40" s="45"/>
      <c r="AU40" s="45"/>
      <c r="AV40" s="45"/>
      <c r="AW40" s="45"/>
      <c r="AX40" s="45"/>
    </row>
    <row r="41" spans="1:50" ht="60" hidden="1" customHeight="1" x14ac:dyDescent="0.3">
      <c r="A41" s="52">
        <v>2315</v>
      </c>
      <c r="B41" s="53" t="s">
        <v>612</v>
      </c>
      <c r="C41" s="54">
        <v>101246000</v>
      </c>
      <c r="D41" s="53" t="s">
        <v>613</v>
      </c>
      <c r="E41" s="53" t="s">
        <v>808</v>
      </c>
      <c r="F41" s="53" t="s">
        <v>614</v>
      </c>
      <c r="G41" s="53" t="s">
        <v>527</v>
      </c>
      <c r="H41" s="53"/>
      <c r="I41" s="56">
        <v>46357</v>
      </c>
      <c r="J41" s="51"/>
      <c r="K41" s="51">
        <v>840</v>
      </c>
      <c r="L41" s="51">
        <f t="shared" si="6"/>
        <v>840</v>
      </c>
      <c r="M41" s="51" t="s">
        <v>91</v>
      </c>
      <c r="N41" s="51" t="s">
        <v>90</v>
      </c>
      <c r="O41" s="51"/>
      <c r="P41" s="51" t="s">
        <v>90</v>
      </c>
      <c r="Q41" s="51" t="s">
        <v>111</v>
      </c>
      <c r="R41" s="51"/>
      <c r="S41" s="51"/>
      <c r="T41" s="51"/>
      <c r="U41" s="51">
        <v>12</v>
      </c>
      <c r="V41" s="51"/>
      <c r="W41" s="51"/>
      <c r="X41" s="51">
        <f t="shared" si="7"/>
        <v>12</v>
      </c>
      <c r="Y41" s="51">
        <v>12</v>
      </c>
      <c r="Z41" s="51"/>
      <c r="AA41" s="51"/>
      <c r="AB41" s="51">
        <f t="shared" ref="AB41:AB115" si="15">SUM(Y41:AA41)</f>
        <v>12</v>
      </c>
      <c r="AC41" s="51">
        <v>12</v>
      </c>
      <c r="AD41" s="51"/>
      <c r="AE41" s="51"/>
      <c r="AF41" s="51"/>
      <c r="AG41" s="51"/>
      <c r="AH41" s="51">
        <f t="shared" ref="AH41:AH59" si="16">SUM(AC41:AG41)</f>
        <v>12</v>
      </c>
      <c r="AI41" s="51"/>
      <c r="AJ41" s="51"/>
      <c r="AK41" s="53" t="s">
        <v>529</v>
      </c>
      <c r="AL41" s="55">
        <v>46105</v>
      </c>
      <c r="AM41" s="51"/>
      <c r="AN41" s="51"/>
      <c r="AO41" s="45"/>
      <c r="AP41" s="45"/>
      <c r="AQ41" s="45"/>
      <c r="AR41" s="45"/>
      <c r="AS41" s="45"/>
      <c r="AT41" s="45"/>
      <c r="AU41" s="45"/>
      <c r="AV41" s="45"/>
      <c r="AW41" s="45"/>
      <c r="AX41" s="45"/>
    </row>
    <row r="42" spans="1:50" ht="60" hidden="1" customHeight="1" x14ac:dyDescent="0.3">
      <c r="A42" s="52">
        <v>2315</v>
      </c>
      <c r="B42" s="53" t="s">
        <v>615</v>
      </c>
      <c r="C42" s="54">
        <v>101247000</v>
      </c>
      <c r="D42" s="53" t="s">
        <v>616</v>
      </c>
      <c r="E42" s="53" t="s">
        <v>809</v>
      </c>
      <c r="F42" s="53" t="s">
        <v>614</v>
      </c>
      <c r="G42" s="53" t="s">
        <v>527</v>
      </c>
      <c r="H42" s="53"/>
      <c r="I42" s="56">
        <v>46357</v>
      </c>
      <c r="J42" s="51"/>
      <c r="K42" s="51">
        <v>1025</v>
      </c>
      <c r="L42" s="51">
        <f t="shared" si="6"/>
        <v>1025</v>
      </c>
      <c r="M42" s="51" t="s">
        <v>91</v>
      </c>
      <c r="N42" s="51" t="s">
        <v>90</v>
      </c>
      <c r="O42" s="51"/>
      <c r="P42" s="51" t="s">
        <v>90</v>
      </c>
      <c r="Q42" s="51" t="s">
        <v>111</v>
      </c>
      <c r="R42" s="51"/>
      <c r="S42" s="51"/>
      <c r="T42" s="51"/>
      <c r="U42" s="51">
        <v>12</v>
      </c>
      <c r="V42" s="51"/>
      <c r="W42" s="51"/>
      <c r="X42" s="51">
        <f t="shared" si="7"/>
        <v>12</v>
      </c>
      <c r="Y42" s="51">
        <v>12</v>
      </c>
      <c r="Z42" s="51"/>
      <c r="AA42" s="51"/>
      <c r="AB42" s="51">
        <f t="shared" si="15"/>
        <v>12</v>
      </c>
      <c r="AC42" s="51">
        <v>12</v>
      </c>
      <c r="AD42" s="51"/>
      <c r="AE42" s="51"/>
      <c r="AF42" s="51"/>
      <c r="AG42" s="51"/>
      <c r="AH42" s="51">
        <f t="shared" si="16"/>
        <v>12</v>
      </c>
      <c r="AI42" s="51" t="s">
        <v>185</v>
      </c>
      <c r="AJ42" s="51">
        <v>3</v>
      </c>
      <c r="AK42" s="53" t="s">
        <v>529</v>
      </c>
      <c r="AL42" s="55">
        <v>46105</v>
      </c>
      <c r="AM42" s="51"/>
      <c r="AN42" s="51"/>
      <c r="AO42" s="45"/>
      <c r="AP42" s="45"/>
      <c r="AQ42" s="45"/>
      <c r="AR42" s="45"/>
      <c r="AS42" s="45"/>
      <c r="AT42" s="45"/>
      <c r="AU42" s="45"/>
      <c r="AV42" s="45"/>
      <c r="AW42" s="45"/>
      <c r="AX42" s="45"/>
    </row>
    <row r="43" spans="1:50" ht="60" hidden="1" customHeight="1" x14ac:dyDescent="0.3">
      <c r="A43" s="52">
        <v>2316</v>
      </c>
      <c r="B43" s="53" t="s">
        <v>617</v>
      </c>
      <c r="C43" s="54">
        <v>101245000</v>
      </c>
      <c r="D43" s="53" t="s">
        <v>618</v>
      </c>
      <c r="E43" s="53" t="s">
        <v>810</v>
      </c>
      <c r="F43" s="53" t="s">
        <v>617</v>
      </c>
      <c r="G43" s="53" t="s">
        <v>527</v>
      </c>
      <c r="H43" s="53"/>
      <c r="I43" s="56">
        <v>46204</v>
      </c>
      <c r="J43" s="51"/>
      <c r="K43" s="51">
        <v>230</v>
      </c>
      <c r="L43" s="51">
        <f t="shared" si="6"/>
        <v>230</v>
      </c>
      <c r="M43" s="51" t="s">
        <v>91</v>
      </c>
      <c r="N43" s="51" t="s">
        <v>90</v>
      </c>
      <c r="O43" s="51"/>
      <c r="P43" s="51" t="s">
        <v>90</v>
      </c>
      <c r="Q43" s="51" t="s">
        <v>111</v>
      </c>
      <c r="R43" s="51"/>
      <c r="S43" s="51"/>
      <c r="T43" s="51"/>
      <c r="U43" s="51"/>
      <c r="V43" s="51">
        <v>7</v>
      </c>
      <c r="W43" s="51"/>
      <c r="X43" s="51">
        <f t="shared" si="7"/>
        <v>7</v>
      </c>
      <c r="Y43" s="51">
        <v>7</v>
      </c>
      <c r="Z43" s="51"/>
      <c r="AA43" s="51"/>
      <c r="AB43" s="51">
        <f t="shared" si="15"/>
        <v>7</v>
      </c>
      <c r="AC43" s="51"/>
      <c r="AD43" s="51">
        <v>7</v>
      </c>
      <c r="AE43" s="51"/>
      <c r="AF43" s="51"/>
      <c r="AG43" s="51"/>
      <c r="AH43" s="51">
        <f t="shared" si="16"/>
        <v>7</v>
      </c>
      <c r="AI43" s="51" t="s">
        <v>185</v>
      </c>
      <c r="AJ43" s="51">
        <v>3</v>
      </c>
      <c r="AK43" s="53" t="s">
        <v>529</v>
      </c>
      <c r="AL43" s="55">
        <v>46105</v>
      </c>
      <c r="AM43" s="51"/>
      <c r="AN43" s="51"/>
      <c r="AO43" s="45"/>
      <c r="AP43" s="45"/>
      <c r="AQ43" s="45"/>
      <c r="AR43" s="45"/>
      <c r="AS43" s="45"/>
      <c r="AT43" s="45"/>
      <c r="AU43" s="45"/>
      <c r="AV43" s="45"/>
      <c r="AW43" s="45"/>
      <c r="AX43" s="45"/>
    </row>
    <row r="44" spans="1:50" ht="60" hidden="1" customHeight="1" x14ac:dyDescent="0.3">
      <c r="A44" s="52">
        <v>2317</v>
      </c>
      <c r="B44" s="53" t="s">
        <v>619</v>
      </c>
      <c r="C44" s="54">
        <v>101244000</v>
      </c>
      <c r="D44" s="53" t="s">
        <v>620</v>
      </c>
      <c r="E44" s="53" t="s">
        <v>811</v>
      </c>
      <c r="F44" s="53" t="s">
        <v>619</v>
      </c>
      <c r="G44" s="53" t="s">
        <v>527</v>
      </c>
      <c r="H44" s="53"/>
      <c r="I44" s="51" t="s">
        <v>606</v>
      </c>
      <c r="J44" s="51"/>
      <c r="K44" s="51">
        <v>660</v>
      </c>
      <c r="L44" s="51">
        <f t="shared" si="6"/>
        <v>660</v>
      </c>
      <c r="M44" s="51" t="s">
        <v>91</v>
      </c>
      <c r="N44" s="51" t="s">
        <v>90</v>
      </c>
      <c r="O44" s="51"/>
      <c r="P44" s="51" t="s">
        <v>90</v>
      </c>
      <c r="Q44" s="51" t="s">
        <v>111</v>
      </c>
      <c r="R44" s="51"/>
      <c r="S44" s="51"/>
      <c r="T44" s="51"/>
      <c r="U44" s="51"/>
      <c r="V44" s="51">
        <v>17</v>
      </c>
      <c r="W44" s="51"/>
      <c r="X44" s="51">
        <f t="shared" si="7"/>
        <v>17</v>
      </c>
      <c r="Y44" s="51">
        <v>17</v>
      </c>
      <c r="Z44" s="51"/>
      <c r="AA44" s="51"/>
      <c r="AB44" s="51">
        <f t="shared" si="15"/>
        <v>17</v>
      </c>
      <c r="AC44" s="51"/>
      <c r="AD44" s="51">
        <v>17</v>
      </c>
      <c r="AE44" s="51"/>
      <c r="AF44" s="51"/>
      <c r="AG44" s="51"/>
      <c r="AH44" s="51">
        <f t="shared" si="16"/>
        <v>17</v>
      </c>
      <c r="AI44" s="51" t="s">
        <v>185</v>
      </c>
      <c r="AJ44" s="51">
        <v>3</v>
      </c>
      <c r="AK44" s="53" t="s">
        <v>529</v>
      </c>
      <c r="AL44" s="55">
        <v>46105</v>
      </c>
      <c r="AM44" s="51"/>
      <c r="AN44" s="51"/>
      <c r="AO44" s="45"/>
      <c r="AP44" s="45"/>
      <c r="AQ44" s="45"/>
      <c r="AR44" s="45"/>
      <c r="AS44" s="45"/>
      <c r="AT44" s="45"/>
      <c r="AU44" s="45"/>
      <c r="AV44" s="45"/>
      <c r="AW44" s="45"/>
      <c r="AX44" s="45"/>
    </row>
    <row r="45" spans="1:50" ht="60" hidden="1" customHeight="1" x14ac:dyDescent="0.3">
      <c r="A45" s="52">
        <v>2318</v>
      </c>
      <c r="B45" s="53" t="s">
        <v>621</v>
      </c>
      <c r="C45" s="54">
        <v>101243000</v>
      </c>
      <c r="D45" s="53" t="s">
        <v>622</v>
      </c>
      <c r="E45" s="53" t="s">
        <v>812</v>
      </c>
      <c r="F45" s="53" t="s">
        <v>621</v>
      </c>
      <c r="G45" s="53" t="s">
        <v>527</v>
      </c>
      <c r="H45" s="53">
        <v>191</v>
      </c>
      <c r="I45" s="56">
        <v>46235</v>
      </c>
      <c r="J45" s="51"/>
      <c r="K45" s="51">
        <v>268</v>
      </c>
      <c r="L45" s="51">
        <f t="shared" si="6"/>
        <v>268</v>
      </c>
      <c r="M45" s="51" t="s">
        <v>90</v>
      </c>
      <c r="N45" s="51" t="s">
        <v>91</v>
      </c>
      <c r="O45" s="51"/>
      <c r="P45" s="51" t="s">
        <v>90</v>
      </c>
      <c r="Q45" s="51" t="s">
        <v>111</v>
      </c>
      <c r="R45" s="51"/>
      <c r="S45" s="51"/>
      <c r="T45" s="51"/>
      <c r="U45" s="51"/>
      <c r="V45" s="51">
        <v>8</v>
      </c>
      <c r="W45" s="51"/>
      <c r="X45" s="51">
        <f t="shared" si="7"/>
        <v>8</v>
      </c>
      <c r="Y45" s="51">
        <v>8</v>
      </c>
      <c r="Z45" s="51"/>
      <c r="AA45" s="51"/>
      <c r="AB45" s="51">
        <f t="shared" si="15"/>
        <v>8</v>
      </c>
      <c r="AC45" s="51"/>
      <c r="AD45" s="51">
        <v>8</v>
      </c>
      <c r="AE45" s="51"/>
      <c r="AF45" s="51"/>
      <c r="AG45" s="51"/>
      <c r="AH45" s="51">
        <f t="shared" si="16"/>
        <v>8</v>
      </c>
      <c r="AI45" s="51" t="s">
        <v>185</v>
      </c>
      <c r="AJ45" s="51">
        <v>3</v>
      </c>
      <c r="AK45" s="53" t="s">
        <v>529</v>
      </c>
      <c r="AL45" s="55">
        <v>46105</v>
      </c>
      <c r="AM45" s="51"/>
      <c r="AN45" s="51"/>
      <c r="AO45" s="45"/>
      <c r="AP45" s="45"/>
      <c r="AQ45" s="45"/>
      <c r="AR45" s="45"/>
      <c r="AS45" s="45"/>
      <c r="AT45" s="45"/>
      <c r="AU45" s="45"/>
      <c r="AV45" s="45"/>
      <c r="AW45" s="45"/>
      <c r="AX45" s="45"/>
    </row>
    <row r="46" spans="1:50" ht="60" customHeight="1" x14ac:dyDescent="0.3">
      <c r="A46" s="52">
        <v>2319</v>
      </c>
      <c r="B46" s="53" t="s">
        <v>623</v>
      </c>
      <c r="C46" s="54">
        <v>101242000</v>
      </c>
      <c r="D46" s="53" t="s">
        <v>624</v>
      </c>
      <c r="E46" s="53" t="s">
        <v>813</v>
      </c>
      <c r="F46" s="53" t="s">
        <v>623</v>
      </c>
      <c r="G46" s="53" t="s">
        <v>527</v>
      </c>
      <c r="H46" s="53"/>
      <c r="I46" s="56">
        <v>46296</v>
      </c>
      <c r="J46" s="51"/>
      <c r="K46" s="51">
        <v>384</v>
      </c>
      <c r="L46" s="51">
        <f t="shared" si="6"/>
        <v>384</v>
      </c>
      <c r="M46" s="51" t="s">
        <v>91</v>
      </c>
      <c r="N46" s="51" t="s">
        <v>90</v>
      </c>
      <c r="O46" s="51"/>
      <c r="P46" s="51" t="s">
        <v>90</v>
      </c>
      <c r="Q46" s="51" t="s">
        <v>111</v>
      </c>
      <c r="R46" s="51"/>
      <c r="S46" s="51"/>
      <c r="T46" s="51"/>
      <c r="U46" s="51"/>
      <c r="V46" s="51">
        <v>10</v>
      </c>
      <c r="W46" s="51"/>
      <c r="X46" s="51">
        <f t="shared" si="7"/>
        <v>10</v>
      </c>
      <c r="Y46" s="51">
        <v>10</v>
      </c>
      <c r="Z46" s="51"/>
      <c r="AA46" s="51"/>
      <c r="AB46" s="51">
        <f t="shared" si="15"/>
        <v>10</v>
      </c>
      <c r="AC46" s="51"/>
      <c r="AD46" s="51">
        <v>10</v>
      </c>
      <c r="AE46" s="51"/>
      <c r="AF46" s="51"/>
      <c r="AG46" s="51"/>
      <c r="AH46" s="51">
        <f t="shared" si="16"/>
        <v>10</v>
      </c>
      <c r="AI46" s="51" t="s">
        <v>185</v>
      </c>
      <c r="AJ46" s="51">
        <v>3</v>
      </c>
      <c r="AK46" s="53" t="s">
        <v>529</v>
      </c>
      <c r="AL46" s="55">
        <v>46105</v>
      </c>
      <c r="AM46" s="51"/>
      <c r="AN46" s="51"/>
      <c r="AO46" s="45"/>
      <c r="AP46" s="45"/>
      <c r="AQ46" s="45"/>
      <c r="AR46" s="45"/>
      <c r="AS46" s="45"/>
      <c r="AT46" s="45"/>
      <c r="AU46" s="45"/>
      <c r="AV46" s="45"/>
      <c r="AW46" s="45"/>
      <c r="AX46" s="45"/>
    </row>
    <row r="47" spans="1:50" ht="60" hidden="1" customHeight="1" x14ac:dyDescent="0.3">
      <c r="A47" s="52">
        <v>2320</v>
      </c>
      <c r="B47" s="53" t="s">
        <v>625</v>
      </c>
      <c r="C47" s="54">
        <v>101241000</v>
      </c>
      <c r="D47" s="53" t="s">
        <v>626</v>
      </c>
      <c r="E47" s="53" t="s">
        <v>814</v>
      </c>
      <c r="F47" s="53" t="s">
        <v>627</v>
      </c>
      <c r="G47" s="53" t="s">
        <v>527</v>
      </c>
      <c r="H47" s="53"/>
      <c r="I47" s="51" t="s">
        <v>534</v>
      </c>
      <c r="J47" s="51"/>
      <c r="K47" s="51">
        <v>743</v>
      </c>
      <c r="L47" s="51">
        <f t="shared" si="6"/>
        <v>743</v>
      </c>
      <c r="M47" s="51" t="s">
        <v>91</v>
      </c>
      <c r="N47" s="51" t="s">
        <v>90</v>
      </c>
      <c r="O47" s="51"/>
      <c r="P47" s="51" t="s">
        <v>90</v>
      </c>
      <c r="Q47" s="51" t="s">
        <v>111</v>
      </c>
      <c r="R47" s="51"/>
      <c r="S47" s="51"/>
      <c r="T47" s="51"/>
      <c r="U47" s="51"/>
      <c r="V47" s="51">
        <v>21</v>
      </c>
      <c r="W47" s="51"/>
      <c r="X47" s="51">
        <f t="shared" si="7"/>
        <v>21</v>
      </c>
      <c r="Y47" s="51">
        <v>21</v>
      </c>
      <c r="Z47" s="51"/>
      <c r="AA47" s="51"/>
      <c r="AB47" s="51">
        <f t="shared" si="15"/>
        <v>21</v>
      </c>
      <c r="AC47" s="51"/>
      <c r="AD47" s="51">
        <v>21</v>
      </c>
      <c r="AE47" s="51"/>
      <c r="AF47" s="51"/>
      <c r="AG47" s="51"/>
      <c r="AH47" s="51">
        <f t="shared" si="16"/>
        <v>21</v>
      </c>
      <c r="AI47" s="51" t="s">
        <v>185</v>
      </c>
      <c r="AJ47" s="51">
        <v>3</v>
      </c>
      <c r="AK47" s="53" t="s">
        <v>529</v>
      </c>
      <c r="AL47" s="55">
        <v>46105</v>
      </c>
      <c r="AM47" s="51"/>
      <c r="AN47" s="51"/>
      <c r="AO47" s="45"/>
      <c r="AP47" s="45"/>
      <c r="AQ47" s="45"/>
      <c r="AR47" s="45"/>
      <c r="AS47" s="45"/>
      <c r="AT47" s="45"/>
      <c r="AU47" s="45"/>
      <c r="AV47" s="45"/>
      <c r="AW47" s="45"/>
      <c r="AX47" s="45"/>
    </row>
    <row r="48" spans="1:50" ht="60" hidden="1" customHeight="1" x14ac:dyDescent="0.3">
      <c r="A48" s="52">
        <v>2320</v>
      </c>
      <c r="B48" s="53" t="s">
        <v>628</v>
      </c>
      <c r="C48" s="54">
        <v>101240000</v>
      </c>
      <c r="D48" s="53" t="s">
        <v>629</v>
      </c>
      <c r="E48" s="53" t="s">
        <v>815</v>
      </c>
      <c r="F48" s="53" t="s">
        <v>627</v>
      </c>
      <c r="G48" s="53" t="s">
        <v>527</v>
      </c>
      <c r="H48" s="53"/>
      <c r="I48" s="56">
        <v>46357</v>
      </c>
      <c r="J48" s="51"/>
      <c r="K48" s="51">
        <v>726</v>
      </c>
      <c r="L48" s="51">
        <f t="shared" si="6"/>
        <v>726</v>
      </c>
      <c r="M48" s="51" t="s">
        <v>91</v>
      </c>
      <c r="N48" s="51" t="s">
        <v>90</v>
      </c>
      <c r="O48" s="51"/>
      <c r="P48" s="51" t="s">
        <v>90</v>
      </c>
      <c r="Q48" s="51" t="s">
        <v>111</v>
      </c>
      <c r="R48" s="51"/>
      <c r="S48" s="51"/>
      <c r="T48" s="51"/>
      <c r="U48" s="51"/>
      <c r="V48" s="51">
        <v>12</v>
      </c>
      <c r="W48" s="51"/>
      <c r="X48" s="51">
        <f t="shared" si="7"/>
        <v>12</v>
      </c>
      <c r="Y48" s="51">
        <v>12</v>
      </c>
      <c r="Z48" s="51"/>
      <c r="AA48" s="51"/>
      <c r="AB48" s="51">
        <f t="shared" si="15"/>
        <v>12</v>
      </c>
      <c r="AC48" s="51"/>
      <c r="AD48" s="51">
        <v>12</v>
      </c>
      <c r="AE48" s="51"/>
      <c r="AF48" s="51"/>
      <c r="AG48" s="51"/>
      <c r="AH48" s="51">
        <f t="shared" si="16"/>
        <v>12</v>
      </c>
      <c r="AI48" s="51" t="s">
        <v>185</v>
      </c>
      <c r="AJ48" s="51">
        <v>3</v>
      </c>
      <c r="AK48" s="53" t="s">
        <v>529</v>
      </c>
      <c r="AL48" s="55">
        <v>46105</v>
      </c>
      <c r="AM48" s="51"/>
      <c r="AN48" s="51"/>
      <c r="AO48" s="45"/>
      <c r="AP48" s="45"/>
      <c r="AQ48" s="45"/>
      <c r="AR48" s="45"/>
      <c r="AS48" s="45"/>
      <c r="AT48" s="45"/>
      <c r="AU48" s="45"/>
      <c r="AV48" s="45"/>
      <c r="AW48" s="45"/>
      <c r="AX48" s="45"/>
    </row>
    <row r="49" spans="1:50" ht="60" hidden="1" customHeight="1" x14ac:dyDescent="0.3">
      <c r="A49" s="52">
        <v>2321</v>
      </c>
      <c r="B49" s="53" t="s">
        <v>630</v>
      </c>
      <c r="C49" s="54">
        <v>101249000</v>
      </c>
      <c r="D49" s="53" t="s">
        <v>631</v>
      </c>
      <c r="E49" s="53" t="s">
        <v>816</v>
      </c>
      <c r="F49" s="53" t="s">
        <v>630</v>
      </c>
      <c r="G49" s="53" t="s">
        <v>527</v>
      </c>
      <c r="H49" s="53"/>
      <c r="I49" s="58" t="s">
        <v>632</v>
      </c>
      <c r="J49" s="51"/>
      <c r="K49" s="51">
        <v>831</v>
      </c>
      <c r="L49" s="51">
        <f t="shared" si="6"/>
        <v>831</v>
      </c>
      <c r="M49" s="51"/>
      <c r="N49" s="51" t="s">
        <v>90</v>
      </c>
      <c r="O49" s="51"/>
      <c r="P49" s="51" t="s">
        <v>90</v>
      </c>
      <c r="Q49" s="51"/>
      <c r="R49" s="51"/>
      <c r="S49" s="51"/>
      <c r="T49" s="51"/>
      <c r="U49" s="51"/>
      <c r="V49" s="51">
        <v>24</v>
      </c>
      <c r="W49" s="51"/>
      <c r="X49" s="51">
        <f t="shared" si="7"/>
        <v>24</v>
      </c>
      <c r="Y49" s="51">
        <v>24</v>
      </c>
      <c r="Z49" s="51"/>
      <c r="AA49" s="51"/>
      <c r="AB49" s="51">
        <f t="shared" si="15"/>
        <v>24</v>
      </c>
      <c r="AC49" s="51"/>
      <c r="AD49" s="51">
        <v>24</v>
      </c>
      <c r="AE49" s="51"/>
      <c r="AF49" s="51"/>
      <c r="AG49" s="51"/>
      <c r="AH49" s="51">
        <f t="shared" si="16"/>
        <v>24</v>
      </c>
      <c r="AI49" s="51" t="s">
        <v>93</v>
      </c>
      <c r="AJ49" s="51">
        <v>3</v>
      </c>
      <c r="AK49" s="53" t="s">
        <v>529</v>
      </c>
      <c r="AL49" s="55">
        <v>46106</v>
      </c>
      <c r="AM49" s="51"/>
      <c r="AN49" s="51"/>
      <c r="AO49" s="45"/>
      <c r="AP49" s="45"/>
      <c r="AQ49" s="45"/>
      <c r="AR49" s="45"/>
      <c r="AS49" s="45"/>
      <c r="AT49" s="45"/>
      <c r="AU49" s="45"/>
      <c r="AV49" s="45"/>
      <c r="AW49" s="45"/>
      <c r="AX49" s="45"/>
    </row>
    <row r="50" spans="1:50" ht="60" hidden="1" customHeight="1" x14ac:dyDescent="0.3">
      <c r="A50" s="52">
        <v>2322</v>
      </c>
      <c r="B50" s="53" t="s">
        <v>633</v>
      </c>
      <c r="C50" s="54">
        <v>101250000</v>
      </c>
      <c r="D50" s="53" t="s">
        <v>634</v>
      </c>
      <c r="E50" s="53" t="s">
        <v>817</v>
      </c>
      <c r="F50" s="53" t="s">
        <v>633</v>
      </c>
      <c r="G50" s="53" t="s">
        <v>527</v>
      </c>
      <c r="H50" s="53"/>
      <c r="I50" s="58" t="s">
        <v>635</v>
      </c>
      <c r="J50" s="51"/>
      <c r="K50" s="51">
        <v>2322</v>
      </c>
      <c r="L50" s="51">
        <f t="shared" si="6"/>
        <v>2322</v>
      </c>
      <c r="M50" s="51" t="s">
        <v>90</v>
      </c>
      <c r="N50" s="51"/>
      <c r="O50" s="51"/>
      <c r="P50" s="51" t="s">
        <v>90</v>
      </c>
      <c r="Q50" s="51"/>
      <c r="R50" s="51"/>
      <c r="S50" s="51"/>
      <c r="T50" s="51"/>
      <c r="U50" s="51"/>
      <c r="V50" s="51">
        <v>30</v>
      </c>
      <c r="W50" s="51"/>
      <c r="X50" s="51">
        <f t="shared" si="7"/>
        <v>30</v>
      </c>
      <c r="Y50" s="51">
        <v>30</v>
      </c>
      <c r="Z50" s="51"/>
      <c r="AA50" s="51"/>
      <c r="AB50" s="51">
        <f t="shared" si="15"/>
        <v>30</v>
      </c>
      <c r="AC50" s="51"/>
      <c r="AD50" s="51">
        <v>30</v>
      </c>
      <c r="AE50" s="51"/>
      <c r="AF50" s="51"/>
      <c r="AG50" s="51"/>
      <c r="AH50" s="51">
        <f t="shared" si="16"/>
        <v>30</v>
      </c>
      <c r="AI50" s="51" t="s">
        <v>185</v>
      </c>
      <c r="AJ50" s="51">
        <v>3</v>
      </c>
      <c r="AK50" s="53" t="s">
        <v>529</v>
      </c>
      <c r="AL50" s="55">
        <v>46106</v>
      </c>
      <c r="AM50" s="51"/>
      <c r="AN50" s="51"/>
      <c r="AO50" s="45"/>
      <c r="AP50" s="45"/>
      <c r="AQ50" s="45"/>
      <c r="AR50" s="45"/>
      <c r="AS50" s="45"/>
      <c r="AT50" s="45"/>
      <c r="AU50" s="45"/>
      <c r="AV50" s="45"/>
      <c r="AW50" s="45"/>
      <c r="AX50" s="45"/>
    </row>
    <row r="51" spans="1:50" ht="60" hidden="1" customHeight="1" x14ac:dyDescent="0.3">
      <c r="A51" s="52">
        <v>2323</v>
      </c>
      <c r="B51" s="53" t="s">
        <v>636</v>
      </c>
      <c r="C51" s="54">
        <v>101253000</v>
      </c>
      <c r="D51" s="53" t="s">
        <v>637</v>
      </c>
      <c r="E51" s="53" t="s">
        <v>818</v>
      </c>
      <c r="F51" s="53" t="s">
        <v>636</v>
      </c>
      <c r="G51" s="53" t="s">
        <v>527</v>
      </c>
      <c r="H51" s="53"/>
      <c r="I51" s="58" t="s">
        <v>638</v>
      </c>
      <c r="J51" s="51"/>
      <c r="K51" s="51">
        <v>1223</v>
      </c>
      <c r="L51" s="51">
        <f t="shared" si="6"/>
        <v>1223</v>
      </c>
      <c r="M51" s="51" t="s">
        <v>90</v>
      </c>
      <c r="N51" s="51"/>
      <c r="O51" s="51"/>
      <c r="P51" s="51" t="s">
        <v>90</v>
      </c>
      <c r="Q51" s="51"/>
      <c r="R51" s="51"/>
      <c r="S51" s="51"/>
      <c r="T51" s="51"/>
      <c r="U51" s="51"/>
      <c r="V51" s="51">
        <v>27</v>
      </c>
      <c r="W51" s="51"/>
      <c r="X51" s="51">
        <f t="shared" si="7"/>
        <v>27</v>
      </c>
      <c r="Y51" s="51">
        <v>27</v>
      </c>
      <c r="Z51" s="51"/>
      <c r="AA51" s="51"/>
      <c r="AB51" s="51">
        <f t="shared" si="15"/>
        <v>27</v>
      </c>
      <c r="AC51" s="51"/>
      <c r="AD51" s="51">
        <v>27</v>
      </c>
      <c r="AE51" s="51"/>
      <c r="AF51" s="51"/>
      <c r="AG51" s="51"/>
      <c r="AH51" s="51">
        <f t="shared" si="16"/>
        <v>27</v>
      </c>
      <c r="AI51" s="51" t="s">
        <v>185</v>
      </c>
      <c r="AJ51" s="51">
        <v>3</v>
      </c>
      <c r="AK51" s="53" t="s">
        <v>529</v>
      </c>
      <c r="AL51" s="55">
        <v>46106</v>
      </c>
      <c r="AM51" s="51"/>
      <c r="AN51" s="51"/>
      <c r="AO51" s="45"/>
      <c r="AP51" s="45"/>
      <c r="AQ51" s="45"/>
      <c r="AR51" s="45"/>
      <c r="AS51" s="45"/>
      <c r="AT51" s="45"/>
      <c r="AU51" s="45"/>
      <c r="AV51" s="45"/>
      <c r="AW51" s="45"/>
      <c r="AX51" s="45"/>
    </row>
    <row r="52" spans="1:50" ht="60" hidden="1" customHeight="1" x14ac:dyDescent="0.3">
      <c r="A52" s="52">
        <v>2324</v>
      </c>
      <c r="B52" s="53" t="s">
        <v>639</v>
      </c>
      <c r="C52" s="54">
        <v>101252000</v>
      </c>
      <c r="D52" s="53" t="s">
        <v>640</v>
      </c>
      <c r="E52" s="53" t="s">
        <v>819</v>
      </c>
      <c r="F52" s="53" t="s">
        <v>639</v>
      </c>
      <c r="G52" s="53" t="s">
        <v>527</v>
      </c>
      <c r="H52" s="53"/>
      <c r="I52" s="58" t="s">
        <v>541</v>
      </c>
      <c r="J52" s="51"/>
      <c r="K52" s="51">
        <v>352</v>
      </c>
      <c r="L52" s="51">
        <f t="shared" si="6"/>
        <v>352</v>
      </c>
      <c r="M52" s="51" t="s">
        <v>90</v>
      </c>
      <c r="N52" s="51"/>
      <c r="O52" s="51"/>
      <c r="P52" s="51" t="s">
        <v>90</v>
      </c>
      <c r="Q52" s="51"/>
      <c r="R52" s="51"/>
      <c r="S52" s="51"/>
      <c r="T52" s="51"/>
      <c r="U52" s="51"/>
      <c r="V52" s="51">
        <v>11</v>
      </c>
      <c r="W52" s="51"/>
      <c r="X52" s="51">
        <f t="shared" si="7"/>
        <v>11</v>
      </c>
      <c r="Y52" s="51">
        <v>11</v>
      </c>
      <c r="Z52" s="51"/>
      <c r="AA52" s="51"/>
      <c r="AB52" s="51">
        <f t="shared" si="15"/>
        <v>11</v>
      </c>
      <c r="AC52" s="51"/>
      <c r="AD52" s="51">
        <v>11</v>
      </c>
      <c r="AE52" s="51"/>
      <c r="AF52" s="51"/>
      <c r="AG52" s="51"/>
      <c r="AH52" s="51">
        <f t="shared" si="16"/>
        <v>11</v>
      </c>
      <c r="AI52" s="51" t="s">
        <v>93</v>
      </c>
      <c r="AJ52" s="51">
        <v>3</v>
      </c>
      <c r="AK52" s="53" t="s">
        <v>529</v>
      </c>
      <c r="AL52" s="55">
        <v>46106</v>
      </c>
      <c r="AM52" s="51"/>
      <c r="AN52" s="51"/>
      <c r="AO52" s="45"/>
      <c r="AP52" s="45"/>
      <c r="AQ52" s="45"/>
      <c r="AR52" s="45"/>
      <c r="AS52" s="45"/>
      <c r="AT52" s="45"/>
      <c r="AU52" s="45"/>
      <c r="AV52" s="45"/>
      <c r="AW52" s="45"/>
      <c r="AX52" s="45"/>
    </row>
    <row r="53" spans="1:50" ht="60" hidden="1" customHeight="1" x14ac:dyDescent="0.3">
      <c r="A53" s="52">
        <v>2325</v>
      </c>
      <c r="B53" s="53" t="s">
        <v>641</v>
      </c>
      <c r="C53" s="54">
        <v>101251000</v>
      </c>
      <c r="D53" s="53" t="s">
        <v>642</v>
      </c>
      <c r="E53" s="53" t="s">
        <v>820</v>
      </c>
      <c r="F53" s="53" t="s">
        <v>641</v>
      </c>
      <c r="G53" s="53" t="s">
        <v>527</v>
      </c>
      <c r="H53" s="53"/>
      <c r="I53" s="58" t="s">
        <v>534</v>
      </c>
      <c r="J53" s="51"/>
      <c r="K53" s="51">
        <v>782</v>
      </c>
      <c r="L53" s="51">
        <f t="shared" si="6"/>
        <v>782</v>
      </c>
      <c r="M53" s="51" t="s">
        <v>90</v>
      </c>
      <c r="N53" s="51"/>
      <c r="O53" s="51"/>
      <c r="P53" s="51" t="s">
        <v>90</v>
      </c>
      <c r="Q53" s="51"/>
      <c r="R53" s="51"/>
      <c r="S53" s="51"/>
      <c r="T53" s="51"/>
      <c r="U53" s="51"/>
      <c r="V53" s="51">
        <v>21</v>
      </c>
      <c r="W53" s="51"/>
      <c r="X53" s="51">
        <f t="shared" si="7"/>
        <v>21</v>
      </c>
      <c r="Y53" s="51">
        <v>21</v>
      </c>
      <c r="Z53" s="51"/>
      <c r="AA53" s="51"/>
      <c r="AB53" s="51">
        <f t="shared" si="15"/>
        <v>21</v>
      </c>
      <c r="AC53" s="51"/>
      <c r="AD53" s="51">
        <v>21</v>
      </c>
      <c r="AE53" s="51"/>
      <c r="AF53" s="51"/>
      <c r="AG53" s="51"/>
      <c r="AH53" s="51">
        <f t="shared" si="16"/>
        <v>21</v>
      </c>
      <c r="AI53" s="51" t="s">
        <v>93</v>
      </c>
      <c r="AJ53" s="51">
        <v>3</v>
      </c>
      <c r="AK53" s="53" t="s">
        <v>529</v>
      </c>
      <c r="AL53" s="55">
        <v>46106</v>
      </c>
      <c r="AM53" s="51"/>
      <c r="AN53" s="51"/>
      <c r="AO53" s="45"/>
      <c r="AP53" s="45"/>
      <c r="AQ53" s="45"/>
      <c r="AR53" s="45"/>
      <c r="AS53" s="45"/>
      <c r="AT53" s="45"/>
      <c r="AU53" s="45"/>
      <c r="AV53" s="45"/>
      <c r="AW53" s="45"/>
      <c r="AX53" s="45"/>
    </row>
    <row r="54" spans="1:50" ht="60" hidden="1" customHeight="1" x14ac:dyDescent="0.3">
      <c r="A54" s="52">
        <v>2326</v>
      </c>
      <c r="B54" s="53"/>
      <c r="C54" s="51"/>
      <c r="D54" s="53"/>
      <c r="E54" s="53"/>
      <c r="F54" s="53" t="s">
        <v>643</v>
      </c>
      <c r="G54" s="53" t="s">
        <v>527</v>
      </c>
      <c r="H54" s="53"/>
      <c r="I54" s="58" t="s">
        <v>644</v>
      </c>
      <c r="J54" s="51"/>
      <c r="K54" s="51">
        <v>330</v>
      </c>
      <c r="L54" s="51">
        <f t="shared" si="6"/>
        <v>330</v>
      </c>
      <c r="M54" s="51"/>
      <c r="N54" s="51"/>
      <c r="O54" s="51"/>
      <c r="P54" s="51"/>
      <c r="Q54" s="51"/>
      <c r="R54" s="51"/>
      <c r="S54" s="51"/>
      <c r="T54" s="51"/>
      <c r="U54" s="51"/>
      <c r="V54" s="51">
        <v>15</v>
      </c>
      <c r="W54" s="51"/>
      <c r="X54" s="51">
        <f t="shared" si="7"/>
        <v>15</v>
      </c>
      <c r="Y54" s="51">
        <v>15</v>
      </c>
      <c r="Z54" s="51"/>
      <c r="AA54" s="51"/>
      <c r="AB54" s="51">
        <f t="shared" si="15"/>
        <v>15</v>
      </c>
      <c r="AC54" s="51"/>
      <c r="AD54" s="51">
        <v>15</v>
      </c>
      <c r="AE54" s="51"/>
      <c r="AF54" s="51"/>
      <c r="AG54" s="51"/>
      <c r="AH54" s="51">
        <f t="shared" si="16"/>
        <v>15</v>
      </c>
      <c r="AI54" s="51"/>
      <c r="AJ54" s="51"/>
      <c r="AK54" s="53" t="s">
        <v>529</v>
      </c>
      <c r="AL54" s="55">
        <v>46106</v>
      </c>
      <c r="AM54" s="51"/>
      <c r="AN54" s="51"/>
      <c r="AO54" s="45"/>
      <c r="AP54" s="45"/>
      <c r="AQ54" s="45"/>
      <c r="AR54" s="45"/>
      <c r="AS54" s="45"/>
      <c r="AT54" s="45"/>
      <c r="AU54" s="45"/>
      <c r="AV54" s="45"/>
      <c r="AW54" s="45"/>
      <c r="AX54" s="45"/>
    </row>
    <row r="55" spans="1:50" ht="60" hidden="1" customHeight="1" x14ac:dyDescent="0.3">
      <c r="A55" s="52">
        <v>2327</v>
      </c>
      <c r="B55" s="53" t="s">
        <v>645</v>
      </c>
      <c r="C55" s="54">
        <v>101254000</v>
      </c>
      <c r="D55" s="53" t="s">
        <v>646</v>
      </c>
      <c r="E55" s="53" t="s">
        <v>821</v>
      </c>
      <c r="F55" s="53" t="s">
        <v>645</v>
      </c>
      <c r="G55" s="53" t="s">
        <v>527</v>
      </c>
      <c r="H55" s="53"/>
      <c r="I55" s="58" t="s">
        <v>647</v>
      </c>
      <c r="J55" s="51"/>
      <c r="K55" s="51">
        <f>2023-330</f>
        <v>1693</v>
      </c>
      <c r="L55" s="51">
        <f t="shared" si="6"/>
        <v>1693</v>
      </c>
      <c r="M55" s="51" t="s">
        <v>90</v>
      </c>
      <c r="N55" s="51"/>
      <c r="O55" s="51"/>
      <c r="P55" s="51" t="s">
        <v>90</v>
      </c>
      <c r="Q55" s="51"/>
      <c r="R55" s="51"/>
      <c r="S55" s="51"/>
      <c r="T55" s="51"/>
      <c r="U55" s="51"/>
      <c r="V55" s="51">
        <f>51-15</f>
        <v>36</v>
      </c>
      <c r="W55" s="51"/>
      <c r="X55" s="51">
        <f t="shared" si="7"/>
        <v>36</v>
      </c>
      <c r="Y55" s="51">
        <v>36</v>
      </c>
      <c r="Z55" s="51"/>
      <c r="AA55" s="51"/>
      <c r="AB55" s="51">
        <f t="shared" si="15"/>
        <v>36</v>
      </c>
      <c r="AC55" s="51"/>
      <c r="AD55" s="51">
        <v>36</v>
      </c>
      <c r="AE55" s="51"/>
      <c r="AF55" s="51"/>
      <c r="AG55" s="51"/>
      <c r="AH55" s="51">
        <f t="shared" si="16"/>
        <v>36</v>
      </c>
      <c r="AI55" s="51" t="s">
        <v>185</v>
      </c>
      <c r="AJ55" s="51">
        <v>3</v>
      </c>
      <c r="AK55" s="53" t="s">
        <v>529</v>
      </c>
      <c r="AL55" s="55">
        <v>46106</v>
      </c>
      <c r="AM55" s="51"/>
      <c r="AN55" s="51"/>
      <c r="AO55" s="45"/>
      <c r="AP55" s="45"/>
      <c r="AQ55" s="45"/>
      <c r="AR55" s="45"/>
      <c r="AS55" s="45"/>
      <c r="AT55" s="45"/>
      <c r="AU55" s="45"/>
      <c r="AV55" s="45"/>
      <c r="AW55" s="45"/>
      <c r="AX55" s="45"/>
    </row>
    <row r="56" spans="1:50" ht="60" hidden="1" customHeight="1" x14ac:dyDescent="0.3">
      <c r="A56" s="52">
        <v>2328</v>
      </c>
      <c r="B56" s="53" t="s">
        <v>648</v>
      </c>
      <c r="C56" s="54">
        <v>101255000</v>
      </c>
      <c r="D56" s="53" t="s">
        <v>649</v>
      </c>
      <c r="E56" s="53" t="s">
        <v>822</v>
      </c>
      <c r="F56" s="53" t="s">
        <v>648</v>
      </c>
      <c r="G56" s="53" t="s">
        <v>527</v>
      </c>
      <c r="H56" s="53"/>
      <c r="I56" s="58" t="s">
        <v>555</v>
      </c>
      <c r="J56" s="51"/>
      <c r="K56" s="51">
        <v>448</v>
      </c>
      <c r="L56" s="51">
        <f t="shared" si="6"/>
        <v>448</v>
      </c>
      <c r="M56" s="51" t="s">
        <v>90</v>
      </c>
      <c r="N56" s="51"/>
      <c r="O56" s="51"/>
      <c r="P56" s="51" t="s">
        <v>90</v>
      </c>
      <c r="Q56" s="51"/>
      <c r="R56" s="51"/>
      <c r="S56" s="51"/>
      <c r="T56" s="51"/>
      <c r="U56" s="51"/>
      <c r="V56" s="51">
        <v>12</v>
      </c>
      <c r="W56" s="51"/>
      <c r="X56" s="51">
        <f t="shared" si="7"/>
        <v>12</v>
      </c>
      <c r="Y56" s="51">
        <v>12</v>
      </c>
      <c r="Z56" s="51"/>
      <c r="AA56" s="51"/>
      <c r="AB56" s="51">
        <f t="shared" si="15"/>
        <v>12</v>
      </c>
      <c r="AC56" s="51"/>
      <c r="AD56" s="51">
        <v>12</v>
      </c>
      <c r="AE56" s="51"/>
      <c r="AF56" s="51"/>
      <c r="AG56" s="51"/>
      <c r="AH56" s="51">
        <f t="shared" si="16"/>
        <v>12</v>
      </c>
      <c r="AI56" s="51" t="s">
        <v>93</v>
      </c>
      <c r="AJ56" s="51">
        <v>3</v>
      </c>
      <c r="AK56" s="53" t="s">
        <v>529</v>
      </c>
      <c r="AL56" s="55">
        <v>46106</v>
      </c>
      <c r="AM56" s="51"/>
      <c r="AN56" s="51"/>
      <c r="AO56" s="45"/>
      <c r="AP56" s="45"/>
      <c r="AQ56" s="45"/>
      <c r="AR56" s="45"/>
      <c r="AS56" s="45"/>
      <c r="AT56" s="45"/>
      <c r="AU56" s="45"/>
      <c r="AV56" s="45"/>
      <c r="AW56" s="45"/>
      <c r="AX56" s="45"/>
    </row>
    <row r="57" spans="1:50" ht="60" hidden="1" customHeight="1" x14ac:dyDescent="0.3">
      <c r="A57" s="52">
        <v>2329</v>
      </c>
      <c r="B57" s="53" t="s">
        <v>650</v>
      </c>
      <c r="C57" s="54">
        <v>101148000</v>
      </c>
      <c r="D57" s="53" t="s">
        <v>651</v>
      </c>
      <c r="E57" s="53" t="s">
        <v>823</v>
      </c>
      <c r="F57" s="53" t="s">
        <v>652</v>
      </c>
      <c r="G57" s="53" t="s">
        <v>527</v>
      </c>
      <c r="H57" s="53"/>
      <c r="I57" s="51" t="s">
        <v>580</v>
      </c>
      <c r="J57" s="51"/>
      <c r="K57" s="51">
        <v>770</v>
      </c>
      <c r="L57" s="51">
        <f t="shared" si="6"/>
        <v>770</v>
      </c>
      <c r="M57" s="51" t="s">
        <v>90</v>
      </c>
      <c r="N57" s="51" t="s">
        <v>91</v>
      </c>
      <c r="O57" s="51"/>
      <c r="P57" s="51" t="s">
        <v>90</v>
      </c>
      <c r="Q57" s="51" t="s">
        <v>111</v>
      </c>
      <c r="R57" s="51"/>
      <c r="S57" s="51"/>
      <c r="T57" s="51"/>
      <c r="U57" s="51"/>
      <c r="V57" s="51">
        <v>20</v>
      </c>
      <c r="W57" s="51"/>
      <c r="X57" s="51">
        <f t="shared" si="7"/>
        <v>20</v>
      </c>
      <c r="Y57" s="51">
        <v>20</v>
      </c>
      <c r="Z57" s="51"/>
      <c r="AA57" s="51"/>
      <c r="AB57" s="51">
        <f t="shared" si="15"/>
        <v>20</v>
      </c>
      <c r="AC57" s="51"/>
      <c r="AD57" s="51">
        <v>20</v>
      </c>
      <c r="AE57" s="51"/>
      <c r="AF57" s="51"/>
      <c r="AG57" s="51"/>
      <c r="AH57" s="51">
        <f t="shared" si="16"/>
        <v>20</v>
      </c>
      <c r="AI57" s="51" t="s">
        <v>93</v>
      </c>
      <c r="AJ57" s="51">
        <v>3</v>
      </c>
      <c r="AK57" s="53" t="s">
        <v>529</v>
      </c>
      <c r="AL57" s="55">
        <v>46105</v>
      </c>
      <c r="AM57" s="51"/>
      <c r="AN57" s="51"/>
      <c r="AO57" s="45"/>
      <c r="AP57" s="45"/>
      <c r="AQ57" s="45"/>
      <c r="AR57" s="45"/>
      <c r="AS57" s="45"/>
      <c r="AT57" s="45"/>
      <c r="AU57" s="45"/>
      <c r="AV57" s="45"/>
      <c r="AW57" s="45"/>
      <c r="AX57" s="45"/>
    </row>
    <row r="58" spans="1:50" ht="60" hidden="1" customHeight="1" x14ac:dyDescent="0.3">
      <c r="A58" s="52">
        <v>2329</v>
      </c>
      <c r="B58" s="53" t="s">
        <v>653</v>
      </c>
      <c r="C58" s="54">
        <v>101149000</v>
      </c>
      <c r="D58" s="53" t="s">
        <v>654</v>
      </c>
      <c r="E58" s="53" t="s">
        <v>824</v>
      </c>
      <c r="F58" s="53" t="s">
        <v>652</v>
      </c>
      <c r="G58" s="53" t="s">
        <v>527</v>
      </c>
      <c r="H58" s="53" t="s">
        <v>655</v>
      </c>
      <c r="I58" s="51" t="s">
        <v>635</v>
      </c>
      <c r="J58" s="51"/>
      <c r="K58" s="51">
        <v>1150</v>
      </c>
      <c r="L58" s="51">
        <f t="shared" si="6"/>
        <v>1150</v>
      </c>
      <c r="M58" s="51" t="s">
        <v>91</v>
      </c>
      <c r="N58" s="51" t="s">
        <v>90</v>
      </c>
      <c r="O58" s="51"/>
      <c r="P58" s="51" t="s">
        <v>90</v>
      </c>
      <c r="Q58" s="51" t="s">
        <v>111</v>
      </c>
      <c r="R58" s="51"/>
      <c r="S58" s="51"/>
      <c r="T58" s="51"/>
      <c r="U58" s="51"/>
      <c r="V58" s="51">
        <v>30</v>
      </c>
      <c r="W58" s="51"/>
      <c r="X58" s="51">
        <f t="shared" si="7"/>
        <v>30</v>
      </c>
      <c r="Y58" s="51">
        <v>30</v>
      </c>
      <c r="Z58" s="51"/>
      <c r="AA58" s="51"/>
      <c r="AB58" s="51">
        <f t="shared" si="15"/>
        <v>30</v>
      </c>
      <c r="AC58" s="51"/>
      <c r="AD58" s="51">
        <v>30</v>
      </c>
      <c r="AE58" s="51"/>
      <c r="AF58" s="51"/>
      <c r="AG58" s="51"/>
      <c r="AH58" s="51">
        <f t="shared" si="16"/>
        <v>30</v>
      </c>
      <c r="AI58" s="51" t="s">
        <v>93</v>
      </c>
      <c r="AJ58" s="51">
        <v>3</v>
      </c>
      <c r="AK58" s="53" t="s">
        <v>529</v>
      </c>
      <c r="AL58" s="55">
        <v>46105</v>
      </c>
      <c r="AM58" s="51"/>
      <c r="AN58" s="51"/>
      <c r="AO58" s="45"/>
      <c r="AP58" s="45"/>
      <c r="AQ58" s="45"/>
      <c r="AR58" s="45"/>
      <c r="AS58" s="45"/>
      <c r="AT58" s="45"/>
      <c r="AU58" s="45"/>
      <c r="AV58" s="45"/>
      <c r="AW58" s="45"/>
      <c r="AX58" s="45"/>
    </row>
    <row r="59" spans="1:50" ht="60" hidden="1" customHeight="1" x14ac:dyDescent="0.3">
      <c r="A59" s="52">
        <v>2329</v>
      </c>
      <c r="B59" s="53" t="s">
        <v>656</v>
      </c>
      <c r="C59" s="54">
        <v>101150000</v>
      </c>
      <c r="D59" s="53" t="s">
        <v>657</v>
      </c>
      <c r="E59" s="53" t="s">
        <v>825</v>
      </c>
      <c r="F59" s="53" t="s">
        <v>652</v>
      </c>
      <c r="G59" s="53" t="s">
        <v>527</v>
      </c>
      <c r="H59" s="53"/>
      <c r="I59" s="51" t="s">
        <v>580</v>
      </c>
      <c r="J59" s="51"/>
      <c r="K59" s="51">
        <v>700</v>
      </c>
      <c r="L59" s="51">
        <f t="shared" si="6"/>
        <v>700</v>
      </c>
      <c r="M59" s="51" t="s">
        <v>90</v>
      </c>
      <c r="N59" s="51" t="s">
        <v>91</v>
      </c>
      <c r="O59" s="51"/>
      <c r="P59" s="51" t="s">
        <v>90</v>
      </c>
      <c r="Q59" s="51" t="s">
        <v>111</v>
      </c>
      <c r="R59" s="51"/>
      <c r="S59" s="51"/>
      <c r="T59" s="51"/>
      <c r="U59" s="51"/>
      <c r="V59" s="51">
        <v>20</v>
      </c>
      <c r="W59" s="51"/>
      <c r="X59" s="51">
        <f t="shared" si="7"/>
        <v>20</v>
      </c>
      <c r="Y59" s="51">
        <v>20</v>
      </c>
      <c r="Z59" s="51"/>
      <c r="AA59" s="51"/>
      <c r="AB59" s="51">
        <f t="shared" si="15"/>
        <v>20</v>
      </c>
      <c r="AC59" s="51"/>
      <c r="AD59" s="51">
        <v>20</v>
      </c>
      <c r="AE59" s="51"/>
      <c r="AF59" s="51"/>
      <c r="AG59" s="51"/>
      <c r="AH59" s="51">
        <f t="shared" si="16"/>
        <v>20</v>
      </c>
      <c r="AI59" s="51" t="s">
        <v>93</v>
      </c>
      <c r="AJ59" s="51">
        <v>3</v>
      </c>
      <c r="AK59" s="53" t="s">
        <v>529</v>
      </c>
      <c r="AL59" s="55">
        <v>46105</v>
      </c>
      <c r="AM59" s="51"/>
      <c r="AN59" s="51"/>
      <c r="AO59" s="45"/>
      <c r="AP59" s="45"/>
      <c r="AQ59" s="45"/>
      <c r="AR59" s="45"/>
      <c r="AS59" s="45"/>
      <c r="AT59" s="45"/>
      <c r="AU59" s="45"/>
      <c r="AV59" s="45"/>
      <c r="AW59" s="45"/>
      <c r="AX59" s="45"/>
    </row>
    <row r="60" spans="1:50" ht="60" hidden="1" customHeight="1" x14ac:dyDescent="0.3">
      <c r="A60" s="52">
        <v>2330</v>
      </c>
      <c r="B60" s="53" t="s">
        <v>658</v>
      </c>
      <c r="C60" s="54">
        <v>101300000</v>
      </c>
      <c r="D60" s="59" t="s">
        <v>659</v>
      </c>
      <c r="E60" s="53" t="s">
        <v>826</v>
      </c>
      <c r="F60" s="53" t="s">
        <v>658</v>
      </c>
      <c r="G60" s="53" t="s">
        <v>527</v>
      </c>
      <c r="H60" s="53">
        <v>219</v>
      </c>
      <c r="I60" s="58" t="s">
        <v>576</v>
      </c>
      <c r="J60" s="51"/>
      <c r="K60" s="51">
        <v>606</v>
      </c>
      <c r="L60" s="51">
        <f t="shared" si="6"/>
        <v>606</v>
      </c>
      <c r="M60" s="51" t="s">
        <v>90</v>
      </c>
      <c r="N60" s="51"/>
      <c r="O60" s="51"/>
      <c r="P60" s="51" t="s">
        <v>90</v>
      </c>
      <c r="Q60" s="51"/>
      <c r="R60" s="51"/>
      <c r="S60" s="51"/>
      <c r="T60" s="51"/>
      <c r="U60" s="51"/>
      <c r="V60" s="51">
        <v>19</v>
      </c>
      <c r="W60" s="51"/>
      <c r="X60" s="51">
        <f t="shared" si="7"/>
        <v>19</v>
      </c>
      <c r="Y60" s="51">
        <v>19</v>
      </c>
      <c r="Z60" s="51"/>
      <c r="AA60" s="51"/>
      <c r="AB60" s="51">
        <f t="shared" si="15"/>
        <v>19</v>
      </c>
      <c r="AC60" s="51"/>
      <c r="AD60" s="51">
        <v>19</v>
      </c>
      <c r="AE60" s="51"/>
      <c r="AF60" s="51"/>
      <c r="AG60" s="51"/>
      <c r="AH60" s="51"/>
      <c r="AI60" s="51" t="s">
        <v>93</v>
      </c>
      <c r="AJ60" s="51">
        <v>3</v>
      </c>
      <c r="AK60" s="53" t="s">
        <v>529</v>
      </c>
      <c r="AL60" s="55">
        <v>46107</v>
      </c>
      <c r="AM60" s="51"/>
      <c r="AN60" s="51"/>
      <c r="AO60" s="45"/>
      <c r="AP60" s="45"/>
      <c r="AQ60" s="45"/>
      <c r="AR60" s="45"/>
      <c r="AS60" s="45"/>
      <c r="AT60" s="45"/>
      <c r="AU60" s="45"/>
      <c r="AV60" s="45"/>
      <c r="AW60" s="45"/>
      <c r="AX60" s="45"/>
    </row>
    <row r="61" spans="1:50" ht="60" hidden="1" customHeight="1" x14ac:dyDescent="0.3">
      <c r="A61" s="52">
        <v>2330</v>
      </c>
      <c r="B61" s="53" t="s">
        <v>660</v>
      </c>
      <c r="C61" s="54">
        <v>101301000</v>
      </c>
      <c r="D61" s="53" t="s">
        <v>661</v>
      </c>
      <c r="E61" s="53" t="s">
        <v>827</v>
      </c>
      <c r="F61" s="53" t="s">
        <v>658</v>
      </c>
      <c r="G61" s="53" t="s">
        <v>527</v>
      </c>
      <c r="H61" s="53"/>
      <c r="I61" s="58" t="s">
        <v>543</v>
      </c>
      <c r="J61" s="51"/>
      <c r="K61" s="51">
        <v>312</v>
      </c>
      <c r="L61" s="51">
        <f t="shared" si="6"/>
        <v>312</v>
      </c>
      <c r="M61" s="51" t="s">
        <v>90</v>
      </c>
      <c r="N61" s="51"/>
      <c r="O61" s="51"/>
      <c r="P61" s="51" t="s">
        <v>90</v>
      </c>
      <c r="Q61" s="51"/>
      <c r="R61" s="51"/>
      <c r="S61" s="51"/>
      <c r="T61" s="51"/>
      <c r="U61" s="51"/>
      <c r="V61" s="51">
        <v>10</v>
      </c>
      <c r="W61" s="51"/>
      <c r="X61" s="51">
        <f t="shared" si="7"/>
        <v>10</v>
      </c>
      <c r="Y61" s="51">
        <v>10</v>
      </c>
      <c r="Z61" s="51"/>
      <c r="AA61" s="51"/>
      <c r="AB61" s="51">
        <f t="shared" si="15"/>
        <v>10</v>
      </c>
      <c r="AC61" s="51"/>
      <c r="AD61" s="51">
        <v>10</v>
      </c>
      <c r="AE61" s="51"/>
      <c r="AF61" s="51"/>
      <c r="AG61" s="51"/>
      <c r="AH61" s="51">
        <v>10</v>
      </c>
      <c r="AI61" s="51" t="s">
        <v>93</v>
      </c>
      <c r="AJ61" s="51">
        <v>3</v>
      </c>
      <c r="AK61" s="53" t="s">
        <v>529</v>
      </c>
      <c r="AL61" s="55">
        <v>46107</v>
      </c>
      <c r="AM61" s="51"/>
      <c r="AN61" s="51"/>
      <c r="AO61" s="45"/>
      <c r="AP61" s="45"/>
      <c r="AQ61" s="45"/>
      <c r="AR61" s="45"/>
      <c r="AS61" s="45"/>
      <c r="AT61" s="45"/>
      <c r="AU61" s="45"/>
      <c r="AV61" s="45"/>
      <c r="AW61" s="45"/>
      <c r="AX61" s="45"/>
    </row>
    <row r="62" spans="1:50" ht="60" hidden="1" customHeight="1" x14ac:dyDescent="0.3">
      <c r="A62" s="52">
        <v>2330</v>
      </c>
      <c r="B62" s="53" t="s">
        <v>662</v>
      </c>
      <c r="C62" s="54">
        <v>101156000</v>
      </c>
      <c r="D62" s="53" t="s">
        <v>663</v>
      </c>
      <c r="E62" s="53" t="s">
        <v>828</v>
      </c>
      <c r="F62" s="53" t="s">
        <v>658</v>
      </c>
      <c r="G62" s="53" t="s">
        <v>527</v>
      </c>
      <c r="H62" s="53"/>
      <c r="I62" s="58" t="s">
        <v>644</v>
      </c>
      <c r="J62" s="51"/>
      <c r="K62" s="51">
        <v>502</v>
      </c>
      <c r="L62" s="51">
        <f t="shared" si="6"/>
        <v>502</v>
      </c>
      <c r="M62" s="51" t="s">
        <v>90</v>
      </c>
      <c r="N62" s="51"/>
      <c r="O62" s="51"/>
      <c r="P62" s="51" t="s">
        <v>90</v>
      </c>
      <c r="Q62" s="51"/>
      <c r="R62" s="51"/>
      <c r="S62" s="51"/>
      <c r="T62" s="51"/>
      <c r="U62" s="51"/>
      <c r="V62" s="51">
        <v>15</v>
      </c>
      <c r="W62" s="51"/>
      <c r="X62" s="51">
        <f t="shared" si="7"/>
        <v>15</v>
      </c>
      <c r="Y62" s="51">
        <v>15</v>
      </c>
      <c r="Z62" s="51"/>
      <c r="AA62" s="51"/>
      <c r="AB62" s="51">
        <f t="shared" si="15"/>
        <v>15</v>
      </c>
      <c r="AC62" s="51"/>
      <c r="AD62" s="51">
        <v>15</v>
      </c>
      <c r="AE62" s="51"/>
      <c r="AF62" s="51"/>
      <c r="AG62" s="51"/>
      <c r="AH62" s="51">
        <v>15</v>
      </c>
      <c r="AI62" s="51" t="s">
        <v>93</v>
      </c>
      <c r="AJ62" s="51">
        <v>3</v>
      </c>
      <c r="AK62" s="53" t="s">
        <v>529</v>
      </c>
      <c r="AL62" s="55">
        <v>46107</v>
      </c>
      <c r="AM62" s="51"/>
      <c r="AN62" s="51"/>
      <c r="AO62" s="45"/>
      <c r="AP62" s="45"/>
      <c r="AQ62" s="45"/>
      <c r="AR62" s="45"/>
      <c r="AS62" s="45"/>
      <c r="AT62" s="45"/>
      <c r="AU62" s="45"/>
      <c r="AV62" s="45"/>
      <c r="AW62" s="45"/>
      <c r="AX62" s="45"/>
    </row>
    <row r="63" spans="1:50" ht="60" hidden="1" customHeight="1" x14ac:dyDescent="0.3">
      <c r="A63" s="52">
        <v>2330</v>
      </c>
      <c r="B63" s="53" t="s">
        <v>664</v>
      </c>
      <c r="C63" s="54">
        <v>101302000</v>
      </c>
      <c r="D63" s="53" t="s">
        <v>665</v>
      </c>
      <c r="E63" s="53" t="s">
        <v>829</v>
      </c>
      <c r="F63" s="53" t="s">
        <v>658</v>
      </c>
      <c r="G63" s="53" t="s">
        <v>527</v>
      </c>
      <c r="H63" s="53"/>
      <c r="I63" s="58" t="s">
        <v>543</v>
      </c>
      <c r="J63" s="51"/>
      <c r="K63" s="51">
        <v>517</v>
      </c>
      <c r="L63" s="51">
        <f t="shared" si="6"/>
        <v>517</v>
      </c>
      <c r="M63" s="51"/>
      <c r="N63" s="51" t="s">
        <v>90</v>
      </c>
      <c r="O63" s="51"/>
      <c r="P63" s="51" t="s">
        <v>90</v>
      </c>
      <c r="Q63" s="51"/>
      <c r="R63" s="51"/>
      <c r="S63" s="51"/>
      <c r="T63" s="51"/>
      <c r="U63" s="51"/>
      <c r="V63" s="51">
        <v>10</v>
      </c>
      <c r="W63" s="51"/>
      <c r="X63" s="51">
        <f t="shared" si="7"/>
        <v>10</v>
      </c>
      <c r="Y63" s="51">
        <v>10</v>
      </c>
      <c r="Z63" s="51"/>
      <c r="AA63" s="51"/>
      <c r="AB63" s="51">
        <f t="shared" si="15"/>
        <v>10</v>
      </c>
      <c r="AC63" s="51">
        <v>10</v>
      </c>
      <c r="AD63" s="51"/>
      <c r="AE63" s="51"/>
      <c r="AF63" s="51"/>
      <c r="AG63" s="51"/>
      <c r="AH63" s="51">
        <f t="shared" ref="AH63:AH68" si="17">SUM(AC63:AG63)</f>
        <v>10</v>
      </c>
      <c r="AI63" s="51" t="s">
        <v>93</v>
      </c>
      <c r="AJ63" s="51">
        <v>3</v>
      </c>
      <c r="AK63" s="53" t="s">
        <v>529</v>
      </c>
      <c r="AL63" s="55">
        <v>46107</v>
      </c>
      <c r="AM63" s="51"/>
      <c r="AN63" s="51"/>
      <c r="AO63" s="45"/>
      <c r="AP63" s="45"/>
      <c r="AQ63" s="45"/>
      <c r="AR63" s="45"/>
      <c r="AS63" s="45"/>
      <c r="AT63" s="45"/>
      <c r="AU63" s="45"/>
      <c r="AV63" s="45"/>
      <c r="AW63" s="45"/>
      <c r="AX63" s="45"/>
    </row>
    <row r="64" spans="1:50" ht="60" hidden="1" customHeight="1" x14ac:dyDescent="0.3">
      <c r="A64" s="52">
        <v>2330</v>
      </c>
      <c r="B64" s="53" t="s">
        <v>666</v>
      </c>
      <c r="C64" s="54">
        <v>101157000</v>
      </c>
      <c r="D64" s="53" t="s">
        <v>667</v>
      </c>
      <c r="E64" s="53" t="s">
        <v>830</v>
      </c>
      <c r="F64" s="53" t="s">
        <v>658</v>
      </c>
      <c r="G64" s="53" t="s">
        <v>527</v>
      </c>
      <c r="H64" s="53"/>
      <c r="I64" s="58" t="s">
        <v>543</v>
      </c>
      <c r="J64" s="51"/>
      <c r="K64" s="51">
        <v>585</v>
      </c>
      <c r="L64" s="51">
        <f t="shared" si="6"/>
        <v>585</v>
      </c>
      <c r="M64" s="51"/>
      <c r="N64" s="51" t="s">
        <v>90</v>
      </c>
      <c r="O64" s="51"/>
      <c r="P64" s="51" t="s">
        <v>90</v>
      </c>
      <c r="Q64" s="51"/>
      <c r="R64" s="51"/>
      <c r="S64" s="51"/>
      <c r="T64" s="51"/>
      <c r="U64" s="51"/>
      <c r="V64" s="51">
        <v>10</v>
      </c>
      <c r="W64" s="51"/>
      <c r="X64" s="51">
        <f t="shared" si="7"/>
        <v>10</v>
      </c>
      <c r="Y64" s="51">
        <v>10</v>
      </c>
      <c r="Z64" s="51"/>
      <c r="AA64" s="51"/>
      <c r="AB64" s="51">
        <f t="shared" si="15"/>
        <v>10</v>
      </c>
      <c r="AC64" s="51">
        <v>10</v>
      </c>
      <c r="AD64" s="51"/>
      <c r="AE64" s="51"/>
      <c r="AF64" s="51"/>
      <c r="AG64" s="51"/>
      <c r="AH64" s="51">
        <f t="shared" si="17"/>
        <v>10</v>
      </c>
      <c r="AI64" s="51" t="s">
        <v>93</v>
      </c>
      <c r="AJ64" s="51">
        <v>3</v>
      </c>
      <c r="AK64" s="53" t="s">
        <v>529</v>
      </c>
      <c r="AL64" s="55">
        <v>46107</v>
      </c>
      <c r="AM64" s="51"/>
      <c r="AN64" s="51"/>
      <c r="AO64" s="45"/>
      <c r="AP64" s="45"/>
      <c r="AQ64" s="45"/>
      <c r="AR64" s="45"/>
      <c r="AS64" s="45"/>
      <c r="AT64" s="45"/>
      <c r="AU64" s="45"/>
      <c r="AV64" s="45"/>
      <c r="AW64" s="45"/>
      <c r="AX64" s="45"/>
    </row>
    <row r="65" spans="1:50" ht="60" hidden="1" customHeight="1" x14ac:dyDescent="0.3">
      <c r="A65" s="52">
        <v>2331</v>
      </c>
      <c r="B65" s="53" t="s">
        <v>668</v>
      </c>
      <c r="C65" s="54">
        <v>101290000</v>
      </c>
      <c r="D65" s="53" t="s">
        <v>669</v>
      </c>
      <c r="E65" s="53" t="s">
        <v>831</v>
      </c>
      <c r="F65" s="53" t="s">
        <v>670</v>
      </c>
      <c r="G65" s="53" t="s">
        <v>527</v>
      </c>
      <c r="H65" s="53">
        <v>66</v>
      </c>
      <c r="I65" s="58" t="s">
        <v>606</v>
      </c>
      <c r="J65" s="51"/>
      <c r="K65" s="51">
        <v>525</v>
      </c>
      <c r="L65" s="51">
        <f t="shared" si="6"/>
        <v>525</v>
      </c>
      <c r="M65" s="51"/>
      <c r="N65" s="51" t="s">
        <v>90</v>
      </c>
      <c r="O65" s="51"/>
      <c r="P65" s="51" t="s">
        <v>90</v>
      </c>
      <c r="Q65" s="51"/>
      <c r="R65" s="51"/>
      <c r="S65" s="51"/>
      <c r="T65" s="51"/>
      <c r="U65" s="51">
        <v>13</v>
      </c>
      <c r="V65" s="51">
        <v>4</v>
      </c>
      <c r="W65" s="51"/>
      <c r="X65" s="51">
        <f t="shared" si="7"/>
        <v>17</v>
      </c>
      <c r="Y65" s="51">
        <v>17</v>
      </c>
      <c r="Z65" s="51"/>
      <c r="AA65" s="51"/>
      <c r="AB65" s="51">
        <f t="shared" si="15"/>
        <v>17</v>
      </c>
      <c r="AC65" s="51">
        <v>17</v>
      </c>
      <c r="AD65" s="51"/>
      <c r="AE65" s="51"/>
      <c r="AF65" s="51"/>
      <c r="AG65" s="51"/>
      <c r="AH65" s="51">
        <f t="shared" si="17"/>
        <v>17</v>
      </c>
      <c r="AI65" s="51" t="s">
        <v>93</v>
      </c>
      <c r="AJ65" s="51">
        <v>3</v>
      </c>
      <c r="AK65" s="53" t="s">
        <v>529</v>
      </c>
      <c r="AL65" s="55">
        <v>46106</v>
      </c>
      <c r="AM65" s="51"/>
      <c r="AN65" s="51"/>
      <c r="AO65" s="45"/>
      <c r="AP65" s="45"/>
      <c r="AQ65" s="45"/>
      <c r="AR65" s="45"/>
      <c r="AS65" s="45"/>
      <c r="AT65" s="45"/>
      <c r="AU65" s="45"/>
      <c r="AV65" s="45"/>
      <c r="AW65" s="45"/>
      <c r="AX65" s="45"/>
    </row>
    <row r="66" spans="1:50" ht="60" hidden="1" customHeight="1" x14ac:dyDescent="0.3">
      <c r="A66" s="52">
        <v>2331</v>
      </c>
      <c r="B66" s="53" t="s">
        <v>671</v>
      </c>
      <c r="C66" s="54">
        <v>101291000</v>
      </c>
      <c r="D66" s="53" t="s">
        <v>672</v>
      </c>
      <c r="E66" s="53" t="s">
        <v>832</v>
      </c>
      <c r="F66" s="53" t="s">
        <v>670</v>
      </c>
      <c r="G66" s="53" t="s">
        <v>527</v>
      </c>
      <c r="H66" s="53"/>
      <c r="I66" s="58" t="s">
        <v>560</v>
      </c>
      <c r="J66" s="51"/>
      <c r="K66" s="51">
        <v>278</v>
      </c>
      <c r="L66" s="51">
        <f t="shared" si="6"/>
        <v>278</v>
      </c>
      <c r="M66" s="51"/>
      <c r="N66" s="51"/>
      <c r="O66" s="51"/>
      <c r="P66" s="51"/>
      <c r="Q66" s="51"/>
      <c r="R66" s="51"/>
      <c r="S66" s="51"/>
      <c r="T66" s="51"/>
      <c r="U66" s="51">
        <v>9</v>
      </c>
      <c r="V66" s="51"/>
      <c r="W66" s="51"/>
      <c r="X66" s="51">
        <f t="shared" si="7"/>
        <v>9</v>
      </c>
      <c r="Y66" s="51">
        <v>9</v>
      </c>
      <c r="Z66" s="51"/>
      <c r="AA66" s="51"/>
      <c r="AB66" s="51">
        <f t="shared" si="15"/>
        <v>9</v>
      </c>
      <c r="AC66" s="51">
        <v>9</v>
      </c>
      <c r="AD66" s="51"/>
      <c r="AE66" s="51"/>
      <c r="AF66" s="51"/>
      <c r="AG66" s="51"/>
      <c r="AH66" s="51">
        <f t="shared" si="17"/>
        <v>9</v>
      </c>
      <c r="AI66" s="51"/>
      <c r="AJ66" s="51"/>
      <c r="AK66" s="53" t="s">
        <v>529</v>
      </c>
      <c r="AL66" s="55">
        <v>46106</v>
      </c>
      <c r="AM66" s="51"/>
      <c r="AN66" s="51"/>
      <c r="AO66" s="45"/>
      <c r="AP66" s="45"/>
      <c r="AQ66" s="45"/>
      <c r="AR66" s="45"/>
      <c r="AS66" s="45"/>
      <c r="AT66" s="45"/>
      <c r="AU66" s="45"/>
      <c r="AV66" s="45"/>
      <c r="AW66" s="45"/>
      <c r="AX66" s="45"/>
    </row>
    <row r="67" spans="1:50" ht="60" hidden="1" customHeight="1" x14ac:dyDescent="0.3">
      <c r="A67" s="52">
        <v>2331</v>
      </c>
      <c r="B67" s="53" t="s">
        <v>673</v>
      </c>
      <c r="C67" s="54">
        <v>101293000</v>
      </c>
      <c r="D67" s="53" t="s">
        <v>674</v>
      </c>
      <c r="E67" s="53" t="s">
        <v>833</v>
      </c>
      <c r="F67" s="53" t="s">
        <v>670</v>
      </c>
      <c r="G67" s="53" t="s">
        <v>527</v>
      </c>
      <c r="H67" s="53">
        <v>27</v>
      </c>
      <c r="I67" s="58" t="s">
        <v>644</v>
      </c>
      <c r="J67" s="51"/>
      <c r="K67" s="51">
        <v>456</v>
      </c>
      <c r="L67" s="51">
        <f t="shared" si="6"/>
        <v>456</v>
      </c>
      <c r="M67" s="51"/>
      <c r="N67" s="51"/>
      <c r="O67" s="51"/>
      <c r="P67" s="51"/>
      <c r="Q67" s="51"/>
      <c r="R67" s="51"/>
      <c r="S67" s="51"/>
      <c r="T67" s="51"/>
      <c r="U67" s="51">
        <v>15</v>
      </c>
      <c r="V67" s="51"/>
      <c r="W67" s="51"/>
      <c r="X67" s="51">
        <f t="shared" si="7"/>
        <v>15</v>
      </c>
      <c r="Y67" s="51">
        <v>15</v>
      </c>
      <c r="Z67" s="51"/>
      <c r="AA67" s="51"/>
      <c r="AB67" s="51">
        <f t="shared" si="15"/>
        <v>15</v>
      </c>
      <c r="AC67" s="51">
        <v>15</v>
      </c>
      <c r="AD67" s="51"/>
      <c r="AE67" s="51"/>
      <c r="AF67" s="51"/>
      <c r="AG67" s="51"/>
      <c r="AH67" s="51">
        <f t="shared" si="17"/>
        <v>15</v>
      </c>
      <c r="AI67" s="51"/>
      <c r="AJ67" s="51"/>
      <c r="AK67" s="53" t="s">
        <v>529</v>
      </c>
      <c r="AL67" s="55">
        <v>46106</v>
      </c>
      <c r="AM67" s="51"/>
      <c r="AN67" s="51"/>
      <c r="AO67" s="45"/>
      <c r="AP67" s="45"/>
      <c r="AQ67" s="45"/>
      <c r="AR67" s="45"/>
      <c r="AS67" s="45"/>
      <c r="AT67" s="45"/>
      <c r="AU67" s="45"/>
      <c r="AV67" s="45"/>
      <c r="AW67" s="45"/>
      <c r="AX67" s="45"/>
    </row>
    <row r="68" spans="1:50" ht="60" hidden="1" customHeight="1" x14ac:dyDescent="0.3">
      <c r="A68" s="52">
        <v>2331</v>
      </c>
      <c r="B68" s="53" t="s">
        <v>673</v>
      </c>
      <c r="C68" s="54">
        <v>101292000</v>
      </c>
      <c r="D68" s="53" t="s">
        <v>675</v>
      </c>
      <c r="E68" s="53" t="s">
        <v>834</v>
      </c>
      <c r="F68" s="53" t="s">
        <v>670</v>
      </c>
      <c r="G68" s="53" t="s">
        <v>527</v>
      </c>
      <c r="H68" s="53">
        <v>29</v>
      </c>
      <c r="I68" s="58" t="s">
        <v>644</v>
      </c>
      <c r="J68" s="51"/>
      <c r="K68" s="51">
        <v>502</v>
      </c>
      <c r="L68" s="51">
        <f t="shared" si="6"/>
        <v>502</v>
      </c>
      <c r="M68" s="51"/>
      <c r="N68" s="51" t="s">
        <v>90</v>
      </c>
      <c r="O68" s="51"/>
      <c r="P68" s="51" t="s">
        <v>90</v>
      </c>
      <c r="Q68" s="51"/>
      <c r="R68" s="51"/>
      <c r="S68" s="51"/>
      <c r="T68" s="51"/>
      <c r="U68" s="51">
        <v>15</v>
      </c>
      <c r="V68" s="51"/>
      <c r="W68" s="51"/>
      <c r="X68" s="51">
        <f t="shared" si="7"/>
        <v>15</v>
      </c>
      <c r="Y68" s="51">
        <v>15</v>
      </c>
      <c r="Z68" s="51"/>
      <c r="AA68" s="51"/>
      <c r="AB68" s="51">
        <f t="shared" si="15"/>
        <v>15</v>
      </c>
      <c r="AC68" s="51">
        <v>15</v>
      </c>
      <c r="AD68" s="51"/>
      <c r="AE68" s="51"/>
      <c r="AF68" s="51"/>
      <c r="AG68" s="51"/>
      <c r="AH68" s="51">
        <f t="shared" si="17"/>
        <v>15</v>
      </c>
      <c r="AI68" s="51" t="s">
        <v>92</v>
      </c>
      <c r="AJ68" s="51">
        <v>3</v>
      </c>
      <c r="AK68" s="53" t="s">
        <v>529</v>
      </c>
      <c r="AL68" s="55">
        <v>46106</v>
      </c>
      <c r="AM68" s="51"/>
      <c r="AN68" s="51"/>
      <c r="AO68" s="45"/>
      <c r="AP68" s="45"/>
      <c r="AQ68" s="45"/>
      <c r="AR68" s="45"/>
      <c r="AS68" s="45"/>
      <c r="AT68" s="45"/>
      <c r="AU68" s="45"/>
      <c r="AV68" s="45"/>
      <c r="AW68" s="45"/>
      <c r="AX68" s="45"/>
    </row>
    <row r="69" spans="1:50" ht="60" hidden="1" customHeight="1" x14ac:dyDescent="0.3">
      <c r="A69" s="52">
        <v>2332</v>
      </c>
      <c r="B69" s="53"/>
      <c r="C69" s="51"/>
      <c r="D69" s="53"/>
      <c r="E69" s="53"/>
      <c r="F69" s="53" t="s">
        <v>676</v>
      </c>
      <c r="G69" s="53" t="s">
        <v>527</v>
      </c>
      <c r="H69" s="53"/>
      <c r="I69" s="58" t="s">
        <v>584</v>
      </c>
      <c r="J69" s="51"/>
      <c r="K69" s="51">
        <v>539</v>
      </c>
      <c r="L69" s="51">
        <v>539</v>
      </c>
      <c r="M69" s="51"/>
      <c r="N69" s="51"/>
      <c r="O69" s="51"/>
      <c r="P69" s="51"/>
      <c r="Q69" s="51"/>
      <c r="R69" s="51"/>
      <c r="S69" s="51"/>
      <c r="T69" s="51"/>
      <c r="U69" s="51"/>
      <c r="V69" s="51">
        <v>13</v>
      </c>
      <c r="W69" s="51"/>
      <c r="X69" s="51">
        <v>13</v>
      </c>
      <c r="Y69" s="51">
        <v>13</v>
      </c>
      <c r="Z69" s="51"/>
      <c r="AA69" s="51"/>
      <c r="AB69" s="51">
        <f t="shared" si="15"/>
        <v>13</v>
      </c>
      <c r="AC69" s="51">
        <v>13</v>
      </c>
      <c r="AD69" s="51"/>
      <c r="AE69" s="51"/>
      <c r="AF69" s="51"/>
      <c r="AG69" s="51"/>
      <c r="AH69" s="51">
        <v>13</v>
      </c>
      <c r="AI69" s="51"/>
      <c r="AJ69" s="51"/>
      <c r="AK69" s="53" t="s">
        <v>529</v>
      </c>
      <c r="AL69" s="55">
        <v>46106</v>
      </c>
      <c r="AM69" s="51"/>
      <c r="AN69" s="51"/>
      <c r="AO69" s="45"/>
      <c r="AP69" s="45"/>
      <c r="AQ69" s="45"/>
      <c r="AR69" s="45"/>
      <c r="AS69" s="45"/>
      <c r="AT69" s="45"/>
      <c r="AU69" s="45"/>
      <c r="AV69" s="45"/>
      <c r="AW69" s="45"/>
      <c r="AX69" s="45"/>
    </row>
    <row r="70" spans="1:50" ht="60" hidden="1" customHeight="1" x14ac:dyDescent="0.3">
      <c r="A70" s="52">
        <v>2333</v>
      </c>
      <c r="B70" s="53" t="s">
        <v>677</v>
      </c>
      <c r="C70" s="54">
        <v>101144000</v>
      </c>
      <c r="D70" s="53" t="s">
        <v>678</v>
      </c>
      <c r="E70" s="53" t="s">
        <v>835</v>
      </c>
      <c r="F70" s="53" t="s">
        <v>679</v>
      </c>
      <c r="G70" s="53" t="s">
        <v>527</v>
      </c>
      <c r="H70" s="53"/>
      <c r="I70" s="51" t="s">
        <v>680</v>
      </c>
      <c r="J70" s="51"/>
      <c r="K70" s="51">
        <v>1150</v>
      </c>
      <c r="L70" s="51">
        <f t="shared" ref="L70:L116" si="18">SUM(J70:K70)</f>
        <v>1150</v>
      </c>
      <c r="M70" s="51" t="s">
        <v>91</v>
      </c>
      <c r="N70" s="51" t="s">
        <v>90</v>
      </c>
      <c r="O70" s="51"/>
      <c r="P70" s="51" t="s">
        <v>90</v>
      </c>
      <c r="Q70" s="51" t="s">
        <v>111</v>
      </c>
      <c r="R70" s="51"/>
      <c r="S70" s="51"/>
      <c r="T70" s="51"/>
      <c r="U70" s="51"/>
      <c r="V70" s="51">
        <v>28</v>
      </c>
      <c r="W70" s="51"/>
      <c r="X70" s="51">
        <f t="shared" ref="X70:X116" si="19">SUM(R70:W70)</f>
        <v>28</v>
      </c>
      <c r="Y70" s="51">
        <v>28</v>
      </c>
      <c r="Z70" s="51"/>
      <c r="AA70" s="51"/>
      <c r="AB70" s="51">
        <f t="shared" si="15"/>
        <v>28</v>
      </c>
      <c r="AC70" s="51"/>
      <c r="AD70" s="51">
        <v>28</v>
      </c>
      <c r="AE70" s="51"/>
      <c r="AF70" s="51"/>
      <c r="AG70" s="51"/>
      <c r="AH70" s="51">
        <f t="shared" ref="AH70:AH91" si="20">SUM(AC70:AG70)</f>
        <v>28</v>
      </c>
      <c r="AI70" s="51" t="s">
        <v>93</v>
      </c>
      <c r="AJ70" s="51">
        <v>3</v>
      </c>
      <c r="AK70" s="53" t="s">
        <v>529</v>
      </c>
      <c r="AL70" s="55">
        <v>46105</v>
      </c>
      <c r="AM70" s="51"/>
      <c r="AN70" s="51"/>
      <c r="AO70" s="45"/>
      <c r="AP70" s="45"/>
      <c r="AQ70" s="45"/>
      <c r="AR70" s="45"/>
      <c r="AS70" s="45"/>
      <c r="AT70" s="45"/>
      <c r="AU70" s="45"/>
      <c r="AV70" s="45"/>
      <c r="AW70" s="45"/>
      <c r="AX70" s="45"/>
    </row>
    <row r="71" spans="1:50" ht="60" hidden="1" customHeight="1" x14ac:dyDescent="0.3">
      <c r="A71" s="52">
        <v>2333</v>
      </c>
      <c r="B71" s="53" t="s">
        <v>681</v>
      </c>
      <c r="C71" s="54">
        <v>101298000</v>
      </c>
      <c r="D71" s="53" t="s">
        <v>682</v>
      </c>
      <c r="E71" s="53" t="s">
        <v>836</v>
      </c>
      <c r="F71" s="53" t="s">
        <v>679</v>
      </c>
      <c r="G71" s="53" t="s">
        <v>527</v>
      </c>
      <c r="H71" s="53"/>
      <c r="I71" s="58" t="s">
        <v>606</v>
      </c>
      <c r="J71" s="51"/>
      <c r="K71" s="51">
        <v>597</v>
      </c>
      <c r="L71" s="51">
        <f t="shared" si="18"/>
        <v>597</v>
      </c>
      <c r="M71" s="51" t="s">
        <v>90</v>
      </c>
      <c r="N71" s="51"/>
      <c r="O71" s="51"/>
      <c r="P71" s="51" t="s">
        <v>90</v>
      </c>
      <c r="Q71" s="51"/>
      <c r="R71" s="51"/>
      <c r="S71" s="51"/>
      <c r="T71" s="51"/>
      <c r="U71" s="51"/>
      <c r="V71" s="51">
        <v>17</v>
      </c>
      <c r="W71" s="51"/>
      <c r="X71" s="51">
        <f t="shared" si="19"/>
        <v>17</v>
      </c>
      <c r="Y71" s="51">
        <v>17</v>
      </c>
      <c r="Z71" s="51"/>
      <c r="AA71" s="51"/>
      <c r="AB71" s="51">
        <f t="shared" si="15"/>
        <v>17</v>
      </c>
      <c r="AC71" s="51">
        <v>28</v>
      </c>
      <c r="AD71" s="51"/>
      <c r="AE71" s="51"/>
      <c r="AF71" s="51"/>
      <c r="AG71" s="51"/>
      <c r="AH71" s="51">
        <f t="shared" si="20"/>
        <v>28</v>
      </c>
      <c r="AI71" s="51" t="s">
        <v>93</v>
      </c>
      <c r="AJ71" s="51">
        <v>3</v>
      </c>
      <c r="AK71" s="53" t="s">
        <v>529</v>
      </c>
      <c r="AL71" s="55">
        <v>46107</v>
      </c>
      <c r="AM71" s="51"/>
      <c r="AN71" s="51"/>
      <c r="AO71" s="45"/>
      <c r="AP71" s="45"/>
      <c r="AQ71" s="45"/>
      <c r="AR71" s="45"/>
      <c r="AS71" s="45"/>
      <c r="AT71" s="45"/>
      <c r="AU71" s="45"/>
      <c r="AV71" s="45"/>
      <c r="AW71" s="45"/>
      <c r="AX71" s="45"/>
    </row>
    <row r="72" spans="1:50" ht="60" hidden="1" customHeight="1" x14ac:dyDescent="0.3">
      <c r="A72" s="52">
        <v>2334</v>
      </c>
      <c r="B72" s="53"/>
      <c r="C72" s="51"/>
      <c r="D72" s="53"/>
      <c r="E72" s="53"/>
      <c r="F72" s="53" t="s">
        <v>683</v>
      </c>
      <c r="G72" s="53" t="s">
        <v>527</v>
      </c>
      <c r="H72" s="53"/>
      <c r="I72" s="51" t="s">
        <v>684</v>
      </c>
      <c r="J72" s="51"/>
      <c r="K72" s="51">
        <v>1914</v>
      </c>
      <c r="L72" s="51">
        <f t="shared" si="18"/>
        <v>1914</v>
      </c>
      <c r="M72" s="51"/>
      <c r="N72" s="51"/>
      <c r="O72" s="51"/>
      <c r="P72" s="51"/>
      <c r="Q72" s="51" t="s">
        <v>111</v>
      </c>
      <c r="R72" s="51"/>
      <c r="S72" s="51"/>
      <c r="T72" s="51"/>
      <c r="U72" s="51"/>
      <c r="V72" s="51">
        <v>48</v>
      </c>
      <c r="W72" s="51"/>
      <c r="X72" s="51">
        <f t="shared" si="19"/>
        <v>48</v>
      </c>
      <c r="Y72" s="51">
        <v>48</v>
      </c>
      <c r="Z72" s="51"/>
      <c r="AA72" s="51"/>
      <c r="AB72" s="51">
        <f t="shared" si="15"/>
        <v>48</v>
      </c>
      <c r="AC72" s="51"/>
      <c r="AD72" s="51">
        <v>48</v>
      </c>
      <c r="AE72" s="51"/>
      <c r="AF72" s="51"/>
      <c r="AG72" s="51"/>
      <c r="AH72" s="51">
        <f t="shared" si="20"/>
        <v>48</v>
      </c>
      <c r="AI72" s="51" t="s">
        <v>185</v>
      </c>
      <c r="AJ72" s="51">
        <v>2</v>
      </c>
      <c r="AK72" s="53" t="s">
        <v>529</v>
      </c>
      <c r="AL72" s="55">
        <v>46105</v>
      </c>
      <c r="AM72" s="53" t="s">
        <v>685</v>
      </c>
      <c r="AN72" s="51"/>
      <c r="AO72" s="45"/>
      <c r="AP72" s="45"/>
      <c r="AQ72" s="45"/>
      <c r="AR72" s="45"/>
      <c r="AS72" s="45"/>
      <c r="AT72" s="45"/>
      <c r="AU72" s="45"/>
      <c r="AV72" s="45"/>
      <c r="AW72" s="45"/>
      <c r="AX72" s="45"/>
    </row>
    <row r="73" spans="1:50" ht="60" hidden="1" customHeight="1" x14ac:dyDescent="0.3">
      <c r="A73" s="52">
        <v>2335</v>
      </c>
      <c r="B73" s="53" t="s">
        <v>686</v>
      </c>
      <c r="C73" s="54">
        <v>101210000</v>
      </c>
      <c r="D73" s="53" t="s">
        <v>687</v>
      </c>
      <c r="E73" s="53" t="s">
        <v>837</v>
      </c>
      <c r="F73" s="53" t="s">
        <v>686</v>
      </c>
      <c r="G73" s="53" t="s">
        <v>527</v>
      </c>
      <c r="H73" s="53" t="s">
        <v>688</v>
      </c>
      <c r="I73" s="56">
        <v>46204</v>
      </c>
      <c r="J73" s="51"/>
      <c r="K73" s="51">
        <v>180</v>
      </c>
      <c r="L73" s="51">
        <f t="shared" si="18"/>
        <v>180</v>
      </c>
      <c r="M73" s="51" t="s">
        <v>90</v>
      </c>
      <c r="N73" s="51"/>
      <c r="O73" s="51"/>
      <c r="P73" s="51" t="s">
        <v>90</v>
      </c>
      <c r="Q73" s="51" t="s">
        <v>111</v>
      </c>
      <c r="R73" s="51"/>
      <c r="S73" s="51"/>
      <c r="T73" s="51"/>
      <c r="U73" s="51"/>
      <c r="V73" s="51">
        <v>7</v>
      </c>
      <c r="W73" s="51"/>
      <c r="X73" s="51">
        <f t="shared" si="19"/>
        <v>7</v>
      </c>
      <c r="Y73" s="51">
        <v>7</v>
      </c>
      <c r="Z73" s="51"/>
      <c r="AA73" s="51"/>
      <c r="AB73" s="51">
        <f t="shared" si="15"/>
        <v>7</v>
      </c>
      <c r="AC73" s="51"/>
      <c r="AD73" s="51">
        <v>7</v>
      </c>
      <c r="AE73" s="51"/>
      <c r="AF73" s="51"/>
      <c r="AG73" s="51"/>
      <c r="AH73" s="51">
        <f t="shared" si="20"/>
        <v>7</v>
      </c>
      <c r="AI73" s="51" t="s">
        <v>185</v>
      </c>
      <c r="AJ73" s="51">
        <v>4</v>
      </c>
      <c r="AK73" s="53" t="s">
        <v>529</v>
      </c>
      <c r="AL73" s="55">
        <v>46105</v>
      </c>
      <c r="AM73" s="51"/>
      <c r="AN73" s="51"/>
      <c r="AO73" s="45"/>
      <c r="AP73" s="45"/>
      <c r="AQ73" s="45"/>
      <c r="AR73" s="45"/>
      <c r="AS73" s="45"/>
      <c r="AT73" s="45"/>
      <c r="AU73" s="45"/>
      <c r="AV73" s="45"/>
      <c r="AW73" s="45"/>
      <c r="AX73" s="45"/>
    </row>
    <row r="74" spans="1:50" ht="60" hidden="1" customHeight="1" x14ac:dyDescent="0.3">
      <c r="A74" s="52">
        <v>2336</v>
      </c>
      <c r="B74" s="53" t="s">
        <v>689</v>
      </c>
      <c r="C74" s="54">
        <v>101207000</v>
      </c>
      <c r="D74" s="53" t="s">
        <v>690</v>
      </c>
      <c r="E74" s="53" t="s">
        <v>838</v>
      </c>
      <c r="F74" s="53" t="s">
        <v>689</v>
      </c>
      <c r="G74" s="53" t="s">
        <v>527</v>
      </c>
      <c r="H74" s="53" t="s">
        <v>691</v>
      </c>
      <c r="I74" s="56">
        <v>46174</v>
      </c>
      <c r="J74" s="51"/>
      <c r="K74" s="51">
        <v>198</v>
      </c>
      <c r="L74" s="51">
        <f t="shared" si="18"/>
        <v>198</v>
      </c>
      <c r="M74" s="51" t="s">
        <v>90</v>
      </c>
      <c r="N74" s="51"/>
      <c r="O74" s="51"/>
      <c r="P74" s="51" t="s">
        <v>90</v>
      </c>
      <c r="Q74" s="51" t="s">
        <v>111</v>
      </c>
      <c r="R74" s="51"/>
      <c r="S74" s="51"/>
      <c r="T74" s="51"/>
      <c r="U74" s="51"/>
      <c r="V74" s="51">
        <v>6</v>
      </c>
      <c r="W74" s="51"/>
      <c r="X74" s="51">
        <f t="shared" si="19"/>
        <v>6</v>
      </c>
      <c r="Y74" s="51">
        <v>6</v>
      </c>
      <c r="Z74" s="51"/>
      <c r="AA74" s="51"/>
      <c r="AB74" s="51">
        <f t="shared" si="15"/>
        <v>6</v>
      </c>
      <c r="AC74" s="51"/>
      <c r="AD74" s="51">
        <v>6</v>
      </c>
      <c r="AE74" s="51"/>
      <c r="AF74" s="51"/>
      <c r="AG74" s="51"/>
      <c r="AH74" s="51">
        <f t="shared" si="20"/>
        <v>6</v>
      </c>
      <c r="AI74" s="51" t="s">
        <v>185</v>
      </c>
      <c r="AJ74" s="51">
        <v>4</v>
      </c>
      <c r="AK74" s="53" t="s">
        <v>529</v>
      </c>
      <c r="AL74" s="55">
        <v>46105</v>
      </c>
      <c r="AM74" s="51"/>
      <c r="AN74" s="51"/>
      <c r="AO74" s="45"/>
      <c r="AP74" s="45"/>
      <c r="AQ74" s="45"/>
      <c r="AR74" s="45"/>
      <c r="AS74" s="45"/>
      <c r="AT74" s="45"/>
      <c r="AU74" s="45"/>
      <c r="AV74" s="45"/>
      <c r="AW74" s="45"/>
      <c r="AX74" s="45"/>
    </row>
    <row r="75" spans="1:50" ht="60" hidden="1" customHeight="1" x14ac:dyDescent="0.3">
      <c r="A75" s="52">
        <v>2337</v>
      </c>
      <c r="B75" s="53" t="s">
        <v>692</v>
      </c>
      <c r="C75" s="54">
        <v>101204000</v>
      </c>
      <c r="D75" s="53" t="s">
        <v>687</v>
      </c>
      <c r="E75" s="53" t="s">
        <v>839</v>
      </c>
      <c r="F75" s="53" t="s">
        <v>692</v>
      </c>
      <c r="G75" s="53" t="s">
        <v>527</v>
      </c>
      <c r="H75" s="53" t="s">
        <v>693</v>
      </c>
      <c r="I75" s="56" t="str">
        <f>1&amp;"-"&amp;X75</f>
        <v>1-20</v>
      </c>
      <c r="J75" s="51">
        <v>674</v>
      </c>
      <c r="K75" s="51"/>
      <c r="L75" s="51">
        <f t="shared" si="18"/>
        <v>674</v>
      </c>
      <c r="M75" s="51" t="s">
        <v>91</v>
      </c>
      <c r="N75" s="51" t="s">
        <v>90</v>
      </c>
      <c r="O75" s="51"/>
      <c r="P75" s="51" t="s">
        <v>90</v>
      </c>
      <c r="Q75" s="51" t="s">
        <v>111</v>
      </c>
      <c r="R75" s="51"/>
      <c r="S75" s="51"/>
      <c r="T75" s="51"/>
      <c r="U75" s="51"/>
      <c r="V75" s="51">
        <v>20</v>
      </c>
      <c r="W75" s="51"/>
      <c r="X75" s="51">
        <f t="shared" si="19"/>
        <v>20</v>
      </c>
      <c r="Y75" s="51"/>
      <c r="Z75" s="51">
        <v>19</v>
      </c>
      <c r="AA75" s="51"/>
      <c r="AB75" s="51">
        <f t="shared" si="15"/>
        <v>19</v>
      </c>
      <c r="AC75" s="51"/>
      <c r="AD75" s="51">
        <v>18</v>
      </c>
      <c r="AE75" s="51">
        <v>1</v>
      </c>
      <c r="AF75" s="51"/>
      <c r="AG75" s="51"/>
      <c r="AH75" s="51">
        <f t="shared" si="20"/>
        <v>19</v>
      </c>
      <c r="AI75" s="51"/>
      <c r="AJ75" s="51"/>
      <c r="AK75" s="53" t="s">
        <v>529</v>
      </c>
      <c r="AL75" s="55">
        <v>46105</v>
      </c>
      <c r="AM75" s="51" t="s">
        <v>694</v>
      </c>
      <c r="AN75" s="51"/>
      <c r="AO75" s="45"/>
      <c r="AP75" s="45"/>
      <c r="AQ75" s="45"/>
      <c r="AR75" s="45"/>
      <c r="AS75" s="45"/>
      <c r="AT75" s="45"/>
      <c r="AU75" s="45"/>
      <c r="AV75" s="45"/>
      <c r="AW75" s="45"/>
      <c r="AX75" s="45"/>
    </row>
    <row r="76" spans="1:50" ht="60" hidden="1" customHeight="1" x14ac:dyDescent="0.3">
      <c r="A76" s="52">
        <v>2338</v>
      </c>
      <c r="B76" s="53" t="s">
        <v>695</v>
      </c>
      <c r="C76" s="54">
        <v>101206000</v>
      </c>
      <c r="D76" s="53" t="s">
        <v>696</v>
      </c>
      <c r="E76" s="53" t="s">
        <v>840</v>
      </c>
      <c r="F76" s="53" t="s">
        <v>695</v>
      </c>
      <c r="G76" s="53" t="s">
        <v>527</v>
      </c>
      <c r="H76" s="53" t="s">
        <v>697</v>
      </c>
      <c r="I76" s="56">
        <v>46143</v>
      </c>
      <c r="J76" s="51"/>
      <c r="K76" s="51">
        <v>180</v>
      </c>
      <c r="L76" s="51">
        <f t="shared" si="18"/>
        <v>180</v>
      </c>
      <c r="M76" s="51" t="s">
        <v>91</v>
      </c>
      <c r="N76" s="51" t="s">
        <v>90</v>
      </c>
      <c r="O76" s="51"/>
      <c r="P76" s="51" t="s">
        <v>90</v>
      </c>
      <c r="Q76" s="51" t="s">
        <v>111</v>
      </c>
      <c r="R76" s="51"/>
      <c r="S76" s="51"/>
      <c r="T76" s="51"/>
      <c r="U76" s="51"/>
      <c r="V76" s="51">
        <v>5</v>
      </c>
      <c r="W76" s="51"/>
      <c r="X76" s="51">
        <f t="shared" si="19"/>
        <v>5</v>
      </c>
      <c r="Y76" s="51">
        <v>5</v>
      </c>
      <c r="Z76" s="51"/>
      <c r="AA76" s="51"/>
      <c r="AB76" s="51">
        <f t="shared" si="15"/>
        <v>5</v>
      </c>
      <c r="AC76" s="51"/>
      <c r="AD76" s="51">
        <v>5</v>
      </c>
      <c r="AE76" s="51"/>
      <c r="AF76" s="51"/>
      <c r="AG76" s="51"/>
      <c r="AH76" s="51">
        <f t="shared" si="20"/>
        <v>5</v>
      </c>
      <c r="AI76" s="51" t="s">
        <v>185</v>
      </c>
      <c r="AJ76" s="51">
        <v>4</v>
      </c>
      <c r="AK76" s="53" t="s">
        <v>529</v>
      </c>
      <c r="AL76" s="55">
        <v>46105</v>
      </c>
      <c r="AM76" s="51"/>
      <c r="AN76" s="51"/>
      <c r="AO76" s="45"/>
      <c r="AP76" s="45"/>
      <c r="AQ76" s="45"/>
      <c r="AR76" s="45"/>
      <c r="AS76" s="45"/>
      <c r="AT76" s="45"/>
      <c r="AU76" s="45"/>
      <c r="AV76" s="45"/>
      <c r="AW76" s="45"/>
      <c r="AX76" s="45"/>
    </row>
    <row r="77" spans="1:50" ht="60" hidden="1" customHeight="1" x14ac:dyDescent="0.3">
      <c r="A77" s="52">
        <v>2339</v>
      </c>
      <c r="B77" s="53" t="s">
        <v>698</v>
      </c>
      <c r="C77" s="54">
        <v>101205000</v>
      </c>
      <c r="D77" s="53" t="s">
        <v>690</v>
      </c>
      <c r="E77" s="53" t="s">
        <v>841</v>
      </c>
      <c r="F77" s="53" t="s">
        <v>698</v>
      </c>
      <c r="G77" s="53" t="s">
        <v>527</v>
      </c>
      <c r="H77" s="53" t="s">
        <v>699</v>
      </c>
      <c r="I77" s="56">
        <v>46296</v>
      </c>
      <c r="J77" s="51"/>
      <c r="K77" s="51">
        <v>328</v>
      </c>
      <c r="L77" s="51">
        <f t="shared" si="18"/>
        <v>328</v>
      </c>
      <c r="M77" s="51" t="s">
        <v>91</v>
      </c>
      <c r="N77" s="51" t="s">
        <v>90</v>
      </c>
      <c r="O77" s="51"/>
      <c r="P77" s="51" t="s">
        <v>90</v>
      </c>
      <c r="Q77" s="51" t="s">
        <v>111</v>
      </c>
      <c r="R77" s="51"/>
      <c r="S77" s="51"/>
      <c r="T77" s="51"/>
      <c r="U77" s="51"/>
      <c r="V77" s="51">
        <v>10</v>
      </c>
      <c r="W77" s="51"/>
      <c r="X77" s="51">
        <f t="shared" si="19"/>
        <v>10</v>
      </c>
      <c r="Y77" s="51">
        <v>10</v>
      </c>
      <c r="Z77" s="51"/>
      <c r="AA77" s="51"/>
      <c r="AB77" s="51">
        <f t="shared" si="15"/>
        <v>10</v>
      </c>
      <c r="AC77" s="51"/>
      <c r="AD77" s="51">
        <v>10</v>
      </c>
      <c r="AE77" s="51"/>
      <c r="AF77" s="51"/>
      <c r="AG77" s="51"/>
      <c r="AH77" s="51">
        <f t="shared" si="20"/>
        <v>10</v>
      </c>
      <c r="AI77" s="51" t="s">
        <v>185</v>
      </c>
      <c r="AJ77" s="51">
        <v>4</v>
      </c>
      <c r="AK77" s="53" t="s">
        <v>529</v>
      </c>
      <c r="AL77" s="55">
        <v>46105</v>
      </c>
      <c r="AM77" s="51"/>
      <c r="AN77" s="51"/>
      <c r="AO77" s="45"/>
      <c r="AP77" s="45"/>
      <c r="AQ77" s="45"/>
      <c r="AR77" s="45"/>
      <c r="AS77" s="45"/>
      <c r="AT77" s="45"/>
      <c r="AU77" s="45"/>
      <c r="AV77" s="45"/>
      <c r="AW77" s="45"/>
      <c r="AX77" s="45"/>
    </row>
    <row r="78" spans="1:50" ht="60" hidden="1" customHeight="1" x14ac:dyDescent="0.3">
      <c r="A78" s="52">
        <v>2340</v>
      </c>
      <c r="B78" s="53" t="s">
        <v>700</v>
      </c>
      <c r="C78" s="54">
        <v>101266000</v>
      </c>
      <c r="D78" s="53" t="s">
        <v>701</v>
      </c>
      <c r="E78" s="53" t="s">
        <v>842</v>
      </c>
      <c r="F78" s="53" t="s">
        <v>700</v>
      </c>
      <c r="G78" s="53" t="s">
        <v>527</v>
      </c>
      <c r="H78" s="53"/>
      <c r="I78" s="56">
        <v>46266</v>
      </c>
      <c r="J78" s="51"/>
      <c r="K78" s="51">
        <v>350</v>
      </c>
      <c r="L78" s="51">
        <f t="shared" si="18"/>
        <v>350</v>
      </c>
      <c r="M78" s="51" t="s">
        <v>91</v>
      </c>
      <c r="N78" s="51" t="s">
        <v>90</v>
      </c>
      <c r="O78" s="51"/>
      <c r="P78" s="51" t="s">
        <v>90</v>
      </c>
      <c r="Q78" s="51" t="s">
        <v>111</v>
      </c>
      <c r="R78" s="51"/>
      <c r="S78" s="51"/>
      <c r="T78" s="51"/>
      <c r="U78" s="51"/>
      <c r="V78" s="51">
        <v>9</v>
      </c>
      <c r="W78" s="51"/>
      <c r="X78" s="51">
        <f t="shared" si="19"/>
        <v>9</v>
      </c>
      <c r="Y78" s="51">
        <v>9</v>
      </c>
      <c r="Z78" s="51"/>
      <c r="AA78" s="51"/>
      <c r="AB78" s="51">
        <f t="shared" si="15"/>
        <v>9</v>
      </c>
      <c r="AC78" s="51"/>
      <c r="AD78" s="51">
        <v>9</v>
      </c>
      <c r="AE78" s="51"/>
      <c r="AF78" s="51"/>
      <c r="AG78" s="51"/>
      <c r="AH78" s="51">
        <f t="shared" si="20"/>
        <v>9</v>
      </c>
      <c r="AI78" s="51" t="s">
        <v>93</v>
      </c>
      <c r="AJ78" s="51">
        <v>3</v>
      </c>
      <c r="AK78" s="53" t="s">
        <v>529</v>
      </c>
      <c r="AL78" s="55">
        <v>46105</v>
      </c>
      <c r="AM78" s="51"/>
      <c r="AN78" s="51"/>
      <c r="AO78" s="45"/>
      <c r="AP78" s="45"/>
      <c r="AQ78" s="45"/>
      <c r="AR78" s="45"/>
      <c r="AS78" s="45"/>
      <c r="AT78" s="45"/>
      <c r="AU78" s="45"/>
      <c r="AV78" s="45"/>
      <c r="AW78" s="45"/>
      <c r="AX78" s="45"/>
    </row>
    <row r="79" spans="1:50" ht="60" hidden="1" customHeight="1" x14ac:dyDescent="0.3">
      <c r="A79" s="52">
        <v>2341</v>
      </c>
      <c r="B79" s="53"/>
      <c r="C79" s="51"/>
      <c r="D79" s="53"/>
      <c r="E79" s="53"/>
      <c r="F79" s="53" t="s">
        <v>702</v>
      </c>
      <c r="G79" s="53" t="s">
        <v>527</v>
      </c>
      <c r="H79" s="53"/>
      <c r="I79" s="56">
        <v>46235</v>
      </c>
      <c r="J79" s="51"/>
      <c r="K79" s="51">
        <v>285</v>
      </c>
      <c r="L79" s="51">
        <f t="shared" si="18"/>
        <v>285</v>
      </c>
      <c r="M79" s="51" t="s">
        <v>91</v>
      </c>
      <c r="N79" s="51"/>
      <c r="O79" s="51"/>
      <c r="P79" s="51"/>
      <c r="Q79" s="51" t="s">
        <v>111</v>
      </c>
      <c r="R79" s="51"/>
      <c r="S79" s="51"/>
      <c r="T79" s="51"/>
      <c r="U79" s="51"/>
      <c r="V79" s="51">
        <v>8</v>
      </c>
      <c r="W79" s="51"/>
      <c r="X79" s="51">
        <f t="shared" si="19"/>
        <v>8</v>
      </c>
      <c r="Y79" s="51">
        <v>8</v>
      </c>
      <c r="Z79" s="51"/>
      <c r="AA79" s="51"/>
      <c r="AB79" s="51">
        <f t="shared" si="15"/>
        <v>8</v>
      </c>
      <c r="AC79" s="51">
        <v>8</v>
      </c>
      <c r="AD79" s="51"/>
      <c r="AE79" s="51"/>
      <c r="AF79" s="51"/>
      <c r="AG79" s="51"/>
      <c r="AH79" s="51">
        <f t="shared" si="20"/>
        <v>8</v>
      </c>
      <c r="AI79" s="51"/>
      <c r="AJ79" s="51"/>
      <c r="AK79" s="53" t="s">
        <v>529</v>
      </c>
      <c r="AL79" s="55">
        <v>46105</v>
      </c>
      <c r="AM79" s="51"/>
      <c r="AN79" s="51"/>
      <c r="AO79" s="45"/>
      <c r="AP79" s="45"/>
      <c r="AQ79" s="45"/>
      <c r="AR79" s="45"/>
      <c r="AS79" s="45"/>
      <c r="AT79" s="45"/>
      <c r="AU79" s="45"/>
      <c r="AV79" s="45"/>
      <c r="AW79" s="45"/>
      <c r="AX79" s="45"/>
    </row>
    <row r="80" spans="1:50" ht="60" hidden="1" customHeight="1" x14ac:dyDescent="0.3">
      <c r="A80" s="52">
        <v>2341</v>
      </c>
      <c r="B80" s="53" t="s">
        <v>702</v>
      </c>
      <c r="C80" s="54">
        <v>101269000</v>
      </c>
      <c r="D80" s="53" t="s">
        <v>703</v>
      </c>
      <c r="E80" s="53" t="s">
        <v>843</v>
      </c>
      <c r="F80" s="53" t="s">
        <v>702</v>
      </c>
      <c r="G80" s="53" t="s">
        <v>527</v>
      </c>
      <c r="H80" s="53"/>
      <c r="I80" s="56">
        <v>46235</v>
      </c>
      <c r="J80" s="51"/>
      <c r="K80" s="51">
        <v>292</v>
      </c>
      <c r="L80" s="51">
        <f t="shared" si="18"/>
        <v>292</v>
      </c>
      <c r="M80" s="51" t="s">
        <v>91</v>
      </c>
      <c r="N80" s="51" t="s">
        <v>90</v>
      </c>
      <c r="O80" s="51"/>
      <c r="P80" s="51" t="s">
        <v>90</v>
      </c>
      <c r="Q80" s="51" t="s">
        <v>111</v>
      </c>
      <c r="R80" s="51"/>
      <c r="S80" s="51"/>
      <c r="T80" s="51"/>
      <c r="U80" s="51">
        <v>8</v>
      </c>
      <c r="V80" s="51"/>
      <c r="W80" s="51"/>
      <c r="X80" s="51">
        <f t="shared" si="19"/>
        <v>8</v>
      </c>
      <c r="Y80" s="51">
        <v>8</v>
      </c>
      <c r="Z80" s="51"/>
      <c r="AA80" s="51"/>
      <c r="AB80" s="51">
        <f t="shared" si="15"/>
        <v>8</v>
      </c>
      <c r="AC80" s="51"/>
      <c r="AD80" s="51">
        <v>8</v>
      </c>
      <c r="AE80" s="51"/>
      <c r="AF80" s="51"/>
      <c r="AG80" s="51"/>
      <c r="AH80" s="51">
        <f t="shared" si="20"/>
        <v>8</v>
      </c>
      <c r="AI80" s="51" t="s">
        <v>185</v>
      </c>
      <c r="AJ80" s="51">
        <v>3</v>
      </c>
      <c r="AK80" s="53" t="s">
        <v>529</v>
      </c>
      <c r="AL80" s="55">
        <v>46105</v>
      </c>
      <c r="AM80" s="51"/>
      <c r="AN80" s="51"/>
      <c r="AO80" s="45"/>
      <c r="AP80" s="45"/>
      <c r="AQ80" s="45"/>
      <c r="AR80" s="45"/>
      <c r="AS80" s="45"/>
      <c r="AT80" s="45"/>
      <c r="AU80" s="45"/>
      <c r="AV80" s="45"/>
      <c r="AW80" s="45"/>
      <c r="AX80" s="45"/>
    </row>
    <row r="81" spans="1:50" ht="60" hidden="1" customHeight="1" x14ac:dyDescent="0.3">
      <c r="A81" s="52">
        <v>2342</v>
      </c>
      <c r="B81" s="53"/>
      <c r="C81" s="51"/>
      <c r="D81" s="53"/>
      <c r="E81" s="53"/>
      <c r="F81" s="53" t="s">
        <v>704</v>
      </c>
      <c r="G81" s="53" t="s">
        <v>527</v>
      </c>
      <c r="H81" s="53"/>
      <c r="I81" s="56">
        <v>46296</v>
      </c>
      <c r="J81" s="51"/>
      <c r="K81" s="51">
        <v>340</v>
      </c>
      <c r="L81" s="51">
        <f t="shared" si="18"/>
        <v>340</v>
      </c>
      <c r="M81" s="51" t="s">
        <v>91</v>
      </c>
      <c r="N81" s="51"/>
      <c r="O81" s="51"/>
      <c r="P81" s="51"/>
      <c r="Q81" s="51" t="s">
        <v>111</v>
      </c>
      <c r="R81" s="51"/>
      <c r="S81" s="51"/>
      <c r="T81" s="51"/>
      <c r="U81" s="51">
        <v>10</v>
      </c>
      <c r="V81" s="51"/>
      <c r="W81" s="51"/>
      <c r="X81" s="51">
        <f t="shared" si="19"/>
        <v>10</v>
      </c>
      <c r="Y81" s="51">
        <v>10</v>
      </c>
      <c r="Z81" s="51"/>
      <c r="AA81" s="51"/>
      <c r="AB81" s="51">
        <f t="shared" si="15"/>
        <v>10</v>
      </c>
      <c r="AC81" s="51"/>
      <c r="AD81" s="51">
        <v>10</v>
      </c>
      <c r="AE81" s="51"/>
      <c r="AF81" s="51"/>
      <c r="AG81" s="51"/>
      <c r="AH81" s="51">
        <f t="shared" si="20"/>
        <v>10</v>
      </c>
      <c r="AI81" s="51"/>
      <c r="AJ81" s="51"/>
      <c r="AK81" s="53" t="s">
        <v>529</v>
      </c>
      <c r="AL81" s="55">
        <v>46105</v>
      </c>
      <c r="AM81" s="51"/>
      <c r="AN81" s="51"/>
      <c r="AO81" s="45"/>
      <c r="AP81" s="45"/>
      <c r="AQ81" s="45"/>
      <c r="AR81" s="45"/>
      <c r="AS81" s="45"/>
      <c r="AT81" s="45"/>
      <c r="AU81" s="45"/>
      <c r="AV81" s="45"/>
      <c r="AW81" s="45"/>
      <c r="AX81" s="45"/>
    </row>
    <row r="82" spans="1:50" ht="60" hidden="1" customHeight="1" x14ac:dyDescent="0.3">
      <c r="A82" s="52">
        <v>2342</v>
      </c>
      <c r="B82" s="53" t="s">
        <v>704</v>
      </c>
      <c r="C82" s="54">
        <v>101272000</v>
      </c>
      <c r="D82" s="53" t="s">
        <v>705</v>
      </c>
      <c r="E82" s="53" t="s">
        <v>844</v>
      </c>
      <c r="F82" s="53" t="s">
        <v>704</v>
      </c>
      <c r="G82" s="53" t="s">
        <v>527</v>
      </c>
      <c r="H82" s="53"/>
      <c r="I82" s="56">
        <v>46357</v>
      </c>
      <c r="J82" s="51"/>
      <c r="K82" s="51">
        <v>411</v>
      </c>
      <c r="L82" s="51">
        <f t="shared" si="18"/>
        <v>411</v>
      </c>
      <c r="M82" s="51" t="s">
        <v>91</v>
      </c>
      <c r="N82" s="51" t="s">
        <v>90</v>
      </c>
      <c r="O82" s="51"/>
      <c r="P82" s="51" t="s">
        <v>90</v>
      </c>
      <c r="Q82" s="51" t="s">
        <v>111</v>
      </c>
      <c r="R82" s="51"/>
      <c r="S82" s="51"/>
      <c r="T82" s="51"/>
      <c r="U82" s="51">
        <v>12</v>
      </c>
      <c r="V82" s="51"/>
      <c r="W82" s="51"/>
      <c r="X82" s="51">
        <f t="shared" si="19"/>
        <v>12</v>
      </c>
      <c r="Y82" s="51">
        <v>12</v>
      </c>
      <c r="Z82" s="51"/>
      <c r="AA82" s="51"/>
      <c r="AB82" s="51">
        <f t="shared" si="15"/>
        <v>12</v>
      </c>
      <c r="AC82" s="51"/>
      <c r="AD82" s="51">
        <v>12</v>
      </c>
      <c r="AE82" s="51"/>
      <c r="AF82" s="51"/>
      <c r="AG82" s="51"/>
      <c r="AH82" s="51">
        <f t="shared" si="20"/>
        <v>12</v>
      </c>
      <c r="AI82" s="51" t="s">
        <v>185</v>
      </c>
      <c r="AJ82" s="51">
        <v>3</v>
      </c>
      <c r="AK82" s="53" t="s">
        <v>529</v>
      </c>
      <c r="AL82" s="55">
        <v>46105</v>
      </c>
      <c r="AM82" s="51"/>
      <c r="AN82" s="51"/>
      <c r="AO82" s="45"/>
      <c r="AP82" s="45"/>
      <c r="AQ82" s="45"/>
      <c r="AR82" s="45"/>
      <c r="AS82" s="45"/>
      <c r="AT82" s="45"/>
      <c r="AU82" s="45"/>
      <c r="AV82" s="45"/>
      <c r="AW82" s="45"/>
      <c r="AX82" s="45"/>
    </row>
    <row r="83" spans="1:50" ht="60" hidden="1" customHeight="1" x14ac:dyDescent="0.3">
      <c r="A83" s="52">
        <v>2343</v>
      </c>
      <c r="B83" s="53" t="s">
        <v>706</v>
      </c>
      <c r="C83" s="54">
        <v>101275000</v>
      </c>
      <c r="D83" s="53" t="s">
        <v>707</v>
      </c>
      <c r="E83" s="53" t="s">
        <v>845</v>
      </c>
      <c r="F83" s="53" t="s">
        <v>706</v>
      </c>
      <c r="G83" s="53" t="s">
        <v>527</v>
      </c>
      <c r="H83" s="53"/>
      <c r="I83" s="56">
        <v>46143</v>
      </c>
      <c r="J83" s="51"/>
      <c r="K83" s="51">
        <v>202</v>
      </c>
      <c r="L83" s="51">
        <f t="shared" si="18"/>
        <v>202</v>
      </c>
      <c r="M83" s="51" t="s">
        <v>91</v>
      </c>
      <c r="N83" s="51" t="s">
        <v>90</v>
      </c>
      <c r="O83" s="51"/>
      <c r="P83" s="51" t="s">
        <v>90</v>
      </c>
      <c r="Q83" s="51" t="s">
        <v>111</v>
      </c>
      <c r="R83" s="51"/>
      <c r="S83" s="51"/>
      <c r="T83" s="51"/>
      <c r="U83" s="51">
        <v>5</v>
      </c>
      <c r="V83" s="51"/>
      <c r="W83" s="51"/>
      <c r="X83" s="51">
        <f t="shared" si="19"/>
        <v>5</v>
      </c>
      <c r="Y83" s="51">
        <v>5</v>
      </c>
      <c r="Z83" s="51"/>
      <c r="AA83" s="51"/>
      <c r="AB83" s="51">
        <f t="shared" si="15"/>
        <v>5</v>
      </c>
      <c r="AC83" s="51"/>
      <c r="AD83" s="51">
        <v>5</v>
      </c>
      <c r="AE83" s="51"/>
      <c r="AF83" s="51"/>
      <c r="AG83" s="51"/>
      <c r="AH83" s="51">
        <f t="shared" si="20"/>
        <v>5</v>
      </c>
      <c r="AI83" s="51" t="s">
        <v>93</v>
      </c>
      <c r="AJ83" s="51">
        <v>3</v>
      </c>
      <c r="AK83" s="53" t="s">
        <v>529</v>
      </c>
      <c r="AL83" s="55">
        <v>46105</v>
      </c>
      <c r="AM83" s="51"/>
      <c r="AN83" s="51"/>
      <c r="AO83" s="45"/>
      <c r="AP83" s="45"/>
      <c r="AQ83" s="45"/>
      <c r="AR83" s="45"/>
      <c r="AS83" s="45"/>
      <c r="AT83" s="45"/>
      <c r="AU83" s="45"/>
      <c r="AV83" s="45"/>
      <c r="AW83" s="45"/>
      <c r="AX83" s="45"/>
    </row>
    <row r="84" spans="1:50" ht="60" hidden="1" customHeight="1" x14ac:dyDescent="0.3">
      <c r="A84" s="52">
        <v>2343</v>
      </c>
      <c r="B84" s="53"/>
      <c r="C84" s="51"/>
      <c r="D84" s="53"/>
      <c r="E84" s="53"/>
      <c r="F84" s="53" t="s">
        <v>706</v>
      </c>
      <c r="G84" s="53" t="s">
        <v>527</v>
      </c>
      <c r="H84" s="53"/>
      <c r="I84" s="56">
        <v>46143</v>
      </c>
      <c r="J84" s="51"/>
      <c r="K84" s="51">
        <v>155</v>
      </c>
      <c r="L84" s="51">
        <f t="shared" si="18"/>
        <v>155</v>
      </c>
      <c r="M84" s="51"/>
      <c r="N84" s="51"/>
      <c r="O84" s="51"/>
      <c r="P84" s="51"/>
      <c r="Q84" s="51" t="s">
        <v>111</v>
      </c>
      <c r="R84" s="51"/>
      <c r="S84" s="51"/>
      <c r="T84" s="51"/>
      <c r="U84" s="51">
        <v>5</v>
      </c>
      <c r="V84" s="51"/>
      <c r="W84" s="51"/>
      <c r="X84" s="51">
        <f t="shared" si="19"/>
        <v>5</v>
      </c>
      <c r="Y84" s="51">
        <v>5</v>
      </c>
      <c r="Z84" s="51"/>
      <c r="AA84" s="51"/>
      <c r="AB84" s="51">
        <f t="shared" si="15"/>
        <v>5</v>
      </c>
      <c r="AC84" s="51"/>
      <c r="AD84" s="51">
        <v>5</v>
      </c>
      <c r="AE84" s="51"/>
      <c r="AF84" s="51"/>
      <c r="AG84" s="51"/>
      <c r="AH84" s="51">
        <f t="shared" si="20"/>
        <v>5</v>
      </c>
      <c r="AI84" s="51"/>
      <c r="AJ84" s="51"/>
      <c r="AK84" s="53" t="s">
        <v>529</v>
      </c>
      <c r="AL84" s="55">
        <v>46105</v>
      </c>
      <c r="AM84" s="51"/>
      <c r="AN84" s="51"/>
      <c r="AO84" s="45"/>
      <c r="AP84" s="45"/>
      <c r="AQ84" s="45"/>
      <c r="AR84" s="45"/>
      <c r="AS84" s="45"/>
      <c r="AT84" s="45"/>
      <c r="AU84" s="45"/>
      <c r="AV84" s="45"/>
      <c r="AW84" s="45"/>
      <c r="AX84" s="45"/>
    </row>
    <row r="85" spans="1:50" ht="60" hidden="1" customHeight="1" x14ac:dyDescent="0.3">
      <c r="A85" s="52">
        <v>2343</v>
      </c>
      <c r="B85" s="53" t="s">
        <v>708</v>
      </c>
      <c r="C85" s="54">
        <v>101281000</v>
      </c>
      <c r="D85" s="53" t="s">
        <v>709</v>
      </c>
      <c r="E85" s="53" t="s">
        <v>846</v>
      </c>
      <c r="F85" s="53" t="s">
        <v>706</v>
      </c>
      <c r="G85" s="53" t="s">
        <v>527</v>
      </c>
      <c r="H85" s="53"/>
      <c r="I85" s="56">
        <v>46357</v>
      </c>
      <c r="J85" s="51"/>
      <c r="K85" s="51">
        <v>454</v>
      </c>
      <c r="L85" s="51">
        <f t="shared" si="18"/>
        <v>454</v>
      </c>
      <c r="M85" s="51" t="s">
        <v>91</v>
      </c>
      <c r="N85" s="51" t="s">
        <v>90</v>
      </c>
      <c r="O85" s="51"/>
      <c r="P85" s="51" t="s">
        <v>90</v>
      </c>
      <c r="Q85" s="51" t="s">
        <v>111</v>
      </c>
      <c r="R85" s="51"/>
      <c r="S85" s="51"/>
      <c r="T85" s="51"/>
      <c r="U85" s="51"/>
      <c r="V85" s="51">
        <v>12</v>
      </c>
      <c r="W85" s="51"/>
      <c r="X85" s="51">
        <f t="shared" si="19"/>
        <v>12</v>
      </c>
      <c r="Y85" s="51">
        <v>12</v>
      </c>
      <c r="Z85" s="51"/>
      <c r="AA85" s="51"/>
      <c r="AB85" s="51">
        <f t="shared" si="15"/>
        <v>12</v>
      </c>
      <c r="AC85" s="51"/>
      <c r="AD85" s="51">
        <v>12</v>
      </c>
      <c r="AE85" s="51"/>
      <c r="AF85" s="51"/>
      <c r="AG85" s="51"/>
      <c r="AH85" s="51">
        <f t="shared" si="20"/>
        <v>12</v>
      </c>
      <c r="AI85" s="51" t="s">
        <v>93</v>
      </c>
      <c r="AJ85" s="51">
        <v>3</v>
      </c>
      <c r="AK85" s="53" t="s">
        <v>529</v>
      </c>
      <c r="AL85" s="55">
        <v>46105</v>
      </c>
      <c r="AM85" s="51"/>
      <c r="AN85" s="51"/>
      <c r="AO85" s="45"/>
      <c r="AP85" s="45"/>
      <c r="AQ85" s="45"/>
      <c r="AR85" s="45"/>
      <c r="AS85" s="45"/>
      <c r="AT85" s="45"/>
      <c r="AU85" s="45"/>
      <c r="AV85" s="45"/>
      <c r="AW85" s="45"/>
      <c r="AX85" s="45"/>
    </row>
    <row r="86" spans="1:50" ht="60" hidden="1" customHeight="1" x14ac:dyDescent="0.3">
      <c r="A86" s="52">
        <v>2344</v>
      </c>
      <c r="B86" s="53" t="s">
        <v>710</v>
      </c>
      <c r="C86" s="54">
        <v>101278000</v>
      </c>
      <c r="D86" s="53" t="s">
        <v>711</v>
      </c>
      <c r="E86" s="53" t="s">
        <v>847</v>
      </c>
      <c r="F86" s="53" t="s">
        <v>710</v>
      </c>
      <c r="G86" s="53" t="s">
        <v>527</v>
      </c>
      <c r="H86" s="53"/>
      <c r="I86" s="56">
        <v>46174</v>
      </c>
      <c r="J86" s="51"/>
      <c r="K86" s="51">
        <v>375</v>
      </c>
      <c r="L86" s="51">
        <f t="shared" si="18"/>
        <v>375</v>
      </c>
      <c r="M86" s="51" t="s">
        <v>91</v>
      </c>
      <c r="N86" s="51" t="s">
        <v>90</v>
      </c>
      <c r="O86" s="51"/>
      <c r="P86" s="51" t="s">
        <v>90</v>
      </c>
      <c r="Q86" s="51" t="s">
        <v>111</v>
      </c>
      <c r="R86" s="51"/>
      <c r="S86" s="51"/>
      <c r="T86" s="51"/>
      <c r="U86" s="51">
        <v>6</v>
      </c>
      <c r="V86" s="51"/>
      <c r="W86" s="51"/>
      <c r="X86" s="51">
        <f t="shared" si="19"/>
        <v>6</v>
      </c>
      <c r="Y86" s="51">
        <v>6</v>
      </c>
      <c r="Z86" s="51"/>
      <c r="AA86" s="51"/>
      <c r="AB86" s="51">
        <f t="shared" si="15"/>
        <v>6</v>
      </c>
      <c r="AC86" s="51"/>
      <c r="AD86" s="51">
        <v>6</v>
      </c>
      <c r="AE86" s="51"/>
      <c r="AF86" s="51"/>
      <c r="AG86" s="51"/>
      <c r="AH86" s="51">
        <f t="shared" si="20"/>
        <v>6</v>
      </c>
      <c r="AI86" s="51" t="s">
        <v>185</v>
      </c>
      <c r="AJ86" s="51">
        <v>3</v>
      </c>
      <c r="AK86" s="53" t="s">
        <v>529</v>
      </c>
      <c r="AL86" s="55">
        <v>46105</v>
      </c>
      <c r="AM86" s="51"/>
      <c r="AN86" s="51"/>
      <c r="AO86" s="45"/>
      <c r="AP86" s="45"/>
      <c r="AQ86" s="45"/>
      <c r="AR86" s="45"/>
      <c r="AS86" s="45"/>
      <c r="AT86" s="45"/>
      <c r="AU86" s="45"/>
      <c r="AV86" s="45"/>
      <c r="AW86" s="45"/>
      <c r="AX86" s="45"/>
    </row>
    <row r="87" spans="1:50" ht="60" hidden="1" customHeight="1" x14ac:dyDescent="0.3">
      <c r="A87" s="52">
        <v>2345</v>
      </c>
      <c r="B87" s="53"/>
      <c r="C87" s="51"/>
      <c r="D87" s="53"/>
      <c r="E87" s="53"/>
      <c r="F87" s="53" t="s">
        <v>712</v>
      </c>
      <c r="G87" s="53" t="s">
        <v>527</v>
      </c>
      <c r="H87" s="53"/>
      <c r="I87" s="56">
        <v>46296</v>
      </c>
      <c r="J87" s="51"/>
      <c r="K87" s="51">
        <v>400</v>
      </c>
      <c r="L87" s="51">
        <f t="shared" si="18"/>
        <v>400</v>
      </c>
      <c r="M87" s="51" t="s">
        <v>91</v>
      </c>
      <c r="N87" s="51"/>
      <c r="O87" s="51"/>
      <c r="P87" s="51"/>
      <c r="Q87" s="51" t="s">
        <v>111</v>
      </c>
      <c r="R87" s="51"/>
      <c r="S87" s="51"/>
      <c r="T87" s="51"/>
      <c r="U87" s="51"/>
      <c r="V87" s="51">
        <v>10</v>
      </c>
      <c r="W87" s="51"/>
      <c r="X87" s="51">
        <f t="shared" si="19"/>
        <v>10</v>
      </c>
      <c r="Y87" s="51">
        <v>10</v>
      </c>
      <c r="Z87" s="51"/>
      <c r="AA87" s="51"/>
      <c r="AB87" s="51">
        <f t="shared" si="15"/>
        <v>10</v>
      </c>
      <c r="AC87" s="51"/>
      <c r="AD87" s="51">
        <v>10</v>
      </c>
      <c r="AE87" s="51"/>
      <c r="AF87" s="51"/>
      <c r="AG87" s="51"/>
      <c r="AH87" s="51">
        <f t="shared" si="20"/>
        <v>10</v>
      </c>
      <c r="AI87" s="51"/>
      <c r="AJ87" s="51"/>
      <c r="AK87" s="53" t="s">
        <v>529</v>
      </c>
      <c r="AL87" s="55">
        <v>46105</v>
      </c>
      <c r="AM87" s="51"/>
      <c r="AN87" s="51"/>
      <c r="AO87" s="45"/>
      <c r="AP87" s="45"/>
      <c r="AQ87" s="45"/>
      <c r="AR87" s="45"/>
      <c r="AS87" s="45"/>
      <c r="AT87" s="45"/>
      <c r="AU87" s="45"/>
      <c r="AV87" s="45"/>
      <c r="AW87" s="45"/>
      <c r="AX87" s="45"/>
    </row>
    <row r="88" spans="1:50" ht="60" hidden="1" customHeight="1" x14ac:dyDescent="0.3">
      <c r="A88" s="52">
        <v>2346</v>
      </c>
      <c r="B88" s="53" t="s">
        <v>713</v>
      </c>
      <c r="C88" s="54">
        <v>101284000</v>
      </c>
      <c r="D88" s="53" t="s">
        <v>714</v>
      </c>
      <c r="E88" s="53" t="s">
        <v>848</v>
      </c>
      <c r="F88" s="53" t="s">
        <v>713</v>
      </c>
      <c r="G88" s="53" t="s">
        <v>527</v>
      </c>
      <c r="H88" s="53"/>
      <c r="I88" s="51" t="s">
        <v>603</v>
      </c>
      <c r="J88" s="51"/>
      <c r="K88" s="51">
        <v>432</v>
      </c>
      <c r="L88" s="51">
        <f t="shared" si="18"/>
        <v>432</v>
      </c>
      <c r="M88" s="51" t="s">
        <v>91</v>
      </c>
      <c r="N88" s="51" t="s">
        <v>90</v>
      </c>
      <c r="O88" s="51"/>
      <c r="P88" s="51" t="s">
        <v>90</v>
      </c>
      <c r="Q88" s="51" t="s">
        <v>111</v>
      </c>
      <c r="R88" s="51"/>
      <c r="S88" s="51"/>
      <c r="T88" s="51"/>
      <c r="U88" s="51"/>
      <c r="V88" s="51">
        <v>14</v>
      </c>
      <c r="W88" s="51"/>
      <c r="X88" s="51">
        <f t="shared" si="19"/>
        <v>14</v>
      </c>
      <c r="Y88" s="51">
        <v>14</v>
      </c>
      <c r="Z88" s="51"/>
      <c r="AA88" s="51"/>
      <c r="AB88" s="51">
        <f t="shared" si="15"/>
        <v>14</v>
      </c>
      <c r="AC88" s="51"/>
      <c r="AD88" s="51">
        <v>14</v>
      </c>
      <c r="AE88" s="51"/>
      <c r="AF88" s="51"/>
      <c r="AG88" s="51"/>
      <c r="AH88" s="51">
        <f t="shared" si="20"/>
        <v>14</v>
      </c>
      <c r="AI88" s="51" t="s">
        <v>93</v>
      </c>
      <c r="AJ88" s="51">
        <v>3</v>
      </c>
      <c r="AK88" s="53" t="s">
        <v>529</v>
      </c>
      <c r="AL88" s="55">
        <v>46105</v>
      </c>
      <c r="AM88" s="51"/>
      <c r="AN88" s="51"/>
      <c r="AO88" s="45"/>
      <c r="AP88" s="45"/>
      <c r="AQ88" s="45"/>
      <c r="AR88" s="45"/>
      <c r="AS88" s="45"/>
      <c r="AT88" s="45"/>
      <c r="AU88" s="45"/>
      <c r="AV88" s="45"/>
      <c r="AW88" s="45"/>
      <c r="AX88" s="45"/>
    </row>
    <row r="89" spans="1:50" ht="60" hidden="1" customHeight="1" x14ac:dyDescent="0.3">
      <c r="A89" s="52">
        <v>2347</v>
      </c>
      <c r="B89" s="53" t="s">
        <v>715</v>
      </c>
      <c r="C89" s="54">
        <v>101191000</v>
      </c>
      <c r="D89" s="53" t="s">
        <v>716</v>
      </c>
      <c r="E89" s="53" t="s">
        <v>849</v>
      </c>
      <c r="F89" s="53" t="s">
        <v>715</v>
      </c>
      <c r="G89" s="53" t="s">
        <v>527</v>
      </c>
      <c r="H89" s="53"/>
      <c r="I89" s="58" t="s">
        <v>588</v>
      </c>
      <c r="J89" s="51"/>
      <c r="K89" s="51">
        <v>183</v>
      </c>
      <c r="L89" s="51">
        <f t="shared" si="18"/>
        <v>183</v>
      </c>
      <c r="M89" s="51"/>
      <c r="N89" s="51" t="s">
        <v>90</v>
      </c>
      <c r="O89" s="51"/>
      <c r="P89" s="51" t="s">
        <v>90</v>
      </c>
      <c r="Q89" s="51"/>
      <c r="R89" s="51"/>
      <c r="S89" s="51"/>
      <c r="T89" s="51"/>
      <c r="U89" s="51"/>
      <c r="V89" s="51">
        <v>7</v>
      </c>
      <c r="W89" s="51"/>
      <c r="X89" s="51">
        <f t="shared" si="19"/>
        <v>7</v>
      </c>
      <c r="Y89" s="51">
        <v>7</v>
      </c>
      <c r="Z89" s="51"/>
      <c r="AA89" s="51"/>
      <c r="AB89" s="51">
        <f t="shared" si="15"/>
        <v>7</v>
      </c>
      <c r="AC89" s="51"/>
      <c r="AD89" s="51">
        <v>7</v>
      </c>
      <c r="AE89" s="51"/>
      <c r="AF89" s="51"/>
      <c r="AG89" s="51"/>
      <c r="AH89" s="51">
        <f t="shared" si="20"/>
        <v>7</v>
      </c>
      <c r="AI89" s="51" t="s">
        <v>93</v>
      </c>
      <c r="AJ89" s="51">
        <v>3</v>
      </c>
      <c r="AK89" s="53" t="s">
        <v>529</v>
      </c>
      <c r="AL89" s="55">
        <v>46106</v>
      </c>
      <c r="AM89" s="51"/>
      <c r="AN89" s="51"/>
      <c r="AO89" s="45"/>
      <c r="AP89" s="45"/>
      <c r="AQ89" s="45"/>
      <c r="AR89" s="45"/>
      <c r="AS89" s="45"/>
      <c r="AT89" s="45"/>
      <c r="AU89" s="45"/>
      <c r="AV89" s="45"/>
      <c r="AW89" s="45"/>
      <c r="AX89" s="45"/>
    </row>
    <row r="90" spans="1:50" ht="60" hidden="1" customHeight="1" x14ac:dyDescent="0.3">
      <c r="A90" s="52">
        <v>2348</v>
      </c>
      <c r="B90" s="53" t="s">
        <v>717</v>
      </c>
      <c r="C90" s="54">
        <v>101248000</v>
      </c>
      <c r="D90" s="53" t="s">
        <v>718</v>
      </c>
      <c r="E90" s="53" t="s">
        <v>850</v>
      </c>
      <c r="F90" s="53" t="s">
        <v>717</v>
      </c>
      <c r="G90" s="53" t="s">
        <v>527</v>
      </c>
      <c r="H90" s="53"/>
      <c r="I90" s="58" t="s">
        <v>719</v>
      </c>
      <c r="J90" s="51"/>
      <c r="K90" s="51">
        <v>582</v>
      </c>
      <c r="L90" s="51">
        <f t="shared" si="18"/>
        <v>582</v>
      </c>
      <c r="M90" s="51"/>
      <c r="N90" s="51" t="s">
        <v>90</v>
      </c>
      <c r="O90" s="51"/>
      <c r="P90" s="51" t="s">
        <v>90</v>
      </c>
      <c r="Q90" s="51"/>
      <c r="R90" s="51"/>
      <c r="S90" s="51"/>
      <c r="T90" s="51"/>
      <c r="U90" s="51"/>
      <c r="V90" s="51">
        <v>16</v>
      </c>
      <c r="W90" s="51"/>
      <c r="X90" s="51">
        <f t="shared" si="19"/>
        <v>16</v>
      </c>
      <c r="Y90" s="51">
        <v>16</v>
      </c>
      <c r="Z90" s="51"/>
      <c r="AA90" s="51"/>
      <c r="AB90" s="51">
        <f t="shared" si="15"/>
        <v>16</v>
      </c>
      <c r="AC90" s="51"/>
      <c r="AD90" s="51">
        <v>16</v>
      </c>
      <c r="AE90" s="51"/>
      <c r="AF90" s="51"/>
      <c r="AG90" s="51"/>
      <c r="AH90" s="51">
        <f t="shared" si="20"/>
        <v>16</v>
      </c>
      <c r="AI90" s="51" t="s">
        <v>93</v>
      </c>
      <c r="AJ90" s="51">
        <v>3</v>
      </c>
      <c r="AK90" s="53" t="s">
        <v>529</v>
      </c>
      <c r="AL90" s="55">
        <v>46106</v>
      </c>
      <c r="AM90" s="51"/>
      <c r="AN90" s="51"/>
      <c r="AO90" s="45"/>
      <c r="AP90" s="45"/>
      <c r="AQ90" s="45"/>
      <c r="AR90" s="45"/>
      <c r="AS90" s="45"/>
      <c r="AT90" s="45"/>
      <c r="AU90" s="45"/>
      <c r="AV90" s="45"/>
      <c r="AW90" s="45"/>
      <c r="AX90" s="45"/>
    </row>
    <row r="91" spans="1:50" ht="60" hidden="1" customHeight="1" x14ac:dyDescent="0.3">
      <c r="A91" s="52">
        <v>2349</v>
      </c>
      <c r="B91" s="53" t="s">
        <v>720</v>
      </c>
      <c r="C91" s="54">
        <v>101298000</v>
      </c>
      <c r="D91" s="53" t="s">
        <v>721</v>
      </c>
      <c r="E91" s="53" t="s">
        <v>836</v>
      </c>
      <c r="F91" s="53" t="s">
        <v>722</v>
      </c>
      <c r="G91" s="53" t="s">
        <v>527</v>
      </c>
      <c r="H91" s="53"/>
      <c r="I91" s="58" t="s">
        <v>555</v>
      </c>
      <c r="J91" s="51"/>
      <c r="K91" s="51">
        <v>475</v>
      </c>
      <c r="L91" s="51">
        <f t="shared" si="18"/>
        <v>475</v>
      </c>
      <c r="M91" s="51" t="s">
        <v>90</v>
      </c>
      <c r="N91" s="51"/>
      <c r="O91" s="51"/>
      <c r="P91" s="51" t="s">
        <v>90</v>
      </c>
      <c r="Q91" s="51"/>
      <c r="R91" s="51"/>
      <c r="S91" s="51"/>
      <c r="T91" s="51"/>
      <c r="U91" s="51"/>
      <c r="V91" s="51">
        <v>12</v>
      </c>
      <c r="W91" s="51"/>
      <c r="X91" s="51">
        <f t="shared" si="19"/>
        <v>12</v>
      </c>
      <c r="Y91" s="51">
        <v>12</v>
      </c>
      <c r="Z91" s="51"/>
      <c r="AA91" s="51"/>
      <c r="AB91" s="51">
        <f t="shared" si="15"/>
        <v>12</v>
      </c>
      <c r="AC91" s="51">
        <v>12</v>
      </c>
      <c r="AD91" s="51"/>
      <c r="AE91" s="51"/>
      <c r="AF91" s="51"/>
      <c r="AG91" s="51"/>
      <c r="AH91" s="51">
        <f t="shared" si="20"/>
        <v>12</v>
      </c>
      <c r="AI91" s="51" t="s">
        <v>93</v>
      </c>
      <c r="AJ91" s="51">
        <v>3</v>
      </c>
      <c r="AK91" s="53" t="s">
        <v>529</v>
      </c>
      <c r="AL91" s="55">
        <v>46106</v>
      </c>
      <c r="AM91" s="51"/>
      <c r="AN91" s="51"/>
      <c r="AO91" s="45"/>
      <c r="AP91" s="45"/>
      <c r="AQ91" s="45"/>
      <c r="AR91" s="45"/>
      <c r="AS91" s="45"/>
      <c r="AT91" s="45"/>
      <c r="AU91" s="45"/>
      <c r="AV91" s="45"/>
      <c r="AW91" s="45"/>
      <c r="AX91" s="45"/>
    </row>
    <row r="92" spans="1:50" ht="60" hidden="1" customHeight="1" x14ac:dyDescent="0.3">
      <c r="A92" s="52">
        <v>2349</v>
      </c>
      <c r="B92" s="53" t="s">
        <v>723</v>
      </c>
      <c r="C92" s="54">
        <v>101294000</v>
      </c>
      <c r="D92" s="53" t="s">
        <v>724</v>
      </c>
      <c r="E92" s="53" t="s">
        <v>851</v>
      </c>
      <c r="F92" s="53" t="s">
        <v>722</v>
      </c>
      <c r="G92" s="53" t="s">
        <v>527</v>
      </c>
      <c r="H92" s="53"/>
      <c r="I92" s="53" t="str">
        <f>1&amp;"-"&amp;X92</f>
        <v>1-13</v>
      </c>
      <c r="J92" s="51"/>
      <c r="K92" s="51">
        <v>432</v>
      </c>
      <c r="L92" s="51">
        <f t="shared" si="18"/>
        <v>432</v>
      </c>
      <c r="M92" s="51"/>
      <c r="N92" s="51" t="s">
        <v>90</v>
      </c>
      <c r="O92" s="51"/>
      <c r="P92" s="51" t="s">
        <v>90</v>
      </c>
      <c r="Q92" s="51"/>
      <c r="R92" s="51"/>
      <c r="S92" s="51"/>
      <c r="T92" s="51"/>
      <c r="U92" s="51"/>
      <c r="V92" s="51">
        <v>13</v>
      </c>
      <c r="W92" s="51"/>
      <c r="X92" s="51">
        <f t="shared" si="19"/>
        <v>13</v>
      </c>
      <c r="Y92" s="51">
        <v>13</v>
      </c>
      <c r="Z92" s="51"/>
      <c r="AA92" s="51"/>
      <c r="AB92" s="51">
        <f t="shared" si="15"/>
        <v>13</v>
      </c>
      <c r="AC92" s="51">
        <v>13</v>
      </c>
      <c r="AD92" s="51"/>
      <c r="AE92" s="51"/>
      <c r="AF92" s="51"/>
      <c r="AG92" s="51"/>
      <c r="AH92" s="51"/>
      <c r="AI92" s="51" t="s">
        <v>93</v>
      </c>
      <c r="AJ92" s="51">
        <v>3</v>
      </c>
      <c r="AK92" s="53" t="s">
        <v>529</v>
      </c>
      <c r="AL92" s="55">
        <v>46106</v>
      </c>
      <c r="AM92" s="51"/>
      <c r="AN92" s="51"/>
      <c r="AO92" s="45"/>
      <c r="AP92" s="45"/>
      <c r="AQ92" s="45"/>
      <c r="AR92" s="45"/>
      <c r="AS92" s="45"/>
      <c r="AT92" s="45"/>
      <c r="AU92" s="45"/>
      <c r="AV92" s="45"/>
      <c r="AW92" s="45"/>
      <c r="AX92" s="45"/>
    </row>
    <row r="93" spans="1:50" ht="60" hidden="1" customHeight="1" x14ac:dyDescent="0.3">
      <c r="A93" s="52">
        <v>2349</v>
      </c>
      <c r="B93" s="53" t="s">
        <v>725</v>
      </c>
      <c r="C93" s="54">
        <v>101295000</v>
      </c>
      <c r="D93" s="53" t="s">
        <v>726</v>
      </c>
      <c r="E93" s="53" t="s">
        <v>852</v>
      </c>
      <c r="F93" s="53" t="s">
        <v>722</v>
      </c>
      <c r="G93" s="53" t="s">
        <v>527</v>
      </c>
      <c r="H93" s="53"/>
      <c r="I93" s="58" t="s">
        <v>727</v>
      </c>
      <c r="J93" s="51"/>
      <c r="K93" s="51">
        <f>1528-K69</f>
        <v>989</v>
      </c>
      <c r="L93" s="51">
        <f t="shared" si="18"/>
        <v>989</v>
      </c>
      <c r="M93" s="51"/>
      <c r="N93" s="51" t="s">
        <v>90</v>
      </c>
      <c r="O93" s="51"/>
      <c r="P93" s="51" t="s">
        <v>90</v>
      </c>
      <c r="Q93" s="51"/>
      <c r="R93" s="51"/>
      <c r="S93" s="51"/>
      <c r="T93" s="51"/>
      <c r="U93" s="51"/>
      <c r="V93" s="51">
        <v>29</v>
      </c>
      <c r="W93" s="51"/>
      <c r="X93" s="51">
        <f t="shared" si="19"/>
        <v>29</v>
      </c>
      <c r="Y93" s="51">
        <v>29</v>
      </c>
      <c r="Z93" s="51"/>
      <c r="AA93" s="51"/>
      <c r="AB93" s="51">
        <f t="shared" si="15"/>
        <v>29</v>
      </c>
      <c r="AC93" s="51">
        <v>29</v>
      </c>
      <c r="AD93" s="51"/>
      <c r="AE93" s="51"/>
      <c r="AF93" s="51"/>
      <c r="AG93" s="51"/>
      <c r="AH93" s="51">
        <f>SUM(AC93:AG93)</f>
        <v>29</v>
      </c>
      <c r="AI93" s="51" t="s">
        <v>93</v>
      </c>
      <c r="AJ93" s="51">
        <v>3</v>
      </c>
      <c r="AK93" s="53" t="s">
        <v>529</v>
      </c>
      <c r="AL93" s="55">
        <v>46106</v>
      </c>
      <c r="AM93" s="51"/>
      <c r="AN93" s="51"/>
      <c r="AO93" s="45"/>
      <c r="AP93" s="45"/>
      <c r="AQ93" s="45"/>
      <c r="AR93" s="45"/>
      <c r="AS93" s="45"/>
      <c r="AT93" s="45"/>
      <c r="AU93" s="45"/>
      <c r="AV93" s="45"/>
      <c r="AW93" s="45"/>
      <c r="AX93" s="45"/>
    </row>
    <row r="94" spans="1:50" ht="60" hidden="1" customHeight="1" x14ac:dyDescent="0.3">
      <c r="A94" s="52">
        <v>2350</v>
      </c>
      <c r="B94" s="53" t="s">
        <v>728</v>
      </c>
      <c r="C94" s="54">
        <v>101146000</v>
      </c>
      <c r="D94" s="53"/>
      <c r="E94" s="53" t="s">
        <v>853</v>
      </c>
      <c r="F94" s="53" t="s">
        <v>729</v>
      </c>
      <c r="G94" s="53" t="s">
        <v>527</v>
      </c>
      <c r="H94" s="53" t="s">
        <v>730</v>
      </c>
      <c r="I94" s="51" t="s">
        <v>584</v>
      </c>
      <c r="J94" s="51"/>
      <c r="K94" s="51">
        <v>435</v>
      </c>
      <c r="L94" s="51">
        <f t="shared" si="18"/>
        <v>435</v>
      </c>
      <c r="M94" s="51" t="s">
        <v>91</v>
      </c>
      <c r="N94" s="51" t="s">
        <v>90</v>
      </c>
      <c r="O94" s="51"/>
      <c r="P94" s="51" t="s">
        <v>90</v>
      </c>
      <c r="Q94" s="51" t="s">
        <v>111</v>
      </c>
      <c r="R94" s="51"/>
      <c r="S94" s="51"/>
      <c r="T94" s="51"/>
      <c r="U94" s="51"/>
      <c r="V94" s="51">
        <v>13</v>
      </c>
      <c r="W94" s="51"/>
      <c r="X94" s="51">
        <f t="shared" si="19"/>
        <v>13</v>
      </c>
      <c r="Y94" s="51">
        <v>13</v>
      </c>
      <c r="Z94" s="51"/>
      <c r="AA94" s="51"/>
      <c r="AB94" s="51">
        <f t="shared" si="15"/>
        <v>13</v>
      </c>
      <c r="AC94" s="51"/>
      <c r="AD94" s="51">
        <v>13</v>
      </c>
      <c r="AE94" s="51"/>
      <c r="AF94" s="51"/>
      <c r="AG94" s="51"/>
      <c r="AH94" s="51">
        <f t="shared" ref="AH94:AH116" si="21">SUM(AC94:AG94)</f>
        <v>13</v>
      </c>
      <c r="AI94" s="51" t="s">
        <v>93</v>
      </c>
      <c r="AJ94" s="51">
        <v>3</v>
      </c>
      <c r="AK94" s="53" t="s">
        <v>529</v>
      </c>
      <c r="AL94" s="55">
        <v>46105</v>
      </c>
      <c r="AM94" s="51"/>
      <c r="AN94" s="51"/>
      <c r="AO94" s="45"/>
      <c r="AP94" s="45"/>
      <c r="AQ94" s="45"/>
      <c r="AR94" s="45"/>
      <c r="AS94" s="45"/>
      <c r="AT94" s="45"/>
      <c r="AU94" s="45"/>
      <c r="AV94" s="45"/>
      <c r="AW94" s="45"/>
      <c r="AX94" s="45"/>
    </row>
    <row r="95" spans="1:50" ht="60" hidden="1" customHeight="1" x14ac:dyDescent="0.3">
      <c r="A95" s="52">
        <v>2350</v>
      </c>
      <c r="B95" s="53" t="s">
        <v>731</v>
      </c>
      <c r="C95" s="54">
        <v>101147000</v>
      </c>
      <c r="D95" s="53" t="s">
        <v>732</v>
      </c>
      <c r="E95" s="53" t="s">
        <v>854</v>
      </c>
      <c r="F95" s="53" t="s">
        <v>729</v>
      </c>
      <c r="G95" s="53" t="s">
        <v>527</v>
      </c>
      <c r="H95" s="53" t="s">
        <v>733</v>
      </c>
      <c r="I95" s="51" t="s">
        <v>580</v>
      </c>
      <c r="J95" s="51"/>
      <c r="K95" s="51">
        <v>664</v>
      </c>
      <c r="L95" s="51">
        <f t="shared" si="18"/>
        <v>664</v>
      </c>
      <c r="M95" s="51" t="s">
        <v>91</v>
      </c>
      <c r="N95" s="51" t="s">
        <v>90</v>
      </c>
      <c r="O95" s="51"/>
      <c r="P95" s="51" t="s">
        <v>90</v>
      </c>
      <c r="Q95" s="51" t="s">
        <v>111</v>
      </c>
      <c r="R95" s="51"/>
      <c r="S95" s="51"/>
      <c r="T95" s="51"/>
      <c r="U95" s="51"/>
      <c r="V95" s="51">
        <v>20</v>
      </c>
      <c r="W95" s="51"/>
      <c r="X95" s="51">
        <f t="shared" si="19"/>
        <v>20</v>
      </c>
      <c r="Y95" s="51">
        <v>20</v>
      </c>
      <c r="Z95" s="51"/>
      <c r="AA95" s="51"/>
      <c r="AB95" s="51">
        <f t="shared" si="15"/>
        <v>20</v>
      </c>
      <c r="AC95" s="51"/>
      <c r="AD95" s="51">
        <v>20</v>
      </c>
      <c r="AE95" s="51"/>
      <c r="AF95" s="51"/>
      <c r="AG95" s="51"/>
      <c r="AH95" s="51">
        <f t="shared" si="21"/>
        <v>20</v>
      </c>
      <c r="AI95" s="51" t="s">
        <v>93</v>
      </c>
      <c r="AJ95" s="51">
        <v>3</v>
      </c>
      <c r="AK95" s="53" t="s">
        <v>529</v>
      </c>
      <c r="AL95" s="55">
        <v>46105</v>
      </c>
      <c r="AM95" s="51"/>
      <c r="AN95" s="51"/>
      <c r="AO95" s="45"/>
      <c r="AP95" s="45"/>
      <c r="AQ95" s="45"/>
      <c r="AR95" s="45"/>
      <c r="AS95" s="45"/>
      <c r="AT95" s="45"/>
      <c r="AU95" s="45"/>
      <c r="AV95" s="45"/>
      <c r="AW95" s="45"/>
      <c r="AX95" s="45"/>
    </row>
    <row r="96" spans="1:50" ht="60" hidden="1" customHeight="1" x14ac:dyDescent="0.3">
      <c r="A96" s="52">
        <v>2350</v>
      </c>
      <c r="B96" s="53" t="s">
        <v>729</v>
      </c>
      <c r="C96" s="54">
        <v>101145000</v>
      </c>
      <c r="D96" s="53" t="s">
        <v>734</v>
      </c>
      <c r="E96" s="53" t="s">
        <v>855</v>
      </c>
      <c r="F96" s="53" t="s">
        <v>729</v>
      </c>
      <c r="G96" s="53" t="s">
        <v>527</v>
      </c>
      <c r="H96" s="53"/>
      <c r="I96" s="51" t="s">
        <v>727</v>
      </c>
      <c r="J96" s="51"/>
      <c r="K96" s="51">
        <v>1119</v>
      </c>
      <c r="L96" s="51">
        <f t="shared" si="18"/>
        <v>1119</v>
      </c>
      <c r="M96" s="51" t="s">
        <v>91</v>
      </c>
      <c r="N96" s="51" t="s">
        <v>90</v>
      </c>
      <c r="O96" s="51"/>
      <c r="P96" s="51" t="s">
        <v>90</v>
      </c>
      <c r="Q96" s="51" t="s">
        <v>111</v>
      </c>
      <c r="R96" s="51"/>
      <c r="S96" s="51"/>
      <c r="T96" s="51"/>
      <c r="U96" s="51"/>
      <c r="V96" s="51">
        <v>29</v>
      </c>
      <c r="W96" s="51"/>
      <c r="X96" s="51">
        <f t="shared" si="19"/>
        <v>29</v>
      </c>
      <c r="Y96" s="51">
        <v>29</v>
      </c>
      <c r="Z96" s="51"/>
      <c r="AA96" s="51"/>
      <c r="AB96" s="51">
        <f t="shared" si="15"/>
        <v>29</v>
      </c>
      <c r="AC96" s="51"/>
      <c r="AD96" s="51">
        <v>29</v>
      </c>
      <c r="AE96" s="51"/>
      <c r="AF96" s="51"/>
      <c r="AG96" s="51"/>
      <c r="AH96" s="51">
        <f t="shared" si="21"/>
        <v>29</v>
      </c>
      <c r="AI96" s="51" t="s">
        <v>93</v>
      </c>
      <c r="AJ96" s="51">
        <v>3</v>
      </c>
      <c r="AK96" s="53" t="s">
        <v>529</v>
      </c>
      <c r="AL96" s="55">
        <v>46105</v>
      </c>
      <c r="AM96" s="51"/>
      <c r="AN96" s="51"/>
      <c r="AO96" s="45"/>
      <c r="AP96" s="45"/>
      <c r="AQ96" s="45"/>
      <c r="AR96" s="45"/>
      <c r="AS96" s="45"/>
      <c r="AT96" s="45"/>
      <c r="AU96" s="45"/>
      <c r="AV96" s="45"/>
      <c r="AW96" s="45"/>
      <c r="AX96" s="45"/>
    </row>
    <row r="97" spans="1:50" ht="60" hidden="1" customHeight="1" x14ac:dyDescent="0.3">
      <c r="A97" s="52">
        <v>2351</v>
      </c>
      <c r="B97" s="53" t="s">
        <v>735</v>
      </c>
      <c r="C97" s="54">
        <v>101155000</v>
      </c>
      <c r="D97" s="53" t="s">
        <v>736</v>
      </c>
      <c r="E97" s="53" t="s">
        <v>856</v>
      </c>
      <c r="F97" s="53" t="s">
        <v>735</v>
      </c>
      <c r="G97" s="53" t="s">
        <v>527</v>
      </c>
      <c r="H97" s="53"/>
      <c r="I97" s="58" t="s">
        <v>580</v>
      </c>
      <c r="J97" s="51"/>
      <c r="K97" s="51">
        <v>668</v>
      </c>
      <c r="L97" s="51">
        <f t="shared" si="18"/>
        <v>668</v>
      </c>
      <c r="M97" s="51"/>
      <c r="N97" s="51" t="s">
        <v>90</v>
      </c>
      <c r="O97" s="51"/>
      <c r="P97" s="51" t="s">
        <v>90</v>
      </c>
      <c r="Q97" s="51"/>
      <c r="R97" s="51"/>
      <c r="S97" s="51"/>
      <c r="T97" s="51"/>
      <c r="U97" s="51"/>
      <c r="V97" s="51">
        <v>20</v>
      </c>
      <c r="W97" s="51"/>
      <c r="X97" s="51">
        <f t="shared" si="19"/>
        <v>20</v>
      </c>
      <c r="Y97" s="51">
        <v>20</v>
      </c>
      <c r="Z97" s="51"/>
      <c r="AA97" s="51"/>
      <c r="AB97" s="51">
        <f t="shared" si="15"/>
        <v>20</v>
      </c>
      <c r="AC97" s="51"/>
      <c r="AD97" s="51">
        <v>20</v>
      </c>
      <c r="AE97" s="51"/>
      <c r="AF97" s="51"/>
      <c r="AG97" s="51"/>
      <c r="AH97" s="51">
        <f t="shared" si="21"/>
        <v>20</v>
      </c>
      <c r="AI97" s="51" t="s">
        <v>93</v>
      </c>
      <c r="AJ97" s="51">
        <v>3</v>
      </c>
      <c r="AK97" s="53" t="s">
        <v>529</v>
      </c>
      <c r="AL97" s="55">
        <v>46107</v>
      </c>
      <c r="AM97" s="51"/>
      <c r="AN97" s="51"/>
      <c r="AO97" s="45"/>
      <c r="AP97" s="45"/>
      <c r="AQ97" s="45"/>
      <c r="AR97" s="45"/>
      <c r="AS97" s="45"/>
      <c r="AT97" s="45"/>
      <c r="AU97" s="45"/>
      <c r="AV97" s="45"/>
      <c r="AW97" s="45"/>
      <c r="AX97" s="45"/>
    </row>
    <row r="98" spans="1:50" ht="60" hidden="1" customHeight="1" x14ac:dyDescent="0.3">
      <c r="A98" s="52">
        <v>2352</v>
      </c>
      <c r="B98" s="53" t="s">
        <v>737</v>
      </c>
      <c r="C98" s="54">
        <v>101288000</v>
      </c>
      <c r="D98" s="53" t="s">
        <v>738</v>
      </c>
      <c r="E98" s="53" t="s">
        <v>857</v>
      </c>
      <c r="F98" s="53" t="s">
        <v>737</v>
      </c>
      <c r="G98" s="53" t="s">
        <v>527</v>
      </c>
      <c r="H98" s="53"/>
      <c r="I98" s="58" t="s">
        <v>739</v>
      </c>
      <c r="J98" s="51"/>
      <c r="K98" s="51">
        <v>2537</v>
      </c>
      <c r="L98" s="51">
        <f t="shared" si="18"/>
        <v>2537</v>
      </c>
      <c r="M98" s="51"/>
      <c r="N98" s="51" t="s">
        <v>90</v>
      </c>
      <c r="O98" s="51"/>
      <c r="P98" s="51" t="s">
        <v>90</v>
      </c>
      <c r="Q98" s="51"/>
      <c r="R98" s="51"/>
      <c r="S98" s="51"/>
      <c r="T98" s="51"/>
      <c r="U98" s="51">
        <v>37</v>
      </c>
      <c r="V98" s="51"/>
      <c r="W98" s="51"/>
      <c r="X98" s="51">
        <f t="shared" si="19"/>
        <v>37</v>
      </c>
      <c r="Y98" s="51">
        <v>37</v>
      </c>
      <c r="Z98" s="51"/>
      <c r="AA98" s="51"/>
      <c r="AB98" s="51">
        <f t="shared" si="15"/>
        <v>37</v>
      </c>
      <c r="AC98" s="51">
        <v>37</v>
      </c>
      <c r="AD98" s="51"/>
      <c r="AE98" s="51"/>
      <c r="AF98" s="51"/>
      <c r="AG98" s="51"/>
      <c r="AH98" s="51">
        <f t="shared" si="21"/>
        <v>37</v>
      </c>
      <c r="AI98" s="51" t="s">
        <v>93</v>
      </c>
      <c r="AJ98" s="51">
        <v>3</v>
      </c>
      <c r="AK98" s="53" t="s">
        <v>529</v>
      </c>
      <c r="AL98" s="55">
        <v>46106</v>
      </c>
      <c r="AM98" s="51"/>
      <c r="AN98" s="51"/>
      <c r="AO98" s="45"/>
      <c r="AP98" s="45"/>
      <c r="AQ98" s="45"/>
      <c r="AR98" s="45"/>
      <c r="AS98" s="45"/>
      <c r="AT98" s="45"/>
      <c r="AU98" s="45"/>
      <c r="AV98" s="45"/>
      <c r="AW98" s="45"/>
      <c r="AX98" s="45"/>
    </row>
    <row r="99" spans="1:50" ht="60" hidden="1" customHeight="1" x14ac:dyDescent="0.3">
      <c r="A99" s="52">
        <v>2352</v>
      </c>
      <c r="B99" s="53" t="s">
        <v>740</v>
      </c>
      <c r="C99" s="54">
        <v>102116000</v>
      </c>
      <c r="D99" s="53" t="s">
        <v>741</v>
      </c>
      <c r="E99" s="53" t="s">
        <v>866</v>
      </c>
      <c r="F99" s="53" t="s">
        <v>737</v>
      </c>
      <c r="G99" s="53" t="s">
        <v>527</v>
      </c>
      <c r="H99" s="53" t="s">
        <v>742</v>
      </c>
      <c r="I99" s="58" t="s">
        <v>528</v>
      </c>
      <c r="J99" s="51"/>
      <c r="K99" s="51">
        <v>2217</v>
      </c>
      <c r="L99" s="51">
        <f t="shared" si="18"/>
        <v>2217</v>
      </c>
      <c r="M99" s="51"/>
      <c r="N99" s="51" t="s">
        <v>90</v>
      </c>
      <c r="O99" s="51"/>
      <c r="P99" s="51" t="s">
        <v>90</v>
      </c>
      <c r="Q99" s="51"/>
      <c r="R99" s="51"/>
      <c r="S99" s="51"/>
      <c r="T99" s="51"/>
      <c r="U99" s="51">
        <v>23</v>
      </c>
      <c r="V99" s="51">
        <v>8</v>
      </c>
      <c r="W99" s="51"/>
      <c r="X99" s="51">
        <f t="shared" si="19"/>
        <v>31</v>
      </c>
      <c r="Y99" s="51">
        <v>31</v>
      </c>
      <c r="Z99" s="51"/>
      <c r="AA99" s="51"/>
      <c r="AB99" s="51">
        <f t="shared" si="15"/>
        <v>31</v>
      </c>
      <c r="AC99" s="51"/>
      <c r="AD99" s="51">
        <v>31</v>
      </c>
      <c r="AE99" s="51"/>
      <c r="AF99" s="51"/>
      <c r="AG99" s="51"/>
      <c r="AH99" s="51">
        <f t="shared" si="21"/>
        <v>31</v>
      </c>
      <c r="AI99" s="51" t="s">
        <v>92</v>
      </c>
      <c r="AJ99" s="51">
        <v>3</v>
      </c>
      <c r="AK99" s="53" t="s">
        <v>529</v>
      </c>
      <c r="AL99" s="55">
        <v>46114</v>
      </c>
      <c r="AM99" s="51"/>
      <c r="AN99" s="51"/>
      <c r="AO99" s="45"/>
      <c r="AP99" s="45"/>
      <c r="AQ99" s="45"/>
      <c r="AR99" s="45"/>
      <c r="AS99" s="45"/>
      <c r="AT99" s="45"/>
      <c r="AU99" s="45"/>
      <c r="AV99" s="45"/>
      <c r="AW99" s="45"/>
      <c r="AX99" s="45"/>
    </row>
    <row r="100" spans="1:50" ht="60" hidden="1" customHeight="1" x14ac:dyDescent="0.3">
      <c r="A100" s="52">
        <v>2352</v>
      </c>
      <c r="B100" s="53" t="s">
        <v>743</v>
      </c>
      <c r="C100" s="54">
        <v>102111000</v>
      </c>
      <c r="D100" s="53" t="s">
        <v>744</v>
      </c>
      <c r="E100" s="53" t="s">
        <v>867</v>
      </c>
      <c r="F100" s="53" t="s">
        <v>737</v>
      </c>
      <c r="G100" s="53" t="s">
        <v>527</v>
      </c>
      <c r="H100" s="53">
        <v>122</v>
      </c>
      <c r="I100" s="58" t="s">
        <v>603</v>
      </c>
      <c r="J100" s="51"/>
      <c r="K100" s="51">
        <v>1008</v>
      </c>
      <c r="L100" s="51">
        <f t="shared" si="18"/>
        <v>1008</v>
      </c>
      <c r="M100" s="51"/>
      <c r="N100" s="51" t="s">
        <v>90</v>
      </c>
      <c r="O100" s="51"/>
      <c r="P100" s="51" t="s">
        <v>90</v>
      </c>
      <c r="Q100" s="51"/>
      <c r="R100" s="51"/>
      <c r="S100" s="51"/>
      <c r="T100" s="51"/>
      <c r="U100" s="51">
        <v>5</v>
      </c>
      <c r="V100" s="51">
        <v>9</v>
      </c>
      <c r="W100" s="51"/>
      <c r="X100" s="51">
        <f t="shared" si="19"/>
        <v>14</v>
      </c>
      <c r="Y100" s="51">
        <v>14</v>
      </c>
      <c r="Z100" s="51"/>
      <c r="AA100" s="51"/>
      <c r="AB100" s="51">
        <f t="shared" si="15"/>
        <v>14</v>
      </c>
      <c r="AC100" s="51"/>
      <c r="AD100" s="51">
        <v>14</v>
      </c>
      <c r="AE100" s="51"/>
      <c r="AF100" s="51"/>
      <c r="AG100" s="51"/>
      <c r="AH100" s="51">
        <f t="shared" si="21"/>
        <v>14</v>
      </c>
      <c r="AI100" s="51" t="s">
        <v>92</v>
      </c>
      <c r="AJ100" s="51">
        <v>2</v>
      </c>
      <c r="AK100" s="53" t="s">
        <v>529</v>
      </c>
      <c r="AL100" s="55">
        <v>46114</v>
      </c>
      <c r="AM100" s="51"/>
      <c r="AN100" s="51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</row>
    <row r="101" spans="1:50" ht="60" hidden="1" customHeight="1" x14ac:dyDescent="0.3">
      <c r="A101" s="52">
        <v>2352</v>
      </c>
      <c r="B101" s="53" t="s">
        <v>745</v>
      </c>
      <c r="C101" s="54">
        <v>102119000</v>
      </c>
      <c r="D101" s="53" t="s">
        <v>746</v>
      </c>
      <c r="E101" s="53" t="s">
        <v>868</v>
      </c>
      <c r="F101" s="53" t="s">
        <v>737</v>
      </c>
      <c r="G101" s="53" t="s">
        <v>527</v>
      </c>
      <c r="H101" s="53" t="s">
        <v>747</v>
      </c>
      <c r="I101" s="58" t="s">
        <v>576</v>
      </c>
      <c r="J101" s="51"/>
      <c r="K101" s="51">
        <v>1283</v>
      </c>
      <c r="L101" s="51">
        <f t="shared" si="18"/>
        <v>1283</v>
      </c>
      <c r="M101" s="51"/>
      <c r="N101" s="51" t="s">
        <v>90</v>
      </c>
      <c r="O101" s="51"/>
      <c r="P101" s="51" t="s">
        <v>90</v>
      </c>
      <c r="Q101" s="51"/>
      <c r="R101" s="51"/>
      <c r="S101" s="51"/>
      <c r="T101" s="51"/>
      <c r="U101" s="51">
        <v>14</v>
      </c>
      <c r="V101" s="51">
        <v>5</v>
      </c>
      <c r="W101" s="51"/>
      <c r="X101" s="51">
        <f t="shared" si="19"/>
        <v>19</v>
      </c>
      <c r="Y101" s="51">
        <v>19</v>
      </c>
      <c r="Z101" s="51"/>
      <c r="AA101" s="51"/>
      <c r="AB101" s="51">
        <f t="shared" si="15"/>
        <v>19</v>
      </c>
      <c r="AC101" s="51"/>
      <c r="AD101" s="51">
        <v>19</v>
      </c>
      <c r="AE101" s="51"/>
      <c r="AF101" s="51"/>
      <c r="AG101" s="51"/>
      <c r="AH101" s="51">
        <f t="shared" si="21"/>
        <v>19</v>
      </c>
      <c r="AI101" s="51" t="s">
        <v>93</v>
      </c>
      <c r="AJ101" s="51">
        <v>3</v>
      </c>
      <c r="AK101" s="53" t="s">
        <v>529</v>
      </c>
      <c r="AL101" s="55">
        <v>46114</v>
      </c>
      <c r="AM101" s="51"/>
      <c r="AN101" s="51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</row>
    <row r="102" spans="1:50" ht="60" hidden="1" customHeight="1" x14ac:dyDescent="0.3">
      <c r="A102" s="52">
        <v>2352</v>
      </c>
      <c r="B102" s="53" t="s">
        <v>748</v>
      </c>
      <c r="C102" s="54">
        <v>102118000</v>
      </c>
      <c r="D102" s="53" t="s">
        <v>749</v>
      </c>
      <c r="E102" s="53" t="s">
        <v>869</v>
      </c>
      <c r="F102" s="53" t="s">
        <v>737</v>
      </c>
      <c r="G102" s="53" t="s">
        <v>527</v>
      </c>
      <c r="H102" s="53">
        <v>44</v>
      </c>
      <c r="I102" s="58" t="s">
        <v>750</v>
      </c>
      <c r="J102" s="51"/>
      <c r="K102" s="51">
        <v>1283</v>
      </c>
      <c r="L102" s="51">
        <f t="shared" si="18"/>
        <v>1283</v>
      </c>
      <c r="M102" s="51"/>
      <c r="N102" s="51" t="s">
        <v>90</v>
      </c>
      <c r="O102" s="51"/>
      <c r="P102" s="51" t="s">
        <v>90</v>
      </c>
      <c r="Q102" s="51"/>
      <c r="R102" s="51"/>
      <c r="S102" s="51"/>
      <c r="T102" s="51"/>
      <c r="U102" s="51">
        <v>18</v>
      </c>
      <c r="V102" s="51"/>
      <c r="W102" s="51"/>
      <c r="X102" s="51">
        <f t="shared" si="19"/>
        <v>18</v>
      </c>
      <c r="Y102" s="51">
        <v>18</v>
      </c>
      <c r="Z102" s="51"/>
      <c r="AA102" s="51"/>
      <c r="AB102" s="51">
        <f t="shared" si="15"/>
        <v>18</v>
      </c>
      <c r="AC102" s="51"/>
      <c r="AD102" s="51">
        <v>18</v>
      </c>
      <c r="AE102" s="51"/>
      <c r="AF102" s="51"/>
      <c r="AG102" s="51"/>
      <c r="AH102" s="51">
        <f t="shared" si="21"/>
        <v>18</v>
      </c>
      <c r="AI102" s="51" t="s">
        <v>93</v>
      </c>
      <c r="AJ102" s="51">
        <v>3</v>
      </c>
      <c r="AK102" s="53" t="s">
        <v>529</v>
      </c>
      <c r="AL102" s="55">
        <v>46114</v>
      </c>
      <c r="AM102" s="51"/>
      <c r="AN102" s="51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</row>
    <row r="103" spans="1:50" ht="60" hidden="1" customHeight="1" x14ac:dyDescent="0.3">
      <c r="A103" s="52">
        <v>2353</v>
      </c>
      <c r="B103" s="53" t="s">
        <v>751</v>
      </c>
      <c r="C103" s="54">
        <v>101296000</v>
      </c>
      <c r="D103" s="53" t="s">
        <v>752</v>
      </c>
      <c r="E103" s="53" t="s">
        <v>858</v>
      </c>
      <c r="F103" s="53" t="s">
        <v>751</v>
      </c>
      <c r="G103" s="53" t="s">
        <v>527</v>
      </c>
      <c r="H103" s="53"/>
      <c r="I103" s="58" t="s">
        <v>580</v>
      </c>
      <c r="J103" s="51"/>
      <c r="K103" s="51">
        <v>927</v>
      </c>
      <c r="L103" s="51">
        <f t="shared" si="18"/>
        <v>927</v>
      </c>
      <c r="M103" s="51"/>
      <c r="N103" s="51" t="s">
        <v>90</v>
      </c>
      <c r="O103" s="51"/>
      <c r="P103" s="51" t="s">
        <v>90</v>
      </c>
      <c r="Q103" s="51"/>
      <c r="R103" s="51"/>
      <c r="S103" s="51"/>
      <c r="T103" s="51"/>
      <c r="U103" s="51">
        <v>20</v>
      </c>
      <c r="V103" s="51"/>
      <c r="W103" s="51"/>
      <c r="X103" s="51">
        <f t="shared" si="19"/>
        <v>20</v>
      </c>
      <c r="Y103" s="51">
        <v>20</v>
      </c>
      <c r="Z103" s="51"/>
      <c r="AA103" s="51"/>
      <c r="AB103" s="51">
        <f t="shared" si="15"/>
        <v>20</v>
      </c>
      <c r="AC103" s="51">
        <v>20</v>
      </c>
      <c r="AD103" s="51"/>
      <c r="AE103" s="51"/>
      <c r="AF103" s="51"/>
      <c r="AG103" s="51"/>
      <c r="AH103" s="51">
        <f t="shared" si="21"/>
        <v>20</v>
      </c>
      <c r="AI103" s="51" t="s">
        <v>93</v>
      </c>
      <c r="AJ103" s="51">
        <v>3</v>
      </c>
      <c r="AK103" s="53" t="s">
        <v>529</v>
      </c>
      <c r="AL103" s="55">
        <v>46107</v>
      </c>
      <c r="AM103" s="51"/>
      <c r="AN103" s="51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</row>
    <row r="104" spans="1:50" ht="60" hidden="1" customHeight="1" x14ac:dyDescent="0.3">
      <c r="A104" s="52">
        <v>2353</v>
      </c>
      <c r="B104" s="53" t="s">
        <v>751</v>
      </c>
      <c r="C104" s="54">
        <v>101297000</v>
      </c>
      <c r="D104" s="53" t="s">
        <v>753</v>
      </c>
      <c r="E104" s="53" t="s">
        <v>859</v>
      </c>
      <c r="F104" s="53" t="s">
        <v>751</v>
      </c>
      <c r="G104" s="53" t="s">
        <v>527</v>
      </c>
      <c r="H104" s="53"/>
      <c r="I104" s="58" t="s">
        <v>603</v>
      </c>
      <c r="J104" s="51"/>
      <c r="K104" s="51">
        <v>840</v>
      </c>
      <c r="L104" s="51">
        <f t="shared" si="18"/>
        <v>840</v>
      </c>
      <c r="M104" s="51"/>
      <c r="N104" s="51" t="s">
        <v>90</v>
      </c>
      <c r="O104" s="51"/>
      <c r="P104" s="51" t="s">
        <v>90</v>
      </c>
      <c r="Q104" s="51"/>
      <c r="R104" s="51"/>
      <c r="S104" s="51"/>
      <c r="T104" s="51"/>
      <c r="U104" s="51">
        <v>14</v>
      </c>
      <c r="V104" s="51"/>
      <c r="W104" s="51"/>
      <c r="X104" s="51">
        <f t="shared" si="19"/>
        <v>14</v>
      </c>
      <c r="Y104" s="51">
        <v>14</v>
      </c>
      <c r="Z104" s="51"/>
      <c r="AA104" s="51"/>
      <c r="AB104" s="51">
        <f t="shared" si="15"/>
        <v>14</v>
      </c>
      <c r="AC104" s="51">
        <v>14</v>
      </c>
      <c r="AD104" s="51"/>
      <c r="AE104" s="51"/>
      <c r="AF104" s="51"/>
      <c r="AG104" s="51"/>
      <c r="AH104" s="51">
        <f t="shared" si="21"/>
        <v>14</v>
      </c>
      <c r="AI104" s="51" t="s">
        <v>93</v>
      </c>
      <c r="AJ104" s="51">
        <v>3</v>
      </c>
      <c r="AK104" s="53" t="s">
        <v>529</v>
      </c>
      <c r="AL104" s="55">
        <v>46107</v>
      </c>
      <c r="AM104" s="51"/>
      <c r="AN104" s="51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</row>
    <row r="105" spans="1:50" ht="60" hidden="1" customHeight="1" x14ac:dyDescent="0.3">
      <c r="A105" s="52">
        <v>2353</v>
      </c>
      <c r="B105" s="53" t="s">
        <v>751</v>
      </c>
      <c r="C105" s="54">
        <v>101129900</v>
      </c>
      <c r="D105" s="53" t="s">
        <v>754</v>
      </c>
      <c r="E105" s="53" t="s">
        <v>870</v>
      </c>
      <c r="F105" s="53" t="s">
        <v>751</v>
      </c>
      <c r="G105" s="53" t="s">
        <v>527</v>
      </c>
      <c r="H105" s="53"/>
      <c r="I105" s="58" t="s">
        <v>727</v>
      </c>
      <c r="J105" s="51"/>
      <c r="K105" s="51">
        <v>2004</v>
      </c>
      <c r="L105" s="51">
        <f t="shared" si="18"/>
        <v>2004</v>
      </c>
      <c r="M105" s="51"/>
      <c r="N105" s="51" t="s">
        <v>90</v>
      </c>
      <c r="O105" s="51"/>
      <c r="P105" s="51" t="s">
        <v>90</v>
      </c>
      <c r="Q105" s="51"/>
      <c r="R105" s="51"/>
      <c r="S105" s="51"/>
      <c r="T105" s="51"/>
      <c r="U105" s="51">
        <v>29</v>
      </c>
      <c r="V105" s="51"/>
      <c r="W105" s="51"/>
      <c r="X105" s="51">
        <f t="shared" si="19"/>
        <v>29</v>
      </c>
      <c r="Y105" s="51">
        <v>29</v>
      </c>
      <c r="Z105" s="51"/>
      <c r="AA105" s="51"/>
      <c r="AB105" s="51">
        <f t="shared" si="15"/>
        <v>29</v>
      </c>
      <c r="AC105" s="51">
        <v>29</v>
      </c>
      <c r="AD105" s="51"/>
      <c r="AE105" s="51"/>
      <c r="AF105" s="51"/>
      <c r="AG105" s="51"/>
      <c r="AH105" s="51">
        <f t="shared" si="21"/>
        <v>29</v>
      </c>
      <c r="AI105" s="51" t="s">
        <v>93</v>
      </c>
      <c r="AJ105" s="51">
        <v>4</v>
      </c>
      <c r="AK105" s="53" t="s">
        <v>529</v>
      </c>
      <c r="AL105" s="55">
        <v>46107</v>
      </c>
      <c r="AM105" s="51"/>
      <c r="AN105" s="51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</row>
    <row r="106" spans="1:50" ht="60" hidden="1" customHeight="1" x14ac:dyDescent="0.3">
      <c r="A106" s="52">
        <v>2354</v>
      </c>
      <c r="B106" s="53" t="s">
        <v>755</v>
      </c>
      <c r="C106" s="54">
        <v>101213000</v>
      </c>
      <c r="D106" s="53" t="s">
        <v>756</v>
      </c>
      <c r="E106" s="53" t="s">
        <v>860</v>
      </c>
      <c r="F106" s="53" t="s">
        <v>755</v>
      </c>
      <c r="G106" s="53" t="s">
        <v>527</v>
      </c>
      <c r="H106" s="53"/>
      <c r="I106" s="51" t="s">
        <v>719</v>
      </c>
      <c r="J106" s="51"/>
      <c r="K106" s="51">
        <v>566</v>
      </c>
      <c r="L106" s="51">
        <f t="shared" si="18"/>
        <v>566</v>
      </c>
      <c r="M106" s="51" t="s">
        <v>90</v>
      </c>
      <c r="N106" s="51"/>
      <c r="O106" s="51"/>
      <c r="P106" s="51" t="s">
        <v>90</v>
      </c>
      <c r="Q106" s="51" t="s">
        <v>111</v>
      </c>
      <c r="R106" s="51"/>
      <c r="S106" s="51"/>
      <c r="T106" s="51"/>
      <c r="U106" s="51"/>
      <c r="V106" s="51">
        <v>16</v>
      </c>
      <c r="W106" s="51"/>
      <c r="X106" s="51">
        <f t="shared" si="19"/>
        <v>16</v>
      </c>
      <c r="Y106" s="51">
        <v>16</v>
      </c>
      <c r="Z106" s="51"/>
      <c r="AA106" s="51"/>
      <c r="AB106" s="51">
        <f t="shared" si="15"/>
        <v>16</v>
      </c>
      <c r="AC106" s="51"/>
      <c r="AD106" s="51">
        <v>16</v>
      </c>
      <c r="AE106" s="51"/>
      <c r="AF106" s="51"/>
      <c r="AG106" s="51"/>
      <c r="AH106" s="51">
        <f t="shared" si="21"/>
        <v>16</v>
      </c>
      <c r="AI106" s="51" t="s">
        <v>185</v>
      </c>
      <c r="AJ106" s="51">
        <v>4</v>
      </c>
      <c r="AK106" s="53" t="s">
        <v>529</v>
      </c>
      <c r="AL106" s="55">
        <v>46105</v>
      </c>
      <c r="AM106" s="51"/>
      <c r="AN106" s="51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</row>
    <row r="107" spans="1:50" ht="60" hidden="1" customHeight="1" x14ac:dyDescent="0.3">
      <c r="A107" s="52">
        <v>2355</v>
      </c>
      <c r="B107" s="53" t="s">
        <v>757</v>
      </c>
      <c r="C107" s="54">
        <v>101158000</v>
      </c>
      <c r="D107" s="53" t="s">
        <v>758</v>
      </c>
      <c r="E107" s="53" t="s">
        <v>861</v>
      </c>
      <c r="F107" s="53" t="s">
        <v>757</v>
      </c>
      <c r="G107" s="53" t="s">
        <v>527</v>
      </c>
      <c r="H107" s="53" t="s">
        <v>759</v>
      </c>
      <c r="I107" s="53" t="str">
        <f t="shared" ref="I107:I113" si="22">1&amp;"-"&amp;X107</f>
        <v>1-99</v>
      </c>
      <c r="J107" s="51">
        <v>1715</v>
      </c>
      <c r="K107" s="51"/>
      <c r="L107" s="51">
        <f t="shared" si="18"/>
        <v>1715</v>
      </c>
      <c r="M107" s="51" t="s">
        <v>90</v>
      </c>
      <c r="N107" s="51"/>
      <c r="O107" s="51"/>
      <c r="P107" s="51" t="s">
        <v>92</v>
      </c>
      <c r="Q107" s="51"/>
      <c r="R107" s="51"/>
      <c r="S107" s="51"/>
      <c r="T107" s="51"/>
      <c r="U107" s="51"/>
      <c r="V107" s="51">
        <v>99</v>
      </c>
      <c r="W107" s="51"/>
      <c r="X107" s="51">
        <f t="shared" si="19"/>
        <v>99</v>
      </c>
      <c r="Y107" s="51"/>
      <c r="Z107" s="51">
        <v>49</v>
      </c>
      <c r="AA107" s="51"/>
      <c r="AB107" s="51">
        <f t="shared" si="15"/>
        <v>49</v>
      </c>
      <c r="AC107" s="51"/>
      <c r="AD107" s="51">
        <v>1</v>
      </c>
      <c r="AE107" s="51">
        <v>46</v>
      </c>
      <c r="AF107" s="51">
        <v>2</v>
      </c>
      <c r="AG107" s="51"/>
      <c r="AH107" s="51">
        <f t="shared" si="21"/>
        <v>49</v>
      </c>
      <c r="AI107" s="51"/>
      <c r="AJ107" s="51"/>
      <c r="AK107" s="53" t="s">
        <v>529</v>
      </c>
      <c r="AL107" s="55">
        <v>46107</v>
      </c>
      <c r="AM107" s="53" t="s">
        <v>760</v>
      </c>
      <c r="AN107" s="53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</row>
    <row r="108" spans="1:50" ht="60" hidden="1" customHeight="1" x14ac:dyDescent="0.3">
      <c r="A108" s="52">
        <v>2355</v>
      </c>
      <c r="B108" s="53" t="s">
        <v>761</v>
      </c>
      <c r="C108" s="54">
        <v>101159000</v>
      </c>
      <c r="D108" s="53" t="s">
        <v>762</v>
      </c>
      <c r="E108" s="53" t="s">
        <v>862</v>
      </c>
      <c r="F108" s="53" t="s">
        <v>757</v>
      </c>
      <c r="G108" s="53" t="s">
        <v>527</v>
      </c>
      <c r="H108" s="53" t="s">
        <v>763</v>
      </c>
      <c r="I108" s="53" t="str">
        <f t="shared" si="22"/>
        <v>1-97</v>
      </c>
      <c r="J108" s="51">
        <v>1680</v>
      </c>
      <c r="K108" s="53"/>
      <c r="L108" s="51">
        <f t="shared" si="18"/>
        <v>1680</v>
      </c>
      <c r="M108" s="51" t="s">
        <v>90</v>
      </c>
      <c r="N108" s="51"/>
      <c r="O108" s="51"/>
      <c r="P108" s="51" t="s">
        <v>92</v>
      </c>
      <c r="Q108" s="51"/>
      <c r="R108" s="51"/>
      <c r="S108" s="51"/>
      <c r="T108" s="51"/>
      <c r="U108" s="51"/>
      <c r="V108" s="51">
        <v>97</v>
      </c>
      <c r="W108" s="51"/>
      <c r="X108" s="51">
        <f t="shared" si="19"/>
        <v>97</v>
      </c>
      <c r="Y108" s="51"/>
      <c r="Z108" s="51">
        <v>48</v>
      </c>
      <c r="AA108" s="51"/>
      <c r="AB108" s="51">
        <f t="shared" si="15"/>
        <v>48</v>
      </c>
      <c r="AC108" s="51"/>
      <c r="AD108" s="51">
        <v>1</v>
      </c>
      <c r="AE108" s="51">
        <v>45</v>
      </c>
      <c r="AF108" s="51">
        <v>2</v>
      </c>
      <c r="AG108" s="51"/>
      <c r="AH108" s="51">
        <f t="shared" si="21"/>
        <v>48</v>
      </c>
      <c r="AI108" s="51"/>
      <c r="AJ108" s="51"/>
      <c r="AK108" s="53" t="s">
        <v>529</v>
      </c>
      <c r="AL108" s="55">
        <v>46107</v>
      </c>
      <c r="AM108" s="53" t="s">
        <v>760</v>
      </c>
      <c r="AN108" s="53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</row>
    <row r="109" spans="1:50" ht="60" hidden="1" customHeight="1" x14ac:dyDescent="0.3">
      <c r="A109" s="52">
        <v>2355</v>
      </c>
      <c r="B109" s="53" t="s">
        <v>764</v>
      </c>
      <c r="C109" s="54">
        <v>101161000</v>
      </c>
      <c r="D109" s="53" t="s">
        <v>765</v>
      </c>
      <c r="E109" s="53" t="s">
        <v>863</v>
      </c>
      <c r="F109" s="53" t="s">
        <v>757</v>
      </c>
      <c r="G109" s="53" t="s">
        <v>527</v>
      </c>
      <c r="H109" s="53" t="s">
        <v>766</v>
      </c>
      <c r="I109" s="53" t="str">
        <f t="shared" si="22"/>
        <v>1-98</v>
      </c>
      <c r="J109" s="51">
        <v>1715</v>
      </c>
      <c r="K109" s="53"/>
      <c r="L109" s="51">
        <f t="shared" si="18"/>
        <v>1715</v>
      </c>
      <c r="M109" s="51" t="s">
        <v>90</v>
      </c>
      <c r="N109" s="51"/>
      <c r="O109" s="51"/>
      <c r="P109" s="51" t="s">
        <v>92</v>
      </c>
      <c r="Q109" s="51"/>
      <c r="R109" s="51"/>
      <c r="S109" s="51"/>
      <c r="T109" s="51"/>
      <c r="U109" s="51"/>
      <c r="V109" s="51">
        <v>98</v>
      </c>
      <c r="W109" s="51"/>
      <c r="X109" s="51">
        <f t="shared" si="19"/>
        <v>98</v>
      </c>
      <c r="Y109" s="53"/>
      <c r="Z109" s="51">
        <v>49</v>
      </c>
      <c r="AA109" s="53"/>
      <c r="AB109" s="51">
        <f t="shared" si="15"/>
        <v>49</v>
      </c>
      <c r="AC109" s="53"/>
      <c r="AD109" s="53">
        <v>1</v>
      </c>
      <c r="AE109" s="53">
        <v>47</v>
      </c>
      <c r="AF109" s="53">
        <v>1</v>
      </c>
      <c r="AG109" s="53"/>
      <c r="AH109" s="51">
        <f t="shared" si="21"/>
        <v>49</v>
      </c>
      <c r="AI109" s="51"/>
      <c r="AJ109" s="51"/>
      <c r="AK109" s="53" t="s">
        <v>529</v>
      </c>
      <c r="AL109" s="55">
        <v>46107</v>
      </c>
      <c r="AM109" s="53" t="s">
        <v>760</v>
      </c>
      <c r="AN109" s="53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</row>
    <row r="110" spans="1:50" ht="60" hidden="1" customHeight="1" x14ac:dyDescent="0.3">
      <c r="A110" s="52">
        <v>2355</v>
      </c>
      <c r="B110" s="53" t="s">
        <v>767</v>
      </c>
      <c r="C110" s="54">
        <v>101305000</v>
      </c>
      <c r="D110" s="53" t="s">
        <v>768</v>
      </c>
      <c r="E110" s="53" t="s">
        <v>864</v>
      </c>
      <c r="F110" s="53" t="s">
        <v>757</v>
      </c>
      <c r="G110" s="53" t="s">
        <v>527</v>
      </c>
      <c r="H110" s="53" t="s">
        <v>769</v>
      </c>
      <c r="I110" s="53" t="str">
        <f t="shared" si="22"/>
        <v>1-95</v>
      </c>
      <c r="J110" s="51">
        <v>1680</v>
      </c>
      <c r="K110" s="53"/>
      <c r="L110" s="51">
        <f t="shared" si="18"/>
        <v>1680</v>
      </c>
      <c r="M110" s="51" t="s">
        <v>90</v>
      </c>
      <c r="N110" s="51"/>
      <c r="O110" s="51"/>
      <c r="P110" s="51" t="s">
        <v>92</v>
      </c>
      <c r="Q110" s="51"/>
      <c r="R110" s="51"/>
      <c r="S110" s="51"/>
      <c r="T110" s="51"/>
      <c r="U110" s="51"/>
      <c r="V110" s="51">
        <v>95</v>
      </c>
      <c r="W110" s="51"/>
      <c r="X110" s="51">
        <f t="shared" si="19"/>
        <v>95</v>
      </c>
      <c r="Y110" s="53"/>
      <c r="Z110" s="51">
        <v>48</v>
      </c>
      <c r="AA110" s="53"/>
      <c r="AB110" s="51">
        <f t="shared" si="15"/>
        <v>48</v>
      </c>
      <c r="AC110" s="53"/>
      <c r="AD110" s="53">
        <v>2</v>
      </c>
      <c r="AE110" s="53">
        <v>45</v>
      </c>
      <c r="AF110" s="53">
        <v>1</v>
      </c>
      <c r="AG110" s="53"/>
      <c r="AH110" s="51">
        <f t="shared" si="21"/>
        <v>48</v>
      </c>
      <c r="AI110" s="51"/>
      <c r="AJ110" s="51"/>
      <c r="AK110" s="53" t="s">
        <v>529</v>
      </c>
      <c r="AL110" s="55">
        <v>46107</v>
      </c>
      <c r="AM110" s="53" t="s">
        <v>760</v>
      </c>
      <c r="AN110" s="53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</row>
    <row r="111" spans="1:50" ht="60" hidden="1" customHeight="1" x14ac:dyDescent="0.3">
      <c r="A111" s="52">
        <v>2355</v>
      </c>
      <c r="B111" s="53" t="s">
        <v>770</v>
      </c>
      <c r="C111" s="54">
        <v>101303000</v>
      </c>
      <c r="D111" s="53" t="s">
        <v>771</v>
      </c>
      <c r="E111" s="53" t="s">
        <v>871</v>
      </c>
      <c r="F111" s="53" t="s">
        <v>757</v>
      </c>
      <c r="G111" s="53" t="s">
        <v>527</v>
      </c>
      <c r="H111" s="53" t="s">
        <v>772</v>
      </c>
      <c r="I111" s="53" t="str">
        <f t="shared" si="22"/>
        <v>1-103</v>
      </c>
      <c r="J111" s="51">
        <v>1785</v>
      </c>
      <c r="K111" s="53"/>
      <c r="L111" s="51">
        <f t="shared" si="18"/>
        <v>1785</v>
      </c>
      <c r="M111" s="51" t="s">
        <v>90</v>
      </c>
      <c r="N111" s="51"/>
      <c r="O111" s="51"/>
      <c r="P111" s="51" t="s">
        <v>92</v>
      </c>
      <c r="Q111" s="51"/>
      <c r="R111" s="51"/>
      <c r="S111" s="51"/>
      <c r="T111" s="51"/>
      <c r="U111" s="51"/>
      <c r="V111" s="51">
        <v>103</v>
      </c>
      <c r="W111" s="51"/>
      <c r="X111" s="51">
        <f t="shared" si="19"/>
        <v>103</v>
      </c>
      <c r="Y111" s="53"/>
      <c r="Z111" s="51">
        <v>51</v>
      </c>
      <c r="AA111" s="53"/>
      <c r="AB111" s="51">
        <f t="shared" si="15"/>
        <v>51</v>
      </c>
      <c r="AC111" s="53"/>
      <c r="AD111" s="53">
        <v>2</v>
      </c>
      <c r="AE111" s="53">
        <v>46</v>
      </c>
      <c r="AF111" s="53">
        <v>3</v>
      </c>
      <c r="AG111" s="53"/>
      <c r="AH111" s="51">
        <f t="shared" si="21"/>
        <v>51</v>
      </c>
      <c r="AI111" s="51"/>
      <c r="AJ111" s="51"/>
      <c r="AK111" s="53" t="s">
        <v>529</v>
      </c>
      <c r="AL111" s="55">
        <v>46107</v>
      </c>
      <c r="AM111" s="53" t="s">
        <v>760</v>
      </c>
      <c r="AN111" s="53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</row>
    <row r="112" spans="1:50" ht="60" hidden="1" customHeight="1" x14ac:dyDescent="0.3">
      <c r="A112" s="52">
        <v>2355</v>
      </c>
      <c r="B112" s="53" t="s">
        <v>773</v>
      </c>
      <c r="C112" s="54">
        <v>101304000</v>
      </c>
      <c r="D112" s="53" t="s">
        <v>774</v>
      </c>
      <c r="E112" s="53" t="s">
        <v>865</v>
      </c>
      <c r="F112" s="53" t="s">
        <v>757</v>
      </c>
      <c r="G112" s="53" t="s">
        <v>527</v>
      </c>
      <c r="H112" s="53" t="s">
        <v>775</v>
      </c>
      <c r="I112" s="53" t="str">
        <f t="shared" si="22"/>
        <v>1-95</v>
      </c>
      <c r="J112" s="51">
        <v>1645</v>
      </c>
      <c r="K112" s="53"/>
      <c r="L112" s="51">
        <f t="shared" si="18"/>
        <v>1645</v>
      </c>
      <c r="M112" s="51" t="s">
        <v>90</v>
      </c>
      <c r="N112" s="51"/>
      <c r="O112" s="51"/>
      <c r="P112" s="51" t="s">
        <v>92</v>
      </c>
      <c r="Q112" s="51"/>
      <c r="R112" s="51"/>
      <c r="S112" s="51"/>
      <c r="T112" s="51"/>
      <c r="U112" s="51"/>
      <c r="V112" s="51">
        <v>95</v>
      </c>
      <c r="W112" s="51"/>
      <c r="X112" s="51">
        <f t="shared" si="19"/>
        <v>95</v>
      </c>
      <c r="Y112" s="53"/>
      <c r="Z112" s="51">
        <v>47</v>
      </c>
      <c r="AA112" s="53"/>
      <c r="AB112" s="51">
        <f t="shared" si="15"/>
        <v>47</v>
      </c>
      <c r="AC112" s="53"/>
      <c r="AD112" s="53"/>
      <c r="AE112" s="53">
        <v>46</v>
      </c>
      <c r="AF112" s="53">
        <v>1</v>
      </c>
      <c r="AG112" s="53"/>
      <c r="AH112" s="51">
        <f t="shared" si="21"/>
        <v>47</v>
      </c>
      <c r="AI112" s="51"/>
      <c r="AJ112" s="51"/>
      <c r="AK112" s="53" t="s">
        <v>529</v>
      </c>
      <c r="AL112" s="55">
        <v>46107</v>
      </c>
      <c r="AM112" s="53" t="s">
        <v>760</v>
      </c>
      <c r="AN112" s="53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</row>
    <row r="113" spans="1:50" ht="60" hidden="1" customHeight="1" x14ac:dyDescent="0.3">
      <c r="A113" s="52">
        <v>2355</v>
      </c>
      <c r="B113" s="53" t="s">
        <v>776</v>
      </c>
      <c r="C113" s="54">
        <v>101110000</v>
      </c>
      <c r="D113" s="53" t="s">
        <v>777</v>
      </c>
      <c r="E113" s="53" t="e">
        <v>#N/A</v>
      </c>
      <c r="F113" s="53" t="s">
        <v>757</v>
      </c>
      <c r="G113" s="53" t="s">
        <v>527</v>
      </c>
      <c r="H113" s="53" t="s">
        <v>778</v>
      </c>
      <c r="I113" s="53" t="str">
        <f t="shared" si="22"/>
        <v>1-91</v>
      </c>
      <c r="J113" s="51">
        <v>1575</v>
      </c>
      <c r="K113" s="53"/>
      <c r="L113" s="51">
        <f t="shared" si="18"/>
        <v>1575</v>
      </c>
      <c r="M113" s="51" t="s">
        <v>90</v>
      </c>
      <c r="N113" s="51"/>
      <c r="O113" s="51"/>
      <c r="P113" s="51" t="s">
        <v>92</v>
      </c>
      <c r="Q113" s="51"/>
      <c r="R113" s="51"/>
      <c r="S113" s="51"/>
      <c r="T113" s="51"/>
      <c r="U113" s="51"/>
      <c r="V113" s="51">
        <v>91</v>
      </c>
      <c r="W113" s="51"/>
      <c r="X113" s="51">
        <f t="shared" si="19"/>
        <v>91</v>
      </c>
      <c r="Y113" s="53"/>
      <c r="Z113" s="51">
        <v>45</v>
      </c>
      <c r="AA113" s="53"/>
      <c r="AB113" s="51">
        <f t="shared" si="15"/>
        <v>45</v>
      </c>
      <c r="AC113" s="53"/>
      <c r="AD113" s="53"/>
      <c r="AE113" s="53">
        <v>44</v>
      </c>
      <c r="AF113" s="53">
        <v>1</v>
      </c>
      <c r="AG113" s="53"/>
      <c r="AH113" s="51">
        <f t="shared" si="21"/>
        <v>45</v>
      </c>
      <c r="AI113" s="51"/>
      <c r="AJ113" s="51"/>
      <c r="AK113" s="53" t="s">
        <v>529</v>
      </c>
      <c r="AL113" s="55">
        <v>46107</v>
      </c>
      <c r="AM113" s="53" t="s">
        <v>760</v>
      </c>
      <c r="AN113" s="53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</row>
    <row r="114" spans="1:50" ht="60" hidden="1" customHeight="1" x14ac:dyDescent="0.3">
      <c r="A114" s="61">
        <v>2356</v>
      </c>
      <c r="B114" s="53" t="s">
        <v>779</v>
      </c>
      <c r="C114" s="54">
        <v>102001000</v>
      </c>
      <c r="D114" s="53" t="s">
        <v>780</v>
      </c>
      <c r="E114" s="53" t="s">
        <v>492</v>
      </c>
      <c r="F114" s="53" t="s">
        <v>779</v>
      </c>
      <c r="G114" s="53" t="s">
        <v>527</v>
      </c>
      <c r="H114" s="53" t="s">
        <v>781</v>
      </c>
      <c r="I114" s="59" t="s">
        <v>555</v>
      </c>
      <c r="J114" s="53"/>
      <c r="K114" s="53">
        <v>813</v>
      </c>
      <c r="L114" s="51">
        <f t="shared" si="18"/>
        <v>813</v>
      </c>
      <c r="M114" s="51" t="s">
        <v>90</v>
      </c>
      <c r="N114" s="51"/>
      <c r="O114" s="51"/>
      <c r="P114" s="51" t="s">
        <v>92</v>
      </c>
      <c r="Q114" s="51"/>
      <c r="R114" s="51"/>
      <c r="S114" s="51"/>
      <c r="T114" s="51"/>
      <c r="U114" s="51"/>
      <c r="V114" s="51">
        <v>12</v>
      </c>
      <c r="W114" s="51"/>
      <c r="X114" s="51">
        <f t="shared" si="19"/>
        <v>12</v>
      </c>
      <c r="Y114" s="53">
        <v>12</v>
      </c>
      <c r="Z114" s="53"/>
      <c r="AA114" s="53"/>
      <c r="AB114" s="51">
        <f t="shared" si="15"/>
        <v>12</v>
      </c>
      <c r="AC114" s="53"/>
      <c r="AD114" s="53">
        <v>12</v>
      </c>
      <c r="AE114" s="53"/>
      <c r="AF114" s="53"/>
      <c r="AG114" s="53"/>
      <c r="AH114" s="51">
        <f t="shared" si="21"/>
        <v>12</v>
      </c>
      <c r="AI114" s="51" t="s">
        <v>93</v>
      </c>
      <c r="AJ114" s="51">
        <v>2</v>
      </c>
      <c r="AK114" s="53" t="s">
        <v>529</v>
      </c>
      <c r="AL114" s="55">
        <v>46112</v>
      </c>
      <c r="AM114" s="51"/>
      <c r="AN114" s="51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</row>
    <row r="115" spans="1:50" ht="60" hidden="1" customHeight="1" x14ac:dyDescent="0.3">
      <c r="A115" s="61">
        <v>2357</v>
      </c>
      <c r="B115" s="53"/>
      <c r="C115" s="51"/>
      <c r="D115" s="53"/>
      <c r="E115" s="53"/>
      <c r="F115" s="53" t="s">
        <v>782</v>
      </c>
      <c r="G115" s="53" t="s">
        <v>527</v>
      </c>
      <c r="H115" s="53"/>
      <c r="I115" s="53" t="str">
        <f t="shared" ref="I115:I116" si="23">1&amp;"-"&amp;X115</f>
        <v>1-0</v>
      </c>
      <c r="J115" s="53"/>
      <c r="K115" s="53"/>
      <c r="L115" s="51">
        <f t="shared" si="18"/>
        <v>0</v>
      </c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>
        <f t="shared" si="19"/>
        <v>0</v>
      </c>
      <c r="Y115" s="53"/>
      <c r="Z115" s="53"/>
      <c r="AA115" s="53"/>
      <c r="AB115" s="51">
        <f t="shared" si="15"/>
        <v>0</v>
      </c>
      <c r="AC115" s="53"/>
      <c r="AD115" s="53"/>
      <c r="AE115" s="53"/>
      <c r="AF115" s="53"/>
      <c r="AG115" s="53"/>
      <c r="AH115" s="51">
        <f t="shared" si="21"/>
        <v>0</v>
      </c>
      <c r="AI115" s="51"/>
      <c r="AJ115" s="51"/>
      <c r="AK115" s="53" t="s">
        <v>529</v>
      </c>
      <c r="AL115" s="55"/>
      <c r="AM115" s="53" t="s">
        <v>783</v>
      </c>
      <c r="AN115" s="51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</row>
    <row r="116" spans="1:50" ht="60" hidden="1" customHeight="1" x14ac:dyDescent="0.3">
      <c r="A116" s="61">
        <v>2196</v>
      </c>
      <c r="B116" s="68" t="s">
        <v>784</v>
      </c>
      <c r="C116" s="54">
        <v>102202000</v>
      </c>
      <c r="D116" s="53" t="s">
        <v>785</v>
      </c>
      <c r="E116" s="53" t="e">
        <v>#N/A</v>
      </c>
      <c r="F116" s="68" t="s">
        <v>751</v>
      </c>
      <c r="G116" s="53" t="s">
        <v>527</v>
      </c>
      <c r="H116" s="53">
        <v>141</v>
      </c>
      <c r="I116" s="53" t="str">
        <f t="shared" si="23"/>
        <v>1-23</v>
      </c>
      <c r="J116" s="53"/>
      <c r="K116" s="53">
        <v>1540</v>
      </c>
      <c r="L116" s="51">
        <f t="shared" si="18"/>
        <v>1540</v>
      </c>
      <c r="M116" s="51"/>
      <c r="N116" s="51" t="s">
        <v>90</v>
      </c>
      <c r="O116" s="51"/>
      <c r="P116" s="51" t="s">
        <v>90</v>
      </c>
      <c r="Q116" s="51"/>
      <c r="R116" s="51"/>
      <c r="S116" s="51"/>
      <c r="T116" s="51"/>
      <c r="U116" s="51">
        <v>23</v>
      </c>
      <c r="V116" s="51"/>
      <c r="W116" s="51"/>
      <c r="X116" s="51">
        <f t="shared" si="19"/>
        <v>23</v>
      </c>
      <c r="Y116" s="53">
        <f t="shared" ref="Y116" si="24">X116</f>
        <v>23</v>
      </c>
      <c r="Z116" s="53"/>
      <c r="AA116" s="53"/>
      <c r="AB116" s="51">
        <f t="shared" ref="AB116" si="25">SUM(Y116:AA116)</f>
        <v>23</v>
      </c>
      <c r="AC116" s="53">
        <v>23</v>
      </c>
      <c r="AD116" s="53"/>
      <c r="AE116" s="53"/>
      <c r="AF116" s="53"/>
      <c r="AG116" s="53"/>
      <c r="AH116" s="51">
        <f t="shared" si="21"/>
        <v>23</v>
      </c>
      <c r="AI116" s="51" t="s">
        <v>93</v>
      </c>
      <c r="AJ116" s="51">
        <v>3</v>
      </c>
      <c r="AK116" s="53" t="s">
        <v>529</v>
      </c>
      <c r="AL116" s="55">
        <v>46114</v>
      </c>
      <c r="AM116" s="51"/>
      <c r="AN116" s="53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</row>
    <row r="117" spans="1:50" ht="15.75" customHeight="1" x14ac:dyDescent="0.3">
      <c r="B117" s="60"/>
      <c r="C117" s="45"/>
      <c r="D117" s="60"/>
      <c r="E117" s="60"/>
      <c r="F117" s="60"/>
      <c r="G117" s="60"/>
      <c r="H117" s="60"/>
      <c r="I117" s="60"/>
      <c r="J117" s="60"/>
      <c r="K117" s="60"/>
      <c r="L117" s="60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45"/>
      <c r="AJ117" s="45"/>
      <c r="AK117" s="60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</row>
    <row r="118" spans="1:50" ht="15.75" customHeight="1" x14ac:dyDescent="0.3">
      <c r="B118" s="60"/>
      <c r="C118" s="45"/>
      <c r="D118" s="60"/>
      <c r="E118" s="60"/>
      <c r="F118" s="60"/>
      <c r="G118" s="60"/>
      <c r="H118" s="60"/>
      <c r="I118" s="60"/>
      <c r="J118" s="60"/>
      <c r="K118" s="60"/>
      <c r="L118" s="60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45"/>
      <c r="AJ118" s="45"/>
      <c r="AK118" s="60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</row>
    <row r="119" spans="1:50" ht="15.75" customHeight="1" x14ac:dyDescent="0.3">
      <c r="B119" s="60"/>
      <c r="C119" s="45"/>
      <c r="D119" s="60"/>
      <c r="E119" s="60"/>
      <c r="F119" s="60"/>
      <c r="G119" s="60"/>
      <c r="H119" s="60"/>
      <c r="I119" s="60"/>
      <c r="J119" s="60"/>
      <c r="K119" s="60"/>
      <c r="L119" s="60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45"/>
      <c r="AJ119" s="45"/>
      <c r="AK119" s="60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</row>
    <row r="120" spans="1:50" ht="15.75" customHeight="1" x14ac:dyDescent="0.3">
      <c r="B120" s="60"/>
      <c r="C120" s="45"/>
      <c r="D120" s="60"/>
      <c r="E120" s="60"/>
      <c r="F120" s="60"/>
      <c r="G120" s="60"/>
      <c r="H120" s="60"/>
      <c r="I120" s="60"/>
      <c r="J120" s="60"/>
      <c r="K120" s="60"/>
      <c r="L120" s="60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45"/>
      <c r="AJ120" s="45"/>
      <c r="AK120" s="60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</row>
    <row r="121" spans="1:50" ht="15.75" customHeight="1" x14ac:dyDescent="0.3">
      <c r="B121" s="60"/>
      <c r="C121" s="45"/>
      <c r="D121" s="60"/>
      <c r="E121" s="60"/>
      <c r="F121" s="60"/>
      <c r="G121" s="60"/>
      <c r="H121" s="60"/>
      <c r="I121" s="60"/>
      <c r="J121" s="60"/>
      <c r="K121" s="60"/>
      <c r="L121" s="60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45"/>
      <c r="AJ121" s="45"/>
      <c r="AK121" s="60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</row>
    <row r="122" spans="1:50" ht="15.75" customHeight="1" x14ac:dyDescent="0.3">
      <c r="B122" s="60"/>
      <c r="C122" s="45"/>
      <c r="D122" s="60"/>
      <c r="E122" s="60"/>
      <c r="F122" s="60"/>
      <c r="G122" s="60"/>
      <c r="H122" s="60"/>
      <c r="I122" s="60"/>
      <c r="J122" s="60"/>
      <c r="K122" s="60"/>
      <c r="L122" s="60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45"/>
      <c r="AJ122" s="45"/>
      <c r="AK122" s="60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</row>
    <row r="123" spans="1:50" ht="15.75" customHeight="1" x14ac:dyDescent="0.3">
      <c r="B123" s="60"/>
      <c r="C123" s="45"/>
      <c r="D123" s="60"/>
      <c r="E123" s="60"/>
      <c r="F123" s="60"/>
      <c r="G123" s="60"/>
      <c r="H123" s="60"/>
      <c r="I123" s="60"/>
      <c r="J123" s="60"/>
      <c r="K123" s="60"/>
      <c r="L123" s="60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45"/>
      <c r="AJ123" s="45"/>
      <c r="AK123" s="60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</row>
    <row r="124" spans="1:50" ht="15.75" customHeight="1" x14ac:dyDescent="0.3">
      <c r="B124" s="60"/>
      <c r="C124" s="45"/>
      <c r="D124" s="60"/>
      <c r="E124" s="60"/>
      <c r="F124" s="60"/>
      <c r="G124" s="60"/>
      <c r="H124" s="60"/>
      <c r="I124" s="60"/>
      <c r="J124" s="60"/>
      <c r="K124" s="60"/>
      <c r="L124" s="60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45"/>
      <c r="AJ124" s="45"/>
      <c r="AK124" s="60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</row>
    <row r="125" spans="1:50" ht="15.75" customHeight="1" x14ac:dyDescent="0.3">
      <c r="B125" s="60"/>
      <c r="C125" s="45"/>
      <c r="D125" s="60"/>
      <c r="E125" s="60"/>
      <c r="F125" s="60"/>
      <c r="G125" s="60"/>
      <c r="H125" s="60"/>
      <c r="I125" s="60"/>
      <c r="J125" s="60"/>
      <c r="K125" s="60"/>
      <c r="L125" s="60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45"/>
      <c r="AJ125" s="45"/>
      <c r="AK125" s="60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</row>
    <row r="126" spans="1:50" ht="15.75" customHeight="1" x14ac:dyDescent="0.3">
      <c r="B126" s="60"/>
      <c r="C126" s="45"/>
      <c r="D126" s="60"/>
      <c r="E126" s="60"/>
      <c r="F126" s="60"/>
      <c r="G126" s="60"/>
      <c r="H126" s="60"/>
      <c r="I126" s="60"/>
      <c r="J126" s="60"/>
      <c r="K126" s="60"/>
      <c r="L126" s="60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45"/>
      <c r="AJ126" s="45"/>
      <c r="AK126" s="60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</row>
    <row r="127" spans="1:50" ht="15.75" customHeight="1" x14ac:dyDescent="0.3">
      <c r="B127" s="60"/>
      <c r="C127" s="45"/>
      <c r="D127" s="60"/>
      <c r="E127" s="60"/>
      <c r="F127" s="60"/>
      <c r="G127" s="60"/>
      <c r="H127" s="60"/>
      <c r="I127" s="60"/>
      <c r="J127" s="60"/>
      <c r="K127" s="60"/>
      <c r="L127" s="60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45"/>
      <c r="AJ127" s="45"/>
      <c r="AK127" s="60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</row>
    <row r="128" spans="1:50" ht="15.75" customHeight="1" x14ac:dyDescent="0.3">
      <c r="B128" s="60"/>
      <c r="C128" s="45"/>
      <c r="D128" s="60"/>
      <c r="E128" s="60"/>
      <c r="F128" s="60"/>
      <c r="G128" s="60"/>
      <c r="H128" s="60"/>
      <c r="I128" s="60"/>
      <c r="J128" s="60"/>
      <c r="K128" s="60"/>
      <c r="L128" s="60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45"/>
      <c r="AJ128" s="45"/>
      <c r="AK128" s="60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</row>
    <row r="129" spans="2:50" ht="15.75" customHeight="1" x14ac:dyDescent="0.3">
      <c r="B129" s="60"/>
      <c r="C129" s="45"/>
      <c r="D129" s="60"/>
      <c r="E129" s="60"/>
      <c r="F129" s="60"/>
      <c r="G129" s="60"/>
      <c r="H129" s="60"/>
      <c r="I129" s="60"/>
      <c r="J129" s="60"/>
      <c r="K129" s="60"/>
      <c r="L129" s="60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45"/>
      <c r="AJ129" s="45"/>
      <c r="AK129" s="60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</row>
    <row r="130" spans="2:50" ht="15.75" customHeight="1" x14ac:dyDescent="0.3">
      <c r="B130" s="60"/>
      <c r="C130" s="45"/>
      <c r="D130" s="60"/>
      <c r="E130" s="60"/>
      <c r="F130" s="60"/>
      <c r="G130" s="60"/>
      <c r="H130" s="60"/>
      <c r="I130" s="60"/>
      <c r="J130" s="60"/>
      <c r="K130" s="60"/>
      <c r="L130" s="60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45"/>
      <c r="AJ130" s="45"/>
      <c r="AK130" s="60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</row>
    <row r="131" spans="2:50" ht="15.75" customHeight="1" x14ac:dyDescent="0.3">
      <c r="B131" s="60"/>
      <c r="C131" s="45"/>
      <c r="D131" s="60"/>
      <c r="E131" s="60"/>
      <c r="F131" s="60"/>
      <c r="G131" s="60"/>
      <c r="H131" s="60"/>
      <c r="I131" s="60"/>
      <c r="J131" s="60"/>
      <c r="K131" s="60"/>
      <c r="L131" s="60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45"/>
      <c r="AJ131" s="45"/>
      <c r="AK131" s="60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</row>
    <row r="132" spans="2:50" ht="15.75" customHeight="1" x14ac:dyDescent="0.3">
      <c r="B132" s="60"/>
      <c r="C132" s="45"/>
      <c r="D132" s="60"/>
      <c r="E132" s="60"/>
      <c r="F132" s="60"/>
      <c r="G132" s="60"/>
      <c r="H132" s="60"/>
      <c r="I132" s="60"/>
      <c r="J132" s="60"/>
      <c r="K132" s="60"/>
      <c r="L132" s="60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45"/>
      <c r="AJ132" s="45"/>
      <c r="AK132" s="60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</row>
    <row r="133" spans="2:50" ht="15.75" customHeight="1" x14ac:dyDescent="0.3">
      <c r="B133" s="60"/>
      <c r="C133" s="45"/>
      <c r="D133" s="60"/>
      <c r="E133" s="60"/>
      <c r="F133" s="60"/>
      <c r="G133" s="60"/>
      <c r="H133" s="60"/>
      <c r="I133" s="60"/>
      <c r="J133" s="60"/>
      <c r="K133" s="60"/>
      <c r="L133" s="60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45"/>
      <c r="AJ133" s="45"/>
      <c r="AK133" s="60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</row>
    <row r="134" spans="2:50" ht="15.75" customHeight="1" x14ac:dyDescent="0.3">
      <c r="B134" s="60"/>
      <c r="C134" s="45"/>
      <c r="D134" s="60"/>
      <c r="E134" s="60"/>
      <c r="F134" s="60"/>
      <c r="G134" s="60"/>
      <c r="H134" s="60"/>
      <c r="I134" s="60"/>
      <c r="J134" s="60"/>
      <c r="K134" s="60"/>
      <c r="L134" s="60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45"/>
      <c r="AJ134" s="45"/>
      <c r="AK134" s="60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</row>
    <row r="135" spans="2:50" ht="15.75" customHeight="1" x14ac:dyDescent="0.3">
      <c r="B135" s="60"/>
      <c r="C135" s="45"/>
      <c r="D135" s="60"/>
      <c r="E135" s="60"/>
      <c r="F135" s="60"/>
      <c r="G135" s="60"/>
      <c r="H135" s="60"/>
      <c r="I135" s="60"/>
      <c r="J135" s="60"/>
      <c r="K135" s="60"/>
      <c r="L135" s="60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45"/>
      <c r="AJ135" s="45"/>
      <c r="AK135" s="60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</row>
    <row r="136" spans="2:50" ht="15.75" customHeight="1" x14ac:dyDescent="0.3">
      <c r="B136" s="60"/>
      <c r="C136" s="45"/>
      <c r="D136" s="60"/>
      <c r="E136" s="60"/>
      <c r="F136" s="60"/>
      <c r="G136" s="60"/>
      <c r="H136" s="60"/>
      <c r="I136" s="60"/>
      <c r="J136" s="60"/>
      <c r="K136" s="60"/>
      <c r="L136" s="60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45"/>
      <c r="AJ136" s="45"/>
      <c r="AK136" s="60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</row>
    <row r="137" spans="2:50" ht="15.75" customHeight="1" x14ac:dyDescent="0.3">
      <c r="B137" s="60"/>
      <c r="C137" s="45"/>
      <c r="D137" s="60"/>
      <c r="E137" s="60"/>
      <c r="F137" s="60"/>
      <c r="G137" s="60"/>
      <c r="H137" s="60"/>
      <c r="I137" s="60"/>
      <c r="J137" s="60"/>
      <c r="K137" s="60"/>
      <c r="L137" s="60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45"/>
      <c r="AJ137" s="45"/>
      <c r="AK137" s="60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</row>
    <row r="138" spans="2:50" ht="15.75" customHeight="1" x14ac:dyDescent="0.3">
      <c r="B138" s="60"/>
      <c r="C138" s="45"/>
      <c r="D138" s="60"/>
      <c r="E138" s="60"/>
      <c r="F138" s="60"/>
      <c r="G138" s="60"/>
      <c r="H138" s="60"/>
      <c r="I138" s="60"/>
      <c r="J138" s="60"/>
      <c r="K138" s="60"/>
      <c r="L138" s="60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45"/>
      <c r="AJ138" s="45"/>
      <c r="AK138" s="60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</row>
    <row r="139" spans="2:50" ht="15.75" customHeight="1" x14ac:dyDescent="0.3">
      <c r="B139" s="60"/>
      <c r="C139" s="45"/>
      <c r="D139" s="60"/>
      <c r="E139" s="60"/>
      <c r="F139" s="60"/>
      <c r="G139" s="60"/>
      <c r="H139" s="60"/>
      <c r="I139" s="60"/>
      <c r="J139" s="60"/>
      <c r="K139" s="60"/>
      <c r="L139" s="60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45"/>
      <c r="AJ139" s="45"/>
      <c r="AK139" s="60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</row>
    <row r="140" spans="2:50" ht="15.75" customHeight="1" x14ac:dyDescent="0.3">
      <c r="B140" s="60"/>
      <c r="C140" s="45"/>
      <c r="D140" s="60"/>
      <c r="E140" s="60"/>
      <c r="F140" s="60"/>
      <c r="G140" s="60"/>
      <c r="H140" s="60"/>
      <c r="I140" s="60"/>
      <c r="J140" s="60"/>
      <c r="K140" s="60"/>
      <c r="L140" s="60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45"/>
      <c r="AJ140" s="45"/>
      <c r="AK140" s="60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</row>
    <row r="141" spans="2:50" ht="15.75" customHeight="1" x14ac:dyDescent="0.3">
      <c r="B141" s="60"/>
      <c r="C141" s="45"/>
      <c r="D141" s="60"/>
      <c r="E141" s="60"/>
      <c r="F141" s="60"/>
      <c r="G141" s="60"/>
      <c r="H141" s="60"/>
      <c r="I141" s="60"/>
      <c r="J141" s="60"/>
      <c r="K141" s="60"/>
      <c r="L141" s="60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45"/>
      <c r="AJ141" s="45"/>
      <c r="AK141" s="60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</row>
    <row r="142" spans="2:50" ht="15.75" customHeight="1" x14ac:dyDescent="0.3">
      <c r="B142" s="60"/>
      <c r="C142" s="45"/>
      <c r="D142" s="60"/>
      <c r="E142" s="60"/>
      <c r="F142" s="60"/>
      <c r="G142" s="60"/>
      <c r="H142" s="60"/>
      <c r="I142" s="60"/>
      <c r="J142" s="60"/>
      <c r="K142" s="60"/>
      <c r="L142" s="60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45"/>
      <c r="AJ142" s="45"/>
      <c r="AK142" s="60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</row>
    <row r="143" spans="2:50" ht="15.75" customHeight="1" x14ac:dyDescent="0.3">
      <c r="B143" s="60"/>
      <c r="C143" s="45"/>
      <c r="D143" s="60"/>
      <c r="E143" s="60"/>
      <c r="F143" s="60"/>
      <c r="G143" s="60"/>
      <c r="H143" s="60"/>
      <c r="I143" s="60"/>
      <c r="J143" s="60"/>
      <c r="K143" s="60"/>
      <c r="L143" s="60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45"/>
      <c r="AJ143" s="45"/>
      <c r="AK143" s="60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</row>
    <row r="144" spans="2:50" ht="15.75" customHeight="1" x14ac:dyDescent="0.3">
      <c r="B144" s="60"/>
      <c r="C144" s="45"/>
      <c r="D144" s="60"/>
      <c r="E144" s="60"/>
      <c r="F144" s="60"/>
      <c r="G144" s="60"/>
      <c r="H144" s="60"/>
      <c r="I144" s="60"/>
      <c r="J144" s="60"/>
      <c r="K144" s="60"/>
      <c r="L144" s="60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45"/>
      <c r="AJ144" s="45"/>
      <c r="AK144" s="60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</row>
    <row r="145" spans="2:50" ht="15.75" customHeight="1" x14ac:dyDescent="0.3">
      <c r="B145" s="60"/>
      <c r="C145" s="45"/>
      <c r="D145" s="60"/>
      <c r="E145" s="60"/>
      <c r="F145" s="60"/>
      <c r="G145" s="60"/>
      <c r="H145" s="60"/>
      <c r="I145" s="60"/>
      <c r="J145" s="60"/>
      <c r="K145" s="60"/>
      <c r="L145" s="60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45"/>
      <c r="AJ145" s="45"/>
      <c r="AK145" s="60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</row>
    <row r="146" spans="2:50" ht="15.75" customHeight="1" x14ac:dyDescent="0.3">
      <c r="B146" s="60"/>
      <c r="C146" s="45"/>
      <c r="D146" s="60"/>
      <c r="E146" s="60"/>
      <c r="F146" s="60"/>
      <c r="G146" s="60"/>
      <c r="H146" s="60"/>
      <c r="I146" s="60"/>
      <c r="J146" s="60"/>
      <c r="K146" s="60"/>
      <c r="L146" s="60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45"/>
      <c r="AJ146" s="45"/>
      <c r="AK146" s="60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</row>
    <row r="147" spans="2:50" ht="15.75" customHeight="1" x14ac:dyDescent="0.3">
      <c r="B147" s="60"/>
      <c r="C147" s="45"/>
      <c r="D147" s="60"/>
      <c r="E147" s="60"/>
      <c r="F147" s="60"/>
      <c r="G147" s="60"/>
      <c r="H147" s="60"/>
      <c r="I147" s="60"/>
      <c r="J147" s="60"/>
      <c r="K147" s="60"/>
      <c r="L147" s="60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45"/>
      <c r="AJ147" s="45"/>
      <c r="AK147" s="60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</row>
    <row r="148" spans="2:50" ht="15.75" customHeight="1" x14ac:dyDescent="0.3">
      <c r="B148" s="60"/>
      <c r="C148" s="45"/>
      <c r="D148" s="60"/>
      <c r="E148" s="60"/>
      <c r="F148" s="60"/>
      <c r="G148" s="60"/>
      <c r="H148" s="60"/>
      <c r="I148" s="60"/>
      <c r="J148" s="60"/>
      <c r="K148" s="60"/>
      <c r="L148" s="60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45"/>
      <c r="AJ148" s="45"/>
      <c r="AK148" s="60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</row>
    <row r="149" spans="2:50" ht="15.75" customHeight="1" x14ac:dyDescent="0.3">
      <c r="B149" s="60"/>
      <c r="C149" s="45"/>
      <c r="D149" s="60"/>
      <c r="E149" s="60"/>
      <c r="F149" s="60"/>
      <c r="G149" s="60"/>
      <c r="H149" s="60"/>
      <c r="I149" s="60"/>
      <c r="J149" s="60"/>
      <c r="K149" s="60"/>
      <c r="L149" s="60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45"/>
      <c r="AJ149" s="45"/>
      <c r="AK149" s="60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</row>
    <row r="150" spans="2:50" ht="15.75" customHeight="1" x14ac:dyDescent="0.3">
      <c r="B150" s="60"/>
      <c r="C150" s="45"/>
      <c r="D150" s="60"/>
      <c r="E150" s="60"/>
      <c r="F150" s="60"/>
      <c r="G150" s="60"/>
      <c r="H150" s="60"/>
      <c r="I150" s="60"/>
      <c r="J150" s="60"/>
      <c r="K150" s="60"/>
      <c r="L150" s="60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45"/>
      <c r="AJ150" s="45"/>
      <c r="AK150" s="60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</row>
    <row r="151" spans="2:50" ht="15.75" customHeight="1" x14ac:dyDescent="0.3">
      <c r="B151" s="60"/>
      <c r="C151" s="45"/>
      <c r="D151" s="60"/>
      <c r="E151" s="60"/>
      <c r="F151" s="60"/>
      <c r="G151" s="60"/>
      <c r="H151" s="60"/>
      <c r="I151" s="60"/>
      <c r="J151" s="60"/>
      <c r="K151" s="60"/>
      <c r="L151" s="60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45"/>
      <c r="AJ151" s="45"/>
      <c r="AK151" s="60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</row>
    <row r="152" spans="2:50" ht="15.75" customHeight="1" x14ac:dyDescent="0.3">
      <c r="B152" s="60"/>
      <c r="C152" s="45"/>
      <c r="D152" s="60"/>
      <c r="E152" s="60"/>
      <c r="F152" s="60"/>
      <c r="G152" s="60"/>
      <c r="H152" s="60"/>
      <c r="I152" s="60"/>
      <c r="J152" s="60"/>
      <c r="K152" s="60"/>
      <c r="L152" s="60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45"/>
      <c r="AJ152" s="45"/>
      <c r="AK152" s="60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</row>
    <row r="153" spans="2:50" ht="15.75" customHeight="1" x14ac:dyDescent="0.3">
      <c r="B153" s="60"/>
      <c r="C153" s="45"/>
      <c r="D153" s="60"/>
      <c r="E153" s="60"/>
      <c r="F153" s="60"/>
      <c r="G153" s="60"/>
      <c r="H153" s="60"/>
      <c r="I153" s="60"/>
      <c r="J153" s="60"/>
      <c r="K153" s="60"/>
      <c r="L153" s="60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45"/>
      <c r="AJ153" s="45"/>
      <c r="AK153" s="60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</row>
    <row r="154" spans="2:50" ht="15.75" customHeight="1" x14ac:dyDescent="0.3">
      <c r="B154" s="60"/>
      <c r="C154" s="45"/>
      <c r="D154" s="60"/>
      <c r="E154" s="60"/>
      <c r="F154" s="60"/>
      <c r="G154" s="60"/>
      <c r="H154" s="60"/>
      <c r="I154" s="60"/>
      <c r="J154" s="60"/>
      <c r="K154" s="60"/>
      <c r="L154" s="60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45"/>
      <c r="AJ154" s="45"/>
      <c r="AK154" s="60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</row>
    <row r="155" spans="2:50" ht="15.75" customHeight="1" x14ac:dyDescent="0.3">
      <c r="B155" s="60"/>
      <c r="C155" s="45"/>
      <c r="D155" s="60"/>
      <c r="E155" s="60"/>
      <c r="F155" s="60"/>
      <c r="G155" s="60"/>
      <c r="H155" s="60"/>
      <c r="I155" s="60"/>
      <c r="J155" s="60"/>
      <c r="K155" s="60"/>
      <c r="L155" s="60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45"/>
      <c r="AJ155" s="45"/>
      <c r="AK155" s="60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</row>
    <row r="156" spans="2:50" ht="15.75" customHeight="1" x14ac:dyDescent="0.3">
      <c r="B156" s="60"/>
      <c r="C156" s="45"/>
      <c r="D156" s="60"/>
      <c r="E156" s="60"/>
      <c r="F156" s="60"/>
      <c r="G156" s="60"/>
      <c r="H156" s="60"/>
      <c r="I156" s="60"/>
      <c r="J156" s="60"/>
      <c r="K156" s="60"/>
      <c r="L156" s="60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45"/>
      <c r="AJ156" s="45"/>
      <c r="AK156" s="60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</row>
    <row r="157" spans="2:50" ht="15.75" customHeight="1" x14ac:dyDescent="0.3">
      <c r="B157" s="60"/>
      <c r="C157" s="45"/>
      <c r="D157" s="60"/>
      <c r="E157" s="60"/>
      <c r="F157" s="60"/>
      <c r="G157" s="60"/>
      <c r="H157" s="60"/>
      <c r="I157" s="60"/>
      <c r="J157" s="60"/>
      <c r="K157" s="60"/>
      <c r="L157" s="60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45"/>
      <c r="AJ157" s="45"/>
      <c r="AK157" s="60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</row>
    <row r="158" spans="2:50" ht="15.75" customHeight="1" x14ac:dyDescent="0.3">
      <c r="B158" s="60"/>
      <c r="C158" s="45"/>
      <c r="D158" s="60"/>
      <c r="E158" s="60"/>
      <c r="F158" s="60"/>
      <c r="G158" s="60"/>
      <c r="H158" s="60"/>
      <c r="I158" s="60"/>
      <c r="J158" s="60"/>
      <c r="K158" s="60"/>
      <c r="L158" s="60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45"/>
      <c r="AJ158" s="45"/>
      <c r="AK158" s="60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</row>
    <row r="159" spans="2:50" ht="15.75" customHeight="1" x14ac:dyDescent="0.3">
      <c r="B159" s="60"/>
      <c r="C159" s="45"/>
      <c r="D159" s="60"/>
      <c r="E159" s="60"/>
      <c r="F159" s="60"/>
      <c r="G159" s="60"/>
      <c r="H159" s="60"/>
      <c r="I159" s="60"/>
      <c r="J159" s="60"/>
      <c r="K159" s="60"/>
      <c r="L159" s="60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45"/>
      <c r="AJ159" s="45"/>
      <c r="AK159" s="60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</row>
    <row r="160" spans="2:50" ht="15.75" customHeight="1" x14ac:dyDescent="0.3">
      <c r="B160" s="60"/>
      <c r="C160" s="45"/>
      <c r="D160" s="60"/>
      <c r="E160" s="60"/>
      <c r="F160" s="60"/>
      <c r="G160" s="60"/>
      <c r="H160" s="60"/>
      <c r="I160" s="60"/>
      <c r="J160" s="60"/>
      <c r="K160" s="60"/>
      <c r="L160" s="60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45"/>
      <c r="AJ160" s="45"/>
      <c r="AK160" s="60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</row>
    <row r="161" spans="2:50" ht="15.75" customHeight="1" x14ac:dyDescent="0.3">
      <c r="B161" s="60"/>
      <c r="C161" s="45"/>
      <c r="D161" s="60"/>
      <c r="E161" s="60"/>
      <c r="F161" s="60"/>
      <c r="G161" s="60"/>
      <c r="H161" s="60"/>
      <c r="I161" s="60"/>
      <c r="J161" s="60"/>
      <c r="K161" s="60"/>
      <c r="L161" s="60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45"/>
      <c r="AJ161" s="45"/>
      <c r="AK161" s="60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</row>
    <row r="162" spans="2:50" ht="15.75" customHeight="1" x14ac:dyDescent="0.3">
      <c r="B162" s="60"/>
      <c r="C162" s="45"/>
      <c r="D162" s="60"/>
      <c r="E162" s="60"/>
      <c r="F162" s="60"/>
      <c r="G162" s="60"/>
      <c r="H162" s="60"/>
      <c r="I162" s="60"/>
      <c r="J162" s="60"/>
      <c r="K162" s="60"/>
      <c r="L162" s="60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45"/>
      <c r="AJ162" s="45"/>
      <c r="AK162" s="60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</row>
    <row r="163" spans="2:50" ht="15.75" customHeight="1" x14ac:dyDescent="0.3">
      <c r="B163" s="60"/>
      <c r="C163" s="45"/>
      <c r="D163" s="60"/>
      <c r="E163" s="60"/>
      <c r="F163" s="60"/>
      <c r="G163" s="60"/>
      <c r="H163" s="60"/>
      <c r="I163" s="60"/>
      <c r="J163" s="60"/>
      <c r="K163" s="60"/>
      <c r="L163" s="60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45"/>
      <c r="AJ163" s="45"/>
      <c r="AK163" s="60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</row>
    <row r="164" spans="2:50" ht="15.75" customHeight="1" x14ac:dyDescent="0.3">
      <c r="B164" s="60"/>
      <c r="C164" s="45"/>
      <c r="D164" s="60"/>
      <c r="E164" s="60"/>
      <c r="F164" s="60"/>
      <c r="G164" s="60"/>
      <c r="H164" s="60"/>
      <c r="I164" s="60"/>
      <c r="J164" s="60"/>
      <c r="K164" s="60"/>
      <c r="L164" s="60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45"/>
      <c r="AJ164" s="45"/>
      <c r="AK164" s="60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</row>
    <row r="165" spans="2:50" ht="15.75" customHeight="1" x14ac:dyDescent="0.3">
      <c r="B165" s="60"/>
      <c r="C165" s="45"/>
      <c r="D165" s="60"/>
      <c r="E165" s="60"/>
      <c r="F165" s="60"/>
      <c r="G165" s="60"/>
      <c r="H165" s="60"/>
      <c r="I165" s="60"/>
      <c r="J165" s="60"/>
      <c r="K165" s="60"/>
      <c r="L165" s="60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45"/>
      <c r="AJ165" s="45"/>
      <c r="AK165" s="60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</row>
    <row r="166" spans="2:50" ht="15.75" customHeight="1" x14ac:dyDescent="0.3">
      <c r="B166" s="60"/>
      <c r="C166" s="45"/>
      <c r="D166" s="60"/>
      <c r="E166" s="60"/>
      <c r="F166" s="60"/>
      <c r="G166" s="60"/>
      <c r="H166" s="60"/>
      <c r="I166" s="60"/>
      <c r="J166" s="60"/>
      <c r="K166" s="60"/>
      <c r="L166" s="60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45"/>
      <c r="AJ166" s="45"/>
      <c r="AK166" s="60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</row>
    <row r="167" spans="2:50" ht="15.75" customHeight="1" x14ac:dyDescent="0.3">
      <c r="B167" s="60"/>
      <c r="C167" s="45"/>
      <c r="D167" s="60"/>
      <c r="E167" s="60"/>
      <c r="F167" s="60"/>
      <c r="G167" s="60"/>
      <c r="H167" s="60"/>
      <c r="I167" s="60"/>
      <c r="J167" s="60"/>
      <c r="K167" s="60"/>
      <c r="L167" s="60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45"/>
      <c r="AJ167" s="45"/>
      <c r="AK167" s="60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</row>
    <row r="168" spans="2:50" ht="15.75" customHeight="1" x14ac:dyDescent="0.3">
      <c r="B168" s="60"/>
      <c r="C168" s="45"/>
      <c r="D168" s="60"/>
      <c r="E168" s="60"/>
      <c r="F168" s="60"/>
      <c r="G168" s="60"/>
      <c r="H168" s="60"/>
      <c r="I168" s="60"/>
      <c r="J168" s="60"/>
      <c r="K168" s="60"/>
      <c r="L168" s="60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45"/>
      <c r="AJ168" s="45"/>
      <c r="AK168" s="60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</row>
    <row r="169" spans="2:50" ht="15.75" customHeight="1" x14ac:dyDescent="0.3">
      <c r="B169" s="60"/>
      <c r="C169" s="45"/>
      <c r="D169" s="60"/>
      <c r="E169" s="60"/>
      <c r="F169" s="60"/>
      <c r="G169" s="60"/>
      <c r="H169" s="60"/>
      <c r="I169" s="60"/>
      <c r="J169" s="60"/>
      <c r="K169" s="60"/>
      <c r="L169" s="60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45"/>
      <c r="AJ169" s="45"/>
      <c r="AK169" s="60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</row>
    <row r="170" spans="2:50" ht="15.75" customHeight="1" x14ac:dyDescent="0.3">
      <c r="B170" s="60"/>
      <c r="C170" s="45"/>
      <c r="D170" s="60"/>
      <c r="E170" s="60"/>
      <c r="F170" s="60"/>
      <c r="G170" s="60"/>
      <c r="H170" s="60"/>
      <c r="I170" s="60"/>
      <c r="J170" s="60"/>
      <c r="K170" s="60"/>
      <c r="L170" s="60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45"/>
      <c r="AJ170" s="45"/>
      <c r="AK170" s="60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</row>
    <row r="171" spans="2:50" ht="15.75" customHeight="1" x14ac:dyDescent="0.3">
      <c r="B171" s="60"/>
      <c r="C171" s="45"/>
      <c r="D171" s="60"/>
      <c r="E171" s="60"/>
      <c r="F171" s="60"/>
      <c r="G171" s="60"/>
      <c r="H171" s="60"/>
      <c r="I171" s="60"/>
      <c r="J171" s="60"/>
      <c r="K171" s="60"/>
      <c r="L171" s="60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45"/>
      <c r="AJ171" s="45"/>
      <c r="AK171" s="60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</row>
    <row r="172" spans="2:50" ht="15.75" customHeight="1" x14ac:dyDescent="0.3">
      <c r="B172" s="60"/>
      <c r="C172" s="45"/>
      <c r="D172" s="60"/>
      <c r="E172" s="60"/>
      <c r="F172" s="60"/>
      <c r="G172" s="60"/>
      <c r="H172" s="60"/>
      <c r="I172" s="60"/>
      <c r="J172" s="60"/>
      <c r="K172" s="60"/>
      <c r="L172" s="60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45"/>
      <c r="AJ172" s="45"/>
      <c r="AK172" s="60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</row>
    <row r="173" spans="2:50" ht="15.75" customHeight="1" x14ac:dyDescent="0.3">
      <c r="B173" s="60"/>
      <c r="C173" s="45"/>
      <c r="D173" s="60"/>
      <c r="E173" s="60"/>
      <c r="F173" s="60"/>
      <c r="G173" s="60"/>
      <c r="H173" s="60"/>
      <c r="I173" s="60"/>
      <c r="J173" s="60"/>
      <c r="K173" s="60"/>
      <c r="L173" s="60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45"/>
      <c r="AJ173" s="45"/>
      <c r="AK173" s="60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</row>
    <row r="174" spans="2:50" ht="15.75" customHeight="1" x14ac:dyDescent="0.3">
      <c r="B174" s="60"/>
      <c r="C174" s="45"/>
      <c r="D174" s="60"/>
      <c r="E174" s="60"/>
      <c r="F174" s="60"/>
      <c r="G174" s="60"/>
      <c r="H174" s="60"/>
      <c r="I174" s="60"/>
      <c r="J174" s="60"/>
      <c r="K174" s="60"/>
      <c r="L174" s="60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45"/>
      <c r="AJ174" s="45"/>
      <c r="AK174" s="60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</row>
    <row r="175" spans="2:50" ht="15.75" customHeight="1" x14ac:dyDescent="0.3">
      <c r="B175" s="60"/>
      <c r="C175" s="45"/>
      <c r="D175" s="60"/>
      <c r="E175" s="60"/>
      <c r="F175" s="60"/>
      <c r="G175" s="60"/>
      <c r="H175" s="60"/>
      <c r="I175" s="60"/>
      <c r="J175" s="60"/>
      <c r="K175" s="60"/>
      <c r="L175" s="60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45"/>
      <c r="AJ175" s="45"/>
      <c r="AK175" s="60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</row>
    <row r="176" spans="2:50" ht="15.75" customHeight="1" x14ac:dyDescent="0.3">
      <c r="B176" s="60"/>
      <c r="C176" s="45"/>
      <c r="D176" s="60"/>
      <c r="E176" s="60"/>
      <c r="F176" s="60"/>
      <c r="G176" s="60"/>
      <c r="H176" s="60"/>
      <c r="I176" s="60"/>
      <c r="J176" s="60"/>
      <c r="K176" s="60"/>
      <c r="L176" s="60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45"/>
      <c r="AJ176" s="45"/>
      <c r="AK176" s="60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</row>
    <row r="177" spans="2:50" ht="15.75" customHeight="1" x14ac:dyDescent="0.3">
      <c r="B177" s="60"/>
      <c r="C177" s="45"/>
      <c r="D177" s="60"/>
      <c r="E177" s="60"/>
      <c r="F177" s="60"/>
      <c r="G177" s="60"/>
      <c r="H177" s="60"/>
      <c r="I177" s="60"/>
      <c r="J177" s="60"/>
      <c r="K177" s="60"/>
      <c r="L177" s="60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45"/>
      <c r="AJ177" s="45"/>
      <c r="AK177" s="60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</row>
    <row r="178" spans="2:50" ht="15.75" customHeight="1" x14ac:dyDescent="0.3">
      <c r="B178" s="60"/>
      <c r="C178" s="45"/>
      <c r="D178" s="60"/>
      <c r="E178" s="60"/>
      <c r="F178" s="60"/>
      <c r="G178" s="60"/>
      <c r="H178" s="60"/>
      <c r="I178" s="60"/>
      <c r="J178" s="60"/>
      <c r="K178" s="60"/>
      <c r="L178" s="60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45"/>
      <c r="AJ178" s="45"/>
      <c r="AK178" s="60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</row>
    <row r="179" spans="2:50" ht="15.75" customHeight="1" x14ac:dyDescent="0.3">
      <c r="B179" s="60"/>
      <c r="C179" s="45"/>
      <c r="D179" s="60"/>
      <c r="E179" s="60"/>
      <c r="F179" s="60"/>
      <c r="G179" s="60"/>
      <c r="H179" s="60"/>
      <c r="I179" s="60"/>
      <c r="J179" s="60"/>
      <c r="K179" s="60"/>
      <c r="L179" s="60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45"/>
      <c r="AJ179" s="45"/>
      <c r="AK179" s="60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</row>
    <row r="180" spans="2:50" ht="15.75" customHeight="1" x14ac:dyDescent="0.3">
      <c r="B180" s="60"/>
      <c r="C180" s="45"/>
      <c r="D180" s="60"/>
      <c r="E180" s="60"/>
      <c r="F180" s="60"/>
      <c r="G180" s="60"/>
      <c r="H180" s="60"/>
      <c r="I180" s="60"/>
      <c r="J180" s="60"/>
      <c r="K180" s="60"/>
      <c r="L180" s="60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45"/>
      <c r="AJ180" s="45"/>
      <c r="AK180" s="60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</row>
    <row r="181" spans="2:50" ht="15.75" customHeight="1" x14ac:dyDescent="0.3">
      <c r="B181" s="60"/>
      <c r="C181" s="45"/>
      <c r="D181" s="60"/>
      <c r="E181" s="60"/>
      <c r="F181" s="60"/>
      <c r="G181" s="60"/>
      <c r="H181" s="60"/>
      <c r="I181" s="60"/>
      <c r="J181" s="60"/>
      <c r="K181" s="60"/>
      <c r="L181" s="60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45"/>
      <c r="AJ181" s="45"/>
      <c r="AK181" s="60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</row>
    <row r="182" spans="2:50" ht="15.75" customHeight="1" x14ac:dyDescent="0.3">
      <c r="B182" s="60"/>
      <c r="C182" s="45"/>
      <c r="D182" s="60"/>
      <c r="E182" s="60"/>
      <c r="F182" s="60"/>
      <c r="G182" s="60"/>
      <c r="H182" s="60"/>
      <c r="I182" s="60"/>
      <c r="J182" s="60"/>
      <c r="K182" s="60"/>
      <c r="L182" s="60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45"/>
      <c r="AJ182" s="45"/>
      <c r="AK182" s="60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</row>
    <row r="183" spans="2:50" ht="15.75" customHeight="1" x14ac:dyDescent="0.3">
      <c r="B183" s="60"/>
      <c r="C183" s="45"/>
      <c r="D183" s="60"/>
      <c r="E183" s="60"/>
      <c r="F183" s="60"/>
      <c r="G183" s="60"/>
      <c r="H183" s="60"/>
      <c r="I183" s="60"/>
      <c r="J183" s="60"/>
      <c r="K183" s="60"/>
      <c r="L183" s="60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45"/>
      <c r="AJ183" s="45"/>
      <c r="AK183" s="60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</row>
    <row r="184" spans="2:50" ht="15.75" customHeight="1" x14ac:dyDescent="0.3">
      <c r="B184" s="60"/>
      <c r="C184" s="45"/>
      <c r="D184" s="60"/>
      <c r="E184" s="60"/>
      <c r="F184" s="60"/>
      <c r="G184" s="60"/>
      <c r="H184" s="60"/>
      <c r="I184" s="60"/>
      <c r="J184" s="60"/>
      <c r="K184" s="60"/>
      <c r="L184" s="60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45"/>
      <c r="AJ184" s="45"/>
      <c r="AK184" s="60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</row>
    <row r="185" spans="2:50" ht="15.75" customHeight="1" x14ac:dyDescent="0.3">
      <c r="B185" s="60"/>
      <c r="C185" s="45"/>
      <c r="D185" s="60"/>
      <c r="E185" s="60"/>
      <c r="F185" s="60"/>
      <c r="G185" s="60"/>
      <c r="H185" s="60"/>
      <c r="I185" s="60"/>
      <c r="J185" s="60"/>
      <c r="K185" s="60"/>
      <c r="L185" s="60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45"/>
      <c r="AJ185" s="45"/>
      <c r="AK185" s="60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</row>
    <row r="186" spans="2:50" ht="15.75" customHeight="1" x14ac:dyDescent="0.3">
      <c r="B186" s="60"/>
      <c r="C186" s="45"/>
      <c r="D186" s="60"/>
      <c r="E186" s="60"/>
      <c r="F186" s="60"/>
      <c r="G186" s="60"/>
      <c r="H186" s="60"/>
      <c r="I186" s="60"/>
      <c r="J186" s="60"/>
      <c r="K186" s="60"/>
      <c r="L186" s="60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45"/>
      <c r="AJ186" s="45"/>
      <c r="AK186" s="60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</row>
    <row r="187" spans="2:50" ht="15.75" customHeight="1" x14ac:dyDescent="0.3">
      <c r="B187" s="60"/>
      <c r="C187" s="45"/>
      <c r="D187" s="60"/>
      <c r="E187" s="60"/>
      <c r="F187" s="60"/>
      <c r="G187" s="60"/>
      <c r="H187" s="60"/>
      <c r="I187" s="60"/>
      <c r="J187" s="60"/>
      <c r="K187" s="60"/>
      <c r="L187" s="60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45"/>
      <c r="AJ187" s="45"/>
      <c r="AK187" s="60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</row>
    <row r="188" spans="2:50" ht="15.75" customHeight="1" x14ac:dyDescent="0.3">
      <c r="B188" s="60"/>
      <c r="C188" s="45"/>
      <c r="D188" s="60"/>
      <c r="E188" s="60"/>
      <c r="F188" s="60"/>
      <c r="G188" s="60"/>
      <c r="H188" s="60"/>
      <c r="I188" s="60"/>
      <c r="J188" s="60"/>
      <c r="K188" s="60"/>
      <c r="L188" s="60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45"/>
      <c r="AJ188" s="45"/>
      <c r="AK188" s="60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</row>
    <row r="189" spans="2:50" ht="15.75" customHeight="1" x14ac:dyDescent="0.3">
      <c r="B189" s="60"/>
      <c r="C189" s="45"/>
      <c r="D189" s="60"/>
      <c r="E189" s="60"/>
      <c r="F189" s="60"/>
      <c r="G189" s="60"/>
      <c r="H189" s="60"/>
      <c r="I189" s="60"/>
      <c r="J189" s="60"/>
      <c r="K189" s="60"/>
      <c r="L189" s="60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45"/>
      <c r="AJ189" s="45"/>
      <c r="AK189" s="60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</row>
    <row r="190" spans="2:50" ht="15.75" customHeight="1" x14ac:dyDescent="0.3">
      <c r="B190" s="60"/>
      <c r="C190" s="45"/>
      <c r="D190" s="60"/>
      <c r="E190" s="60"/>
      <c r="F190" s="60"/>
      <c r="G190" s="60"/>
      <c r="H190" s="60"/>
      <c r="I190" s="60"/>
      <c r="J190" s="60"/>
      <c r="K190" s="60"/>
      <c r="L190" s="60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45"/>
      <c r="AJ190" s="45"/>
      <c r="AK190" s="60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</row>
    <row r="191" spans="2:50" ht="15.75" customHeight="1" x14ac:dyDescent="0.3">
      <c r="B191" s="60"/>
      <c r="C191" s="45"/>
      <c r="D191" s="45"/>
      <c r="E191" s="60"/>
      <c r="F191" s="60"/>
      <c r="G191" s="60"/>
      <c r="H191" s="60"/>
      <c r="I191" s="60"/>
      <c r="J191" s="60"/>
      <c r="K191" s="60"/>
      <c r="L191" s="60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45"/>
      <c r="AJ191" s="45"/>
      <c r="AK191" s="60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</row>
    <row r="192" spans="2:50" ht="15.75" customHeight="1" x14ac:dyDescent="0.3">
      <c r="B192" s="60"/>
      <c r="C192" s="45"/>
      <c r="D192" s="45"/>
      <c r="E192" s="60"/>
      <c r="F192" s="60"/>
      <c r="G192" s="60"/>
      <c r="H192" s="60"/>
      <c r="I192" s="60"/>
      <c r="J192" s="60"/>
      <c r="K192" s="60"/>
      <c r="L192" s="60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45"/>
      <c r="AJ192" s="45"/>
      <c r="AK192" s="60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</row>
    <row r="193" spans="2:50" ht="15.75" customHeight="1" x14ac:dyDescent="0.3">
      <c r="B193" s="60"/>
      <c r="C193" s="45"/>
      <c r="D193" s="45"/>
      <c r="E193" s="60"/>
      <c r="F193" s="60"/>
      <c r="G193" s="60"/>
      <c r="H193" s="60"/>
      <c r="I193" s="60"/>
      <c r="J193" s="60"/>
      <c r="K193" s="60"/>
      <c r="L193" s="60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45"/>
      <c r="AJ193" s="45"/>
      <c r="AK193" s="60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</row>
    <row r="194" spans="2:50" ht="15.75" customHeight="1" x14ac:dyDescent="0.3">
      <c r="B194" s="60"/>
      <c r="C194" s="45"/>
      <c r="D194" s="45"/>
      <c r="E194" s="60"/>
      <c r="F194" s="60"/>
      <c r="G194" s="60"/>
      <c r="H194" s="60"/>
      <c r="I194" s="60"/>
      <c r="J194" s="60"/>
      <c r="K194" s="60"/>
      <c r="L194" s="60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45"/>
      <c r="AJ194" s="45"/>
      <c r="AK194" s="60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</row>
    <row r="195" spans="2:50" ht="15.75" customHeight="1" x14ac:dyDescent="0.3">
      <c r="B195" s="60"/>
      <c r="C195" s="45"/>
      <c r="D195" s="45"/>
      <c r="E195" s="60"/>
      <c r="F195" s="60"/>
      <c r="G195" s="60"/>
      <c r="H195" s="60"/>
      <c r="I195" s="60"/>
      <c r="J195" s="60"/>
      <c r="K195" s="60"/>
      <c r="L195" s="60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45"/>
      <c r="AJ195" s="45"/>
      <c r="AK195" s="60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</row>
    <row r="196" spans="2:50" ht="15.75" customHeight="1" x14ac:dyDescent="0.3">
      <c r="B196" s="60"/>
      <c r="C196" s="45"/>
      <c r="D196" s="45"/>
      <c r="E196" s="60"/>
      <c r="F196" s="60"/>
      <c r="G196" s="60"/>
      <c r="H196" s="60"/>
      <c r="I196" s="60"/>
      <c r="J196" s="60"/>
      <c r="K196" s="60"/>
      <c r="L196" s="60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45"/>
      <c r="AJ196" s="45"/>
      <c r="AK196" s="60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</row>
    <row r="197" spans="2:50" ht="15.75" customHeight="1" x14ac:dyDescent="0.3">
      <c r="B197" s="60"/>
      <c r="C197" s="45"/>
      <c r="D197" s="45"/>
      <c r="E197" s="60"/>
      <c r="F197" s="60"/>
      <c r="G197" s="60"/>
      <c r="H197" s="60"/>
      <c r="I197" s="60"/>
      <c r="J197" s="60"/>
      <c r="K197" s="60"/>
      <c r="L197" s="60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45"/>
      <c r="AJ197" s="45"/>
      <c r="AK197" s="60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</row>
    <row r="198" spans="2:50" ht="15.75" customHeight="1" x14ac:dyDescent="0.3">
      <c r="B198" s="60"/>
      <c r="C198" s="45"/>
      <c r="D198" s="45"/>
      <c r="E198" s="60"/>
      <c r="F198" s="60"/>
      <c r="G198" s="60"/>
      <c r="H198" s="60"/>
      <c r="I198" s="60"/>
      <c r="J198" s="60"/>
      <c r="K198" s="60"/>
      <c r="L198" s="60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45"/>
      <c r="AJ198" s="45"/>
      <c r="AK198" s="60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</row>
    <row r="199" spans="2:50" ht="15.75" customHeight="1" x14ac:dyDescent="0.3">
      <c r="B199" s="60"/>
      <c r="C199" s="45"/>
      <c r="D199" s="45"/>
      <c r="E199" s="60"/>
      <c r="F199" s="60"/>
      <c r="G199" s="60"/>
      <c r="H199" s="60"/>
      <c r="I199" s="60"/>
      <c r="J199" s="60"/>
      <c r="K199" s="60"/>
      <c r="L199" s="60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45"/>
      <c r="AJ199" s="45"/>
      <c r="AK199" s="60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</row>
    <row r="200" spans="2:50" ht="15.75" customHeight="1" x14ac:dyDescent="0.3">
      <c r="B200" s="60"/>
      <c r="C200" s="45"/>
      <c r="D200" s="45"/>
      <c r="E200" s="60"/>
      <c r="F200" s="60"/>
      <c r="G200" s="60"/>
      <c r="H200" s="60"/>
      <c r="I200" s="60"/>
      <c r="J200" s="60"/>
      <c r="K200" s="60"/>
      <c r="L200" s="60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45"/>
      <c r="AJ200" s="45"/>
      <c r="AK200" s="60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</row>
    <row r="201" spans="2:50" ht="15.75" customHeight="1" x14ac:dyDescent="0.3">
      <c r="B201" s="60"/>
      <c r="C201" s="45"/>
      <c r="D201" s="45"/>
      <c r="E201" s="60"/>
      <c r="F201" s="60"/>
      <c r="G201" s="60"/>
      <c r="H201" s="60"/>
      <c r="I201" s="60"/>
      <c r="J201" s="60"/>
      <c r="K201" s="60"/>
      <c r="L201" s="60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45"/>
      <c r="AJ201" s="45"/>
      <c r="AK201" s="60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</row>
    <row r="202" spans="2:50" ht="15.75" customHeight="1" x14ac:dyDescent="0.3">
      <c r="B202" s="60"/>
      <c r="C202" s="45"/>
      <c r="D202" s="45"/>
      <c r="E202" s="60"/>
      <c r="F202" s="60"/>
      <c r="G202" s="60"/>
      <c r="H202" s="60"/>
      <c r="I202" s="60"/>
      <c r="J202" s="60"/>
      <c r="K202" s="60"/>
      <c r="L202" s="60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45"/>
      <c r="AJ202" s="45"/>
      <c r="AK202" s="60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</row>
    <row r="203" spans="2:50" ht="15.75" customHeight="1" x14ac:dyDescent="0.3">
      <c r="B203" s="60"/>
      <c r="C203" s="45"/>
      <c r="D203" s="45"/>
      <c r="E203" s="60"/>
      <c r="F203" s="60"/>
      <c r="G203" s="60"/>
      <c r="H203" s="60"/>
      <c r="I203" s="60"/>
      <c r="J203" s="60"/>
      <c r="K203" s="60"/>
      <c r="L203" s="60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45"/>
      <c r="AJ203" s="45"/>
      <c r="AK203" s="60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</row>
    <row r="204" spans="2:50" ht="15.75" customHeight="1" x14ac:dyDescent="0.3">
      <c r="B204" s="60"/>
      <c r="C204" s="45"/>
      <c r="D204" s="45"/>
      <c r="E204" s="60"/>
      <c r="F204" s="60"/>
      <c r="G204" s="60"/>
      <c r="H204" s="60"/>
      <c r="I204" s="60"/>
      <c r="J204" s="60"/>
      <c r="K204" s="60"/>
      <c r="L204" s="60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45"/>
      <c r="AJ204" s="45"/>
      <c r="AK204" s="60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</row>
    <row r="205" spans="2:50" ht="15.75" customHeight="1" x14ac:dyDescent="0.3">
      <c r="B205" s="60"/>
      <c r="C205" s="45"/>
      <c r="D205" s="45"/>
      <c r="E205" s="60"/>
      <c r="F205" s="60"/>
      <c r="G205" s="60"/>
      <c r="H205" s="60"/>
      <c r="I205" s="60"/>
      <c r="J205" s="60"/>
      <c r="K205" s="60"/>
      <c r="L205" s="60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45"/>
      <c r="AJ205" s="45"/>
      <c r="AK205" s="60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</row>
    <row r="206" spans="2:50" ht="15.75" customHeight="1" x14ac:dyDescent="0.3">
      <c r="B206" s="60"/>
      <c r="C206" s="45"/>
      <c r="D206" s="45"/>
      <c r="E206" s="60"/>
      <c r="F206" s="60"/>
      <c r="G206" s="60"/>
      <c r="H206" s="60"/>
      <c r="I206" s="60"/>
      <c r="J206" s="60"/>
      <c r="K206" s="60"/>
      <c r="L206" s="60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45"/>
      <c r="AJ206" s="45"/>
      <c r="AK206" s="60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</row>
    <row r="207" spans="2:50" ht="15.75" customHeight="1" x14ac:dyDescent="0.3">
      <c r="B207" s="60"/>
      <c r="C207" s="45"/>
      <c r="D207" s="45"/>
      <c r="E207" s="60"/>
      <c r="F207" s="60"/>
      <c r="G207" s="60"/>
      <c r="H207" s="60"/>
      <c r="I207" s="60"/>
      <c r="J207" s="60"/>
      <c r="K207" s="60"/>
      <c r="L207" s="60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45"/>
      <c r="AJ207" s="45"/>
      <c r="AK207" s="60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</row>
    <row r="208" spans="2:50" ht="15.75" customHeight="1" x14ac:dyDescent="0.3">
      <c r="B208" s="60"/>
      <c r="C208" s="45"/>
      <c r="D208" s="45"/>
      <c r="E208" s="60"/>
      <c r="F208" s="60"/>
      <c r="G208" s="60"/>
      <c r="H208" s="60"/>
      <c r="I208" s="60"/>
      <c r="J208" s="60"/>
      <c r="K208" s="60"/>
      <c r="L208" s="60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45"/>
      <c r="AJ208" s="45"/>
      <c r="AK208" s="60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</row>
    <row r="209" spans="2:50" ht="15.75" customHeight="1" x14ac:dyDescent="0.3">
      <c r="B209" s="60"/>
      <c r="C209" s="45"/>
      <c r="D209" s="45"/>
      <c r="E209" s="60"/>
      <c r="F209" s="60"/>
      <c r="G209" s="60"/>
      <c r="H209" s="60"/>
      <c r="I209" s="60"/>
      <c r="J209" s="60"/>
      <c r="K209" s="60"/>
      <c r="L209" s="60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45"/>
      <c r="AJ209" s="45"/>
      <c r="AK209" s="60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</row>
    <row r="210" spans="2:50" ht="15.75" customHeight="1" x14ac:dyDescent="0.3">
      <c r="B210" s="60"/>
      <c r="C210" s="45"/>
      <c r="D210" s="45"/>
      <c r="E210" s="60"/>
      <c r="F210" s="60"/>
      <c r="G210" s="60"/>
      <c r="H210" s="60"/>
      <c r="I210" s="60"/>
      <c r="J210" s="60"/>
      <c r="K210" s="60"/>
      <c r="L210" s="60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45"/>
      <c r="AJ210" s="45"/>
      <c r="AK210" s="60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</row>
    <row r="211" spans="2:50" ht="15.75" customHeight="1" x14ac:dyDescent="0.3">
      <c r="B211" s="60"/>
      <c r="C211" s="45"/>
      <c r="D211" s="45"/>
      <c r="E211" s="60"/>
      <c r="F211" s="60"/>
      <c r="G211" s="60"/>
      <c r="H211" s="60"/>
      <c r="I211" s="60"/>
      <c r="J211" s="60"/>
      <c r="K211" s="60"/>
      <c r="L211" s="60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45"/>
      <c r="AJ211" s="45"/>
      <c r="AK211" s="60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</row>
    <row r="212" spans="2:50" ht="15.75" customHeight="1" x14ac:dyDescent="0.3">
      <c r="B212" s="60"/>
      <c r="C212" s="45"/>
      <c r="D212" s="45"/>
      <c r="E212" s="60"/>
      <c r="F212" s="60"/>
      <c r="G212" s="60"/>
      <c r="H212" s="60"/>
      <c r="I212" s="60"/>
      <c r="J212" s="60"/>
      <c r="K212" s="60"/>
      <c r="L212" s="60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45"/>
      <c r="AJ212" s="45"/>
      <c r="AK212" s="60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</row>
    <row r="213" spans="2:50" ht="15.75" customHeight="1" x14ac:dyDescent="0.3">
      <c r="B213" s="60"/>
      <c r="C213" s="45"/>
      <c r="D213" s="45"/>
      <c r="E213" s="60"/>
      <c r="F213" s="60"/>
      <c r="G213" s="60"/>
      <c r="H213" s="60"/>
      <c r="I213" s="60"/>
      <c r="J213" s="60"/>
      <c r="K213" s="60"/>
      <c r="L213" s="60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45"/>
      <c r="AJ213" s="45"/>
      <c r="AK213" s="60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</row>
    <row r="214" spans="2:50" ht="15.75" customHeight="1" x14ac:dyDescent="0.3">
      <c r="B214" s="60"/>
      <c r="C214" s="45"/>
      <c r="D214" s="45"/>
      <c r="E214" s="60"/>
      <c r="F214" s="60"/>
      <c r="G214" s="60"/>
      <c r="H214" s="60"/>
      <c r="I214" s="60"/>
      <c r="J214" s="60"/>
      <c r="K214" s="60"/>
      <c r="L214" s="60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45"/>
      <c r="AJ214" s="45"/>
      <c r="AK214" s="60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</row>
    <row r="215" spans="2:50" ht="15.75" customHeight="1" x14ac:dyDescent="0.3">
      <c r="B215" s="60"/>
      <c r="C215" s="45"/>
      <c r="D215" s="45"/>
      <c r="E215" s="60"/>
      <c r="F215" s="60"/>
      <c r="G215" s="60"/>
      <c r="H215" s="60"/>
      <c r="I215" s="60"/>
      <c r="J215" s="60"/>
      <c r="K215" s="60"/>
      <c r="L215" s="60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45"/>
      <c r="AJ215" s="45"/>
      <c r="AK215" s="60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</row>
    <row r="216" spans="2:50" ht="15.75" customHeight="1" x14ac:dyDescent="0.3">
      <c r="B216" s="60"/>
      <c r="C216" s="45"/>
      <c r="D216" s="45"/>
      <c r="E216" s="60"/>
      <c r="F216" s="60"/>
      <c r="G216" s="60"/>
      <c r="H216" s="60"/>
      <c r="I216" s="60"/>
      <c r="J216" s="60"/>
      <c r="K216" s="60"/>
      <c r="L216" s="60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45"/>
      <c r="AJ216" s="45"/>
      <c r="AK216" s="60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</row>
    <row r="217" spans="2:50" ht="15.75" customHeight="1" x14ac:dyDescent="0.3">
      <c r="B217" s="60"/>
      <c r="C217" s="45"/>
      <c r="D217" s="45"/>
      <c r="E217" s="60"/>
      <c r="F217" s="60"/>
      <c r="G217" s="60"/>
      <c r="H217" s="60"/>
      <c r="I217" s="60"/>
      <c r="J217" s="60"/>
      <c r="K217" s="60"/>
      <c r="L217" s="60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45"/>
      <c r="AJ217" s="45"/>
      <c r="AK217" s="60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</row>
    <row r="218" spans="2:50" ht="15.75" customHeight="1" x14ac:dyDescent="0.3">
      <c r="B218" s="60"/>
      <c r="C218" s="45"/>
      <c r="D218" s="45"/>
      <c r="E218" s="60"/>
      <c r="F218" s="60"/>
      <c r="G218" s="60"/>
      <c r="H218" s="60"/>
      <c r="I218" s="60"/>
      <c r="J218" s="60"/>
      <c r="K218" s="60"/>
      <c r="L218" s="60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45"/>
      <c r="AJ218" s="45"/>
      <c r="AK218" s="60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</row>
    <row r="219" spans="2:50" ht="15.75" customHeight="1" x14ac:dyDescent="0.3">
      <c r="B219" s="60"/>
      <c r="C219" s="45"/>
      <c r="D219" s="45"/>
      <c r="E219" s="60"/>
      <c r="F219" s="60"/>
      <c r="G219" s="60"/>
      <c r="H219" s="60"/>
      <c r="I219" s="60"/>
      <c r="J219" s="60"/>
      <c r="K219" s="60"/>
      <c r="L219" s="60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45"/>
      <c r="AJ219" s="45"/>
      <c r="AK219" s="60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</row>
    <row r="220" spans="2:50" ht="15.75" customHeight="1" x14ac:dyDescent="0.3">
      <c r="B220" s="60"/>
      <c r="C220" s="45"/>
      <c r="D220" s="45"/>
      <c r="E220" s="60"/>
      <c r="F220" s="60"/>
      <c r="G220" s="60"/>
      <c r="H220" s="60"/>
      <c r="I220" s="60"/>
      <c r="J220" s="60"/>
      <c r="K220" s="60"/>
      <c r="L220" s="60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45"/>
      <c r="AJ220" s="45"/>
      <c r="AK220" s="60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</row>
    <row r="221" spans="2:50" ht="15.75" customHeight="1" x14ac:dyDescent="0.3">
      <c r="B221" s="60"/>
      <c r="C221" s="45"/>
      <c r="D221" s="45"/>
      <c r="E221" s="60"/>
      <c r="F221" s="60"/>
      <c r="G221" s="60"/>
      <c r="H221" s="60"/>
      <c r="I221" s="60"/>
      <c r="J221" s="60"/>
      <c r="K221" s="60"/>
      <c r="L221" s="60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45"/>
      <c r="AJ221" s="45"/>
      <c r="AK221" s="60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</row>
    <row r="222" spans="2:50" ht="15.75" customHeight="1" x14ac:dyDescent="0.3">
      <c r="B222" s="60"/>
      <c r="C222" s="45"/>
      <c r="D222" s="45"/>
      <c r="E222" s="60"/>
      <c r="F222" s="60"/>
      <c r="G222" s="60"/>
      <c r="H222" s="60"/>
      <c r="I222" s="60"/>
      <c r="J222" s="60"/>
      <c r="K222" s="60"/>
      <c r="L222" s="60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45"/>
      <c r="AJ222" s="45"/>
      <c r="AK222" s="60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</row>
    <row r="223" spans="2:50" ht="15.75" customHeight="1" x14ac:dyDescent="0.3">
      <c r="B223" s="60"/>
      <c r="C223" s="45"/>
      <c r="D223" s="45"/>
      <c r="E223" s="60"/>
      <c r="F223" s="60"/>
      <c r="G223" s="60"/>
      <c r="H223" s="60"/>
      <c r="I223" s="60"/>
      <c r="J223" s="60"/>
      <c r="K223" s="60"/>
      <c r="L223" s="60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45"/>
      <c r="AJ223" s="45"/>
      <c r="AK223" s="60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</row>
    <row r="224" spans="2:50" ht="15.75" customHeight="1" x14ac:dyDescent="0.3">
      <c r="B224" s="60"/>
      <c r="C224" s="45"/>
      <c r="D224" s="45"/>
      <c r="E224" s="60"/>
      <c r="F224" s="60"/>
      <c r="G224" s="60"/>
      <c r="H224" s="60"/>
      <c r="I224" s="60"/>
      <c r="J224" s="60"/>
      <c r="K224" s="60"/>
      <c r="L224" s="60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45"/>
      <c r="AJ224" s="45"/>
      <c r="AK224" s="60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</row>
    <row r="225" spans="2:50" ht="15.75" customHeight="1" x14ac:dyDescent="0.3">
      <c r="B225" s="60"/>
      <c r="C225" s="45"/>
      <c r="D225" s="45"/>
      <c r="E225" s="60"/>
      <c r="F225" s="60"/>
      <c r="G225" s="60"/>
      <c r="H225" s="60"/>
      <c r="I225" s="60"/>
      <c r="J225" s="60"/>
      <c r="K225" s="60"/>
      <c r="L225" s="60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45"/>
      <c r="AJ225" s="45"/>
      <c r="AK225" s="60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</row>
    <row r="226" spans="2:50" ht="15.75" customHeight="1" x14ac:dyDescent="0.3">
      <c r="B226" s="60"/>
      <c r="C226" s="45"/>
      <c r="D226" s="45"/>
      <c r="E226" s="60"/>
      <c r="F226" s="60"/>
      <c r="G226" s="60"/>
      <c r="H226" s="60"/>
      <c r="I226" s="60"/>
      <c r="J226" s="60"/>
      <c r="K226" s="60"/>
      <c r="L226" s="60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45"/>
      <c r="AJ226" s="45"/>
      <c r="AK226" s="60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</row>
    <row r="227" spans="2:50" ht="15.75" customHeight="1" x14ac:dyDescent="0.3">
      <c r="B227" s="60"/>
      <c r="C227" s="45"/>
      <c r="D227" s="45"/>
      <c r="E227" s="60"/>
      <c r="F227" s="60"/>
      <c r="G227" s="60"/>
      <c r="H227" s="60"/>
      <c r="I227" s="60"/>
      <c r="J227" s="60"/>
      <c r="K227" s="60"/>
      <c r="L227" s="60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45"/>
      <c r="AJ227" s="45"/>
      <c r="AK227" s="60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</row>
    <row r="228" spans="2:50" ht="15.75" customHeight="1" x14ac:dyDescent="0.3">
      <c r="B228" s="60"/>
      <c r="C228" s="45"/>
      <c r="D228" s="45"/>
      <c r="E228" s="60"/>
      <c r="F228" s="60"/>
      <c r="G228" s="60"/>
      <c r="H228" s="60"/>
      <c r="I228" s="60"/>
      <c r="J228" s="60"/>
      <c r="K228" s="60"/>
      <c r="L228" s="60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45"/>
      <c r="AJ228" s="45"/>
      <c r="AK228" s="60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</row>
    <row r="229" spans="2:50" ht="15.75" customHeight="1" x14ac:dyDescent="0.3">
      <c r="B229" s="60"/>
      <c r="C229" s="45"/>
      <c r="D229" s="45"/>
      <c r="E229" s="60"/>
      <c r="F229" s="60"/>
      <c r="G229" s="60"/>
      <c r="H229" s="60"/>
      <c r="I229" s="60"/>
      <c r="J229" s="60"/>
      <c r="K229" s="60"/>
      <c r="L229" s="60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45"/>
      <c r="AJ229" s="45"/>
      <c r="AK229" s="60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</row>
    <row r="230" spans="2:50" ht="15.75" customHeight="1" x14ac:dyDescent="0.3">
      <c r="B230" s="60"/>
      <c r="C230" s="45"/>
      <c r="D230" s="45"/>
      <c r="E230" s="60"/>
      <c r="F230" s="60"/>
      <c r="G230" s="60"/>
      <c r="H230" s="60"/>
      <c r="I230" s="60"/>
      <c r="J230" s="60"/>
      <c r="K230" s="60"/>
      <c r="L230" s="60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45"/>
      <c r="AJ230" s="45"/>
      <c r="AK230" s="60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</row>
    <row r="231" spans="2:50" ht="15.75" customHeight="1" x14ac:dyDescent="0.3">
      <c r="B231" s="60"/>
      <c r="C231" s="45"/>
      <c r="D231" s="45"/>
      <c r="E231" s="60"/>
      <c r="F231" s="60"/>
      <c r="G231" s="60"/>
      <c r="H231" s="60"/>
      <c r="I231" s="60"/>
      <c r="J231" s="60"/>
      <c r="K231" s="60"/>
      <c r="L231" s="60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45"/>
      <c r="AJ231" s="45"/>
      <c r="AK231" s="60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</row>
    <row r="232" spans="2:50" ht="15.75" customHeight="1" x14ac:dyDescent="0.3">
      <c r="B232" s="60"/>
      <c r="C232" s="45"/>
      <c r="D232" s="45"/>
      <c r="E232" s="60"/>
      <c r="F232" s="60"/>
      <c r="G232" s="60"/>
      <c r="H232" s="60"/>
      <c r="I232" s="60"/>
      <c r="J232" s="60"/>
      <c r="K232" s="60"/>
      <c r="L232" s="60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45"/>
      <c r="AJ232" s="45"/>
      <c r="AK232" s="60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</row>
    <row r="233" spans="2:50" ht="15.75" customHeight="1" x14ac:dyDescent="0.3">
      <c r="B233" s="60"/>
      <c r="C233" s="45"/>
      <c r="D233" s="45"/>
      <c r="E233" s="60"/>
      <c r="F233" s="60"/>
      <c r="G233" s="60"/>
      <c r="H233" s="60"/>
      <c r="I233" s="60"/>
      <c r="J233" s="60"/>
      <c r="K233" s="60"/>
      <c r="L233" s="60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45"/>
      <c r="AJ233" s="45"/>
      <c r="AK233" s="60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</row>
    <row r="234" spans="2:50" ht="15.75" customHeight="1" x14ac:dyDescent="0.3">
      <c r="B234" s="60"/>
      <c r="C234" s="45"/>
      <c r="D234" s="45"/>
      <c r="E234" s="60"/>
      <c r="F234" s="60"/>
      <c r="G234" s="60"/>
      <c r="H234" s="60"/>
      <c r="I234" s="60"/>
      <c r="J234" s="60"/>
      <c r="K234" s="60"/>
      <c r="L234" s="60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45"/>
      <c r="AJ234" s="45"/>
      <c r="AK234" s="60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</row>
    <row r="235" spans="2:50" ht="15.75" customHeight="1" x14ac:dyDescent="0.3">
      <c r="B235" s="60"/>
      <c r="C235" s="45"/>
      <c r="D235" s="45"/>
      <c r="E235" s="60"/>
      <c r="F235" s="60"/>
      <c r="G235" s="60"/>
      <c r="H235" s="60"/>
      <c r="I235" s="60"/>
      <c r="J235" s="60"/>
      <c r="K235" s="60"/>
      <c r="L235" s="60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45"/>
      <c r="AJ235" s="45"/>
      <c r="AK235" s="60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</row>
    <row r="236" spans="2:50" ht="15.75" customHeight="1" x14ac:dyDescent="0.3">
      <c r="B236" s="60"/>
      <c r="C236" s="45"/>
      <c r="D236" s="45"/>
      <c r="E236" s="60"/>
      <c r="F236" s="60"/>
      <c r="G236" s="60"/>
      <c r="H236" s="60"/>
      <c r="I236" s="60"/>
      <c r="J236" s="60"/>
      <c r="K236" s="60"/>
      <c r="L236" s="60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45"/>
      <c r="AJ236" s="45"/>
      <c r="AK236" s="60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</row>
    <row r="237" spans="2:50" ht="15.75" customHeight="1" x14ac:dyDescent="0.3">
      <c r="B237" s="60"/>
      <c r="C237" s="45"/>
      <c r="D237" s="45"/>
      <c r="E237" s="60"/>
      <c r="F237" s="60"/>
      <c r="G237" s="60"/>
      <c r="H237" s="60"/>
      <c r="I237" s="60"/>
      <c r="J237" s="60"/>
      <c r="K237" s="60"/>
      <c r="L237" s="60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45"/>
      <c r="AJ237" s="45"/>
      <c r="AK237" s="60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</row>
    <row r="238" spans="2:50" ht="15.75" customHeight="1" x14ac:dyDescent="0.3">
      <c r="B238" s="60"/>
      <c r="C238" s="45"/>
      <c r="D238" s="45"/>
      <c r="E238" s="60"/>
      <c r="F238" s="60"/>
      <c r="G238" s="60"/>
      <c r="H238" s="60"/>
      <c r="I238" s="60"/>
      <c r="J238" s="60"/>
      <c r="K238" s="60"/>
      <c r="L238" s="60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45"/>
      <c r="AJ238" s="45"/>
      <c r="AK238" s="60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</row>
    <row r="239" spans="2:50" ht="15.75" customHeight="1" x14ac:dyDescent="0.3">
      <c r="B239" s="60"/>
      <c r="C239" s="45"/>
      <c r="D239" s="45"/>
      <c r="E239" s="60"/>
      <c r="F239" s="60"/>
      <c r="G239" s="60"/>
      <c r="H239" s="60"/>
      <c r="I239" s="60"/>
      <c r="J239" s="60"/>
      <c r="K239" s="60"/>
      <c r="L239" s="60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45"/>
      <c r="AJ239" s="45"/>
      <c r="AK239" s="60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</row>
    <row r="240" spans="2:50" ht="15.75" customHeight="1" x14ac:dyDescent="0.3">
      <c r="B240" s="60"/>
      <c r="C240" s="45"/>
      <c r="D240" s="45"/>
      <c r="E240" s="60"/>
      <c r="F240" s="60"/>
      <c r="G240" s="60"/>
      <c r="H240" s="60"/>
      <c r="I240" s="60"/>
      <c r="J240" s="60"/>
      <c r="K240" s="60"/>
      <c r="L240" s="60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45"/>
      <c r="AJ240" s="45"/>
      <c r="AK240" s="60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</row>
    <row r="241" spans="2:50" ht="15.75" customHeight="1" x14ac:dyDescent="0.3">
      <c r="B241" s="60"/>
      <c r="C241" s="45"/>
      <c r="D241" s="45"/>
      <c r="E241" s="60"/>
      <c r="F241" s="60"/>
      <c r="G241" s="60"/>
      <c r="H241" s="60"/>
      <c r="I241" s="60"/>
      <c r="J241" s="60"/>
      <c r="K241" s="60"/>
      <c r="L241" s="60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45"/>
      <c r="AJ241" s="45"/>
      <c r="AK241" s="60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</row>
    <row r="242" spans="2:50" ht="15.75" customHeight="1" x14ac:dyDescent="0.3">
      <c r="B242" s="60"/>
      <c r="C242" s="45"/>
      <c r="D242" s="45"/>
      <c r="E242" s="60"/>
      <c r="F242" s="60"/>
      <c r="G242" s="60"/>
      <c r="H242" s="60"/>
      <c r="I242" s="60"/>
      <c r="J242" s="60"/>
      <c r="K242" s="60"/>
      <c r="L242" s="60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45"/>
      <c r="AJ242" s="45"/>
      <c r="AK242" s="60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</row>
    <row r="243" spans="2:50" ht="15.75" customHeight="1" x14ac:dyDescent="0.3">
      <c r="B243" s="60"/>
      <c r="C243" s="45"/>
      <c r="D243" s="45"/>
      <c r="E243" s="60"/>
      <c r="F243" s="60"/>
      <c r="G243" s="60"/>
      <c r="H243" s="60"/>
      <c r="I243" s="60"/>
      <c r="J243" s="60"/>
      <c r="K243" s="60"/>
      <c r="L243" s="60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45"/>
      <c r="AJ243" s="45"/>
      <c r="AK243" s="60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</row>
    <row r="244" spans="2:50" ht="15.75" customHeight="1" x14ac:dyDescent="0.3">
      <c r="B244" s="60"/>
      <c r="C244" s="45"/>
      <c r="D244" s="45"/>
      <c r="E244" s="60"/>
      <c r="F244" s="60"/>
      <c r="G244" s="60"/>
      <c r="H244" s="60"/>
      <c r="I244" s="60"/>
      <c r="J244" s="60"/>
      <c r="K244" s="60"/>
      <c r="L244" s="60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45"/>
      <c r="AJ244" s="45"/>
      <c r="AK244" s="60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</row>
    <row r="245" spans="2:50" ht="15.75" customHeight="1" x14ac:dyDescent="0.3">
      <c r="B245" s="60"/>
      <c r="C245" s="45"/>
      <c r="D245" s="45"/>
      <c r="E245" s="60"/>
      <c r="F245" s="60"/>
      <c r="G245" s="60"/>
      <c r="H245" s="60"/>
      <c r="I245" s="60"/>
      <c r="J245" s="60"/>
      <c r="K245" s="60"/>
      <c r="L245" s="60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45"/>
      <c r="AJ245" s="45"/>
      <c r="AK245" s="60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</row>
    <row r="246" spans="2:50" ht="15.75" customHeight="1" x14ac:dyDescent="0.3">
      <c r="B246" s="60"/>
      <c r="C246" s="45"/>
      <c r="D246" s="45"/>
      <c r="E246" s="60"/>
      <c r="F246" s="60"/>
      <c r="G246" s="60"/>
      <c r="H246" s="60"/>
      <c r="I246" s="60"/>
      <c r="J246" s="60"/>
      <c r="K246" s="60"/>
      <c r="L246" s="60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45"/>
      <c r="AJ246" s="45"/>
      <c r="AK246" s="60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</row>
    <row r="247" spans="2:50" ht="15.75" customHeight="1" x14ac:dyDescent="0.3">
      <c r="B247" s="60"/>
      <c r="C247" s="45"/>
      <c r="D247" s="45"/>
      <c r="E247" s="60"/>
      <c r="F247" s="60"/>
      <c r="G247" s="60"/>
      <c r="H247" s="60"/>
      <c r="I247" s="60"/>
      <c r="J247" s="60"/>
      <c r="K247" s="60"/>
      <c r="L247" s="60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45"/>
      <c r="AJ247" s="45"/>
      <c r="AK247" s="60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</row>
    <row r="248" spans="2:50" ht="15.75" customHeight="1" x14ac:dyDescent="0.3">
      <c r="B248" s="60"/>
      <c r="C248" s="45"/>
      <c r="D248" s="45"/>
      <c r="E248" s="60"/>
      <c r="F248" s="60"/>
      <c r="G248" s="60"/>
      <c r="H248" s="60"/>
      <c r="I248" s="60"/>
      <c r="J248" s="60"/>
      <c r="K248" s="60"/>
      <c r="L248" s="60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45"/>
      <c r="AJ248" s="45"/>
      <c r="AK248" s="60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  <c r="AX248" s="45"/>
    </row>
    <row r="249" spans="2:50" ht="15.75" customHeight="1" x14ac:dyDescent="0.3">
      <c r="B249" s="60"/>
      <c r="C249" s="45"/>
      <c r="D249" s="45"/>
      <c r="E249" s="60"/>
      <c r="F249" s="60"/>
      <c r="G249" s="60"/>
      <c r="H249" s="60"/>
      <c r="I249" s="60"/>
      <c r="J249" s="60"/>
      <c r="K249" s="60"/>
      <c r="L249" s="60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45"/>
      <c r="AJ249" s="45"/>
      <c r="AK249" s="60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</row>
    <row r="250" spans="2:50" ht="15.75" customHeight="1" x14ac:dyDescent="0.3">
      <c r="B250" s="60"/>
      <c r="C250" s="45"/>
      <c r="D250" s="45"/>
      <c r="E250" s="60"/>
      <c r="F250" s="60"/>
      <c r="G250" s="60"/>
      <c r="H250" s="60"/>
      <c r="I250" s="60"/>
      <c r="J250" s="60"/>
      <c r="K250" s="60"/>
      <c r="L250" s="60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45"/>
      <c r="AJ250" s="45"/>
      <c r="AK250" s="60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</row>
    <row r="251" spans="2:50" ht="15.75" customHeight="1" x14ac:dyDescent="0.3">
      <c r="B251" s="60"/>
      <c r="C251" s="45"/>
      <c r="D251" s="45"/>
      <c r="E251" s="60"/>
      <c r="F251" s="60"/>
      <c r="G251" s="60"/>
      <c r="H251" s="60"/>
      <c r="I251" s="60"/>
      <c r="J251" s="60"/>
      <c r="K251" s="60"/>
      <c r="L251" s="60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45"/>
      <c r="AJ251" s="45"/>
      <c r="AK251" s="60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  <c r="AX251" s="45"/>
    </row>
    <row r="252" spans="2:50" ht="15.75" customHeight="1" x14ac:dyDescent="0.3">
      <c r="B252" s="60"/>
      <c r="C252" s="45"/>
      <c r="D252" s="45"/>
      <c r="E252" s="60"/>
      <c r="F252" s="60"/>
      <c r="G252" s="60"/>
      <c r="H252" s="60"/>
      <c r="I252" s="60"/>
      <c r="J252" s="60"/>
      <c r="K252" s="60"/>
      <c r="L252" s="60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45"/>
      <c r="AJ252" s="45"/>
      <c r="AK252" s="60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  <c r="AX252" s="45"/>
    </row>
    <row r="253" spans="2:50" ht="15.75" customHeight="1" x14ac:dyDescent="0.3">
      <c r="B253" s="60"/>
      <c r="C253" s="45"/>
      <c r="D253" s="45"/>
      <c r="E253" s="60"/>
      <c r="F253" s="60"/>
      <c r="G253" s="60"/>
      <c r="H253" s="60"/>
      <c r="I253" s="60"/>
      <c r="J253" s="60"/>
      <c r="K253" s="60"/>
      <c r="L253" s="60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45"/>
      <c r="AJ253" s="45"/>
      <c r="AK253" s="60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</row>
    <row r="254" spans="2:50" ht="15.75" customHeight="1" x14ac:dyDescent="0.3">
      <c r="B254" s="60"/>
      <c r="C254" s="45"/>
      <c r="D254" s="45"/>
      <c r="E254" s="60"/>
      <c r="F254" s="60"/>
      <c r="G254" s="60"/>
      <c r="H254" s="60"/>
      <c r="I254" s="60"/>
      <c r="J254" s="60"/>
      <c r="K254" s="60"/>
      <c r="L254" s="60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45"/>
      <c r="AJ254" s="45"/>
      <c r="AK254" s="60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  <c r="AX254" s="45"/>
    </row>
    <row r="255" spans="2:50" ht="15.75" customHeight="1" x14ac:dyDescent="0.3">
      <c r="B255" s="60"/>
      <c r="C255" s="45"/>
      <c r="D255" s="45"/>
      <c r="E255" s="60"/>
      <c r="F255" s="60"/>
      <c r="G255" s="60"/>
      <c r="H255" s="60"/>
      <c r="I255" s="60"/>
      <c r="J255" s="60"/>
      <c r="K255" s="60"/>
      <c r="L255" s="60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45"/>
      <c r="AJ255" s="45"/>
      <c r="AK255" s="60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  <c r="AX255" s="45"/>
    </row>
    <row r="256" spans="2:50" ht="15.75" customHeight="1" x14ac:dyDescent="0.3">
      <c r="B256" s="60"/>
      <c r="C256" s="45"/>
      <c r="D256" s="45"/>
      <c r="E256" s="60"/>
      <c r="F256" s="60"/>
      <c r="G256" s="60"/>
      <c r="H256" s="60"/>
      <c r="I256" s="60"/>
      <c r="J256" s="60"/>
      <c r="K256" s="60"/>
      <c r="L256" s="60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45"/>
      <c r="AJ256" s="45"/>
      <c r="AK256" s="60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  <c r="AX256" s="45"/>
    </row>
    <row r="257" spans="2:50" ht="15.75" customHeight="1" x14ac:dyDescent="0.3">
      <c r="B257" s="60"/>
      <c r="C257" s="45"/>
      <c r="D257" s="45"/>
      <c r="E257" s="60"/>
      <c r="F257" s="60"/>
      <c r="G257" s="60"/>
      <c r="H257" s="60"/>
      <c r="I257" s="60"/>
      <c r="J257" s="60"/>
      <c r="K257" s="60"/>
      <c r="L257" s="60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45"/>
      <c r="AJ257" s="45"/>
      <c r="AK257" s="60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</row>
    <row r="258" spans="2:50" ht="15.75" customHeight="1" x14ac:dyDescent="0.3">
      <c r="B258" s="60"/>
      <c r="C258" s="45"/>
      <c r="D258" s="45"/>
      <c r="E258" s="60"/>
      <c r="F258" s="60"/>
      <c r="G258" s="60"/>
      <c r="H258" s="60"/>
      <c r="I258" s="60"/>
      <c r="J258" s="60"/>
      <c r="K258" s="60"/>
      <c r="L258" s="60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45"/>
      <c r="AJ258" s="45"/>
      <c r="AK258" s="60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  <c r="AX258" s="45"/>
    </row>
    <row r="259" spans="2:50" ht="15.75" customHeight="1" x14ac:dyDescent="0.3">
      <c r="B259" s="60"/>
      <c r="C259" s="45"/>
      <c r="D259" s="45"/>
      <c r="E259" s="60"/>
      <c r="F259" s="60"/>
      <c r="G259" s="60"/>
      <c r="H259" s="60"/>
      <c r="I259" s="60"/>
      <c r="J259" s="60"/>
      <c r="K259" s="60"/>
      <c r="L259" s="60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45"/>
      <c r="AJ259" s="45"/>
      <c r="AK259" s="60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</row>
    <row r="260" spans="2:50" ht="15.75" customHeight="1" x14ac:dyDescent="0.3">
      <c r="B260" s="60"/>
      <c r="C260" s="45"/>
      <c r="D260" s="45"/>
      <c r="E260" s="60"/>
      <c r="F260" s="60"/>
      <c r="G260" s="60"/>
      <c r="H260" s="60"/>
      <c r="I260" s="60"/>
      <c r="J260" s="60"/>
      <c r="K260" s="60"/>
      <c r="L260" s="60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45"/>
      <c r="AJ260" s="45"/>
      <c r="AK260" s="60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  <c r="AX260" s="45"/>
    </row>
    <row r="261" spans="2:50" ht="15.75" customHeight="1" x14ac:dyDescent="0.3">
      <c r="B261" s="60"/>
      <c r="C261" s="45"/>
      <c r="D261" s="45"/>
      <c r="E261" s="60"/>
      <c r="F261" s="60"/>
      <c r="G261" s="60"/>
      <c r="H261" s="60"/>
      <c r="I261" s="60"/>
      <c r="J261" s="60"/>
      <c r="K261" s="60"/>
      <c r="L261" s="60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45"/>
      <c r="AJ261" s="45"/>
      <c r="AK261" s="60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</row>
    <row r="262" spans="2:50" ht="15.75" customHeight="1" x14ac:dyDescent="0.3">
      <c r="B262" s="60"/>
      <c r="C262" s="45"/>
      <c r="D262" s="45"/>
      <c r="E262" s="60"/>
      <c r="F262" s="60"/>
      <c r="G262" s="60"/>
      <c r="H262" s="60"/>
      <c r="I262" s="60"/>
      <c r="J262" s="60"/>
      <c r="K262" s="60"/>
      <c r="L262" s="60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45"/>
      <c r="AJ262" s="45"/>
      <c r="AK262" s="60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  <c r="AX262" s="45"/>
    </row>
    <row r="263" spans="2:50" ht="15.75" customHeight="1" x14ac:dyDescent="0.3">
      <c r="B263" s="60"/>
      <c r="C263" s="45"/>
      <c r="D263" s="45"/>
      <c r="E263" s="60"/>
      <c r="F263" s="60"/>
      <c r="G263" s="60"/>
      <c r="H263" s="60"/>
      <c r="I263" s="60"/>
      <c r="J263" s="60"/>
      <c r="K263" s="60"/>
      <c r="L263" s="60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45"/>
      <c r="AJ263" s="45"/>
      <c r="AK263" s="60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</row>
    <row r="264" spans="2:50" ht="15.75" customHeight="1" x14ac:dyDescent="0.3">
      <c r="B264" s="60"/>
      <c r="C264" s="45"/>
      <c r="D264" s="45"/>
      <c r="E264" s="60"/>
      <c r="F264" s="60"/>
      <c r="G264" s="60"/>
      <c r="H264" s="60"/>
      <c r="I264" s="60"/>
      <c r="J264" s="60"/>
      <c r="K264" s="60"/>
      <c r="L264" s="60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45"/>
      <c r="AJ264" s="45"/>
      <c r="AK264" s="60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  <c r="AX264" s="45"/>
    </row>
    <row r="265" spans="2:50" ht="15.75" customHeight="1" x14ac:dyDescent="0.3">
      <c r="B265" s="60"/>
      <c r="C265" s="45"/>
      <c r="D265" s="45"/>
      <c r="E265" s="60"/>
      <c r="F265" s="60"/>
      <c r="G265" s="60"/>
      <c r="H265" s="60"/>
      <c r="I265" s="60"/>
      <c r="J265" s="60"/>
      <c r="K265" s="60"/>
      <c r="L265" s="60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45"/>
      <c r="AJ265" s="45"/>
      <c r="AK265" s="60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  <c r="AX265" s="45"/>
    </row>
    <row r="266" spans="2:50" ht="15.75" customHeight="1" x14ac:dyDescent="0.3">
      <c r="B266" s="60"/>
      <c r="C266" s="45"/>
      <c r="D266" s="45"/>
      <c r="E266" s="60"/>
      <c r="F266" s="60"/>
      <c r="G266" s="60"/>
      <c r="H266" s="60"/>
      <c r="I266" s="60"/>
      <c r="J266" s="60"/>
      <c r="K266" s="60"/>
      <c r="L266" s="60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45"/>
      <c r="AJ266" s="45"/>
      <c r="AK266" s="60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  <c r="AX266" s="45"/>
    </row>
    <row r="267" spans="2:50" ht="15.75" customHeight="1" x14ac:dyDescent="0.3">
      <c r="B267" s="60"/>
      <c r="C267" s="45"/>
      <c r="D267" s="45"/>
      <c r="E267" s="60"/>
      <c r="F267" s="60"/>
      <c r="G267" s="60"/>
      <c r="H267" s="60"/>
      <c r="I267" s="60"/>
      <c r="J267" s="60"/>
      <c r="K267" s="60"/>
      <c r="L267" s="60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45"/>
      <c r="AJ267" s="45"/>
      <c r="AK267" s="60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  <c r="AX267" s="45"/>
    </row>
    <row r="268" spans="2:50" ht="15.75" customHeight="1" x14ac:dyDescent="0.3">
      <c r="B268" s="60"/>
      <c r="C268" s="45"/>
      <c r="D268" s="45"/>
      <c r="E268" s="60"/>
      <c r="F268" s="60"/>
      <c r="G268" s="60"/>
      <c r="H268" s="60"/>
      <c r="I268" s="60"/>
      <c r="J268" s="60"/>
      <c r="K268" s="60"/>
      <c r="L268" s="60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45"/>
      <c r="AJ268" s="45"/>
      <c r="AK268" s="60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  <c r="AX268" s="45"/>
    </row>
    <row r="269" spans="2:50" ht="15.75" customHeight="1" x14ac:dyDescent="0.3">
      <c r="B269" s="60"/>
      <c r="C269" s="45"/>
      <c r="D269" s="45"/>
      <c r="E269" s="60"/>
      <c r="F269" s="60"/>
      <c r="G269" s="60"/>
      <c r="H269" s="60"/>
      <c r="I269" s="60"/>
      <c r="J269" s="60"/>
      <c r="K269" s="60"/>
      <c r="L269" s="60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45"/>
      <c r="AJ269" s="45"/>
      <c r="AK269" s="60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  <c r="AX269" s="45"/>
    </row>
    <row r="270" spans="2:50" ht="15.75" customHeight="1" x14ac:dyDescent="0.3">
      <c r="B270" s="60"/>
      <c r="C270" s="45"/>
      <c r="D270" s="45"/>
      <c r="E270" s="60"/>
      <c r="F270" s="60"/>
      <c r="G270" s="60"/>
      <c r="H270" s="60"/>
      <c r="I270" s="60"/>
      <c r="J270" s="60"/>
      <c r="K270" s="60"/>
      <c r="L270" s="60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45"/>
      <c r="AJ270" s="45"/>
      <c r="AK270" s="60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</row>
    <row r="271" spans="2:50" ht="15.75" customHeight="1" x14ac:dyDescent="0.3">
      <c r="B271" s="60"/>
      <c r="C271" s="45"/>
      <c r="D271" s="45"/>
      <c r="E271" s="60"/>
      <c r="F271" s="60"/>
      <c r="G271" s="60"/>
      <c r="H271" s="60"/>
      <c r="I271" s="60"/>
      <c r="J271" s="60"/>
      <c r="K271" s="60"/>
      <c r="L271" s="60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45"/>
      <c r="AJ271" s="45"/>
      <c r="AK271" s="60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</row>
    <row r="272" spans="2:50" ht="15.75" customHeight="1" x14ac:dyDescent="0.3">
      <c r="B272" s="60"/>
      <c r="C272" s="45"/>
      <c r="D272" s="45"/>
      <c r="E272" s="60"/>
      <c r="F272" s="60"/>
      <c r="G272" s="60"/>
      <c r="H272" s="60"/>
      <c r="I272" s="60"/>
      <c r="J272" s="60"/>
      <c r="K272" s="60"/>
      <c r="L272" s="60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45"/>
      <c r="AJ272" s="45"/>
      <c r="AK272" s="60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5"/>
      <c r="AX272" s="45"/>
    </row>
    <row r="273" spans="2:50" ht="15.75" customHeight="1" x14ac:dyDescent="0.3">
      <c r="B273" s="60"/>
      <c r="C273" s="45"/>
      <c r="D273" s="45"/>
      <c r="E273" s="60"/>
      <c r="F273" s="60"/>
      <c r="G273" s="60"/>
      <c r="H273" s="60"/>
      <c r="I273" s="60"/>
      <c r="J273" s="60"/>
      <c r="K273" s="60"/>
      <c r="L273" s="60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45"/>
      <c r="AJ273" s="45"/>
      <c r="AK273" s="60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  <c r="AX273" s="45"/>
    </row>
    <row r="274" spans="2:50" ht="15.75" customHeight="1" x14ac:dyDescent="0.3">
      <c r="B274" s="60"/>
      <c r="C274" s="45"/>
      <c r="D274" s="45"/>
      <c r="E274" s="60"/>
      <c r="F274" s="60"/>
      <c r="G274" s="60"/>
      <c r="H274" s="60"/>
      <c r="I274" s="60"/>
      <c r="J274" s="60"/>
      <c r="K274" s="60"/>
      <c r="L274" s="60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45"/>
      <c r="AJ274" s="45"/>
      <c r="AK274" s="60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  <c r="AX274" s="45"/>
    </row>
    <row r="275" spans="2:50" ht="15.75" customHeight="1" x14ac:dyDescent="0.3">
      <c r="B275" s="60"/>
      <c r="C275" s="45"/>
      <c r="D275" s="45"/>
      <c r="E275" s="60"/>
      <c r="F275" s="60"/>
      <c r="G275" s="60"/>
      <c r="H275" s="60"/>
      <c r="I275" s="60"/>
      <c r="J275" s="60"/>
      <c r="K275" s="60"/>
      <c r="L275" s="60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45"/>
      <c r="AJ275" s="45"/>
      <c r="AK275" s="60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  <c r="AX275" s="45"/>
    </row>
    <row r="276" spans="2:50" ht="15.75" customHeight="1" x14ac:dyDescent="0.3">
      <c r="B276" s="60"/>
      <c r="C276" s="45"/>
      <c r="D276" s="45"/>
      <c r="E276" s="60"/>
      <c r="F276" s="60"/>
      <c r="G276" s="60"/>
      <c r="H276" s="60"/>
      <c r="I276" s="60"/>
      <c r="J276" s="60"/>
      <c r="K276" s="60"/>
      <c r="L276" s="60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45"/>
      <c r="AJ276" s="45"/>
      <c r="AK276" s="60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5"/>
      <c r="AX276" s="45"/>
    </row>
    <row r="277" spans="2:50" ht="15.75" customHeight="1" x14ac:dyDescent="0.3">
      <c r="B277" s="60"/>
      <c r="C277" s="45"/>
      <c r="D277" s="45"/>
      <c r="E277" s="60"/>
      <c r="F277" s="60"/>
      <c r="G277" s="60"/>
      <c r="H277" s="60"/>
      <c r="I277" s="60"/>
      <c r="J277" s="60"/>
      <c r="K277" s="60"/>
      <c r="L277" s="60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45"/>
      <c r="AJ277" s="45"/>
      <c r="AK277" s="60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  <c r="AX277" s="45"/>
    </row>
    <row r="278" spans="2:50" ht="15.75" customHeight="1" x14ac:dyDescent="0.3">
      <c r="B278" s="60"/>
      <c r="C278" s="45"/>
      <c r="D278" s="45"/>
      <c r="E278" s="60"/>
      <c r="F278" s="60"/>
      <c r="G278" s="60"/>
      <c r="H278" s="60"/>
      <c r="I278" s="60"/>
      <c r="J278" s="60"/>
      <c r="K278" s="60"/>
      <c r="L278" s="60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45"/>
      <c r="AJ278" s="45"/>
      <c r="AK278" s="60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5"/>
      <c r="AX278" s="45"/>
    </row>
    <row r="279" spans="2:50" ht="15.75" customHeight="1" x14ac:dyDescent="0.3">
      <c r="B279" s="60"/>
      <c r="C279" s="45"/>
      <c r="D279" s="45"/>
      <c r="E279" s="60"/>
      <c r="F279" s="60"/>
      <c r="G279" s="60"/>
      <c r="H279" s="60"/>
      <c r="I279" s="60"/>
      <c r="J279" s="60"/>
      <c r="K279" s="60"/>
      <c r="L279" s="60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45"/>
      <c r="AJ279" s="45"/>
      <c r="AK279" s="60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  <c r="AX279" s="45"/>
    </row>
    <row r="280" spans="2:50" ht="15.75" customHeight="1" x14ac:dyDescent="0.3">
      <c r="B280" s="60"/>
      <c r="C280" s="45"/>
      <c r="D280" s="45"/>
      <c r="E280" s="60"/>
      <c r="F280" s="60"/>
      <c r="G280" s="60"/>
      <c r="H280" s="60"/>
      <c r="I280" s="60"/>
      <c r="J280" s="60"/>
      <c r="K280" s="60"/>
      <c r="L280" s="60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45"/>
      <c r="AJ280" s="45"/>
      <c r="AK280" s="60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  <c r="AX280" s="45"/>
    </row>
    <row r="281" spans="2:50" ht="15.75" customHeight="1" x14ac:dyDescent="0.3">
      <c r="B281" s="60"/>
      <c r="C281" s="45"/>
      <c r="D281" s="45"/>
      <c r="E281" s="60"/>
      <c r="F281" s="60"/>
      <c r="G281" s="60"/>
      <c r="H281" s="60"/>
      <c r="I281" s="60"/>
      <c r="J281" s="60"/>
      <c r="K281" s="60"/>
      <c r="L281" s="60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45"/>
      <c r="AJ281" s="45"/>
      <c r="AK281" s="60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5"/>
      <c r="AX281" s="45"/>
    </row>
    <row r="282" spans="2:50" ht="15.75" customHeight="1" x14ac:dyDescent="0.3">
      <c r="B282" s="60"/>
      <c r="C282" s="45"/>
      <c r="D282" s="45"/>
      <c r="E282" s="60"/>
      <c r="F282" s="60"/>
      <c r="G282" s="60"/>
      <c r="H282" s="60"/>
      <c r="I282" s="60"/>
      <c r="J282" s="60"/>
      <c r="K282" s="60"/>
      <c r="L282" s="60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45"/>
      <c r="AJ282" s="45"/>
      <c r="AK282" s="60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45"/>
      <c r="AX282" s="45"/>
    </row>
    <row r="283" spans="2:50" ht="15.75" customHeight="1" x14ac:dyDescent="0.3">
      <c r="B283" s="60"/>
      <c r="C283" s="45"/>
      <c r="D283" s="45"/>
      <c r="E283" s="60"/>
      <c r="F283" s="60"/>
      <c r="G283" s="60"/>
      <c r="H283" s="60"/>
      <c r="I283" s="60"/>
      <c r="J283" s="60"/>
      <c r="K283" s="60"/>
      <c r="L283" s="60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45"/>
      <c r="AJ283" s="45"/>
      <c r="AK283" s="60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</row>
    <row r="284" spans="2:50" ht="15.75" customHeight="1" x14ac:dyDescent="0.3">
      <c r="B284" s="60"/>
      <c r="C284" s="45"/>
      <c r="D284" s="45"/>
      <c r="E284" s="60"/>
      <c r="F284" s="60"/>
      <c r="G284" s="60"/>
      <c r="H284" s="60"/>
      <c r="I284" s="60"/>
      <c r="J284" s="60"/>
      <c r="K284" s="60"/>
      <c r="L284" s="60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45"/>
      <c r="AJ284" s="45"/>
      <c r="AK284" s="60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45"/>
      <c r="AX284" s="45"/>
    </row>
    <row r="285" spans="2:50" ht="15.75" customHeight="1" x14ac:dyDescent="0.3">
      <c r="B285" s="60"/>
      <c r="C285" s="45"/>
      <c r="D285" s="45"/>
      <c r="E285" s="60"/>
      <c r="F285" s="60"/>
      <c r="G285" s="60"/>
      <c r="H285" s="60"/>
      <c r="I285" s="60"/>
      <c r="J285" s="60"/>
      <c r="K285" s="60"/>
      <c r="L285" s="60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45"/>
      <c r="AJ285" s="45"/>
      <c r="AK285" s="60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5"/>
      <c r="AW285" s="45"/>
      <c r="AX285" s="45"/>
    </row>
    <row r="286" spans="2:50" ht="15.75" customHeight="1" x14ac:dyDescent="0.3">
      <c r="B286" s="60"/>
      <c r="C286" s="45"/>
      <c r="D286" s="45"/>
      <c r="E286" s="60"/>
      <c r="F286" s="60"/>
      <c r="G286" s="60"/>
      <c r="H286" s="60"/>
      <c r="I286" s="60"/>
      <c r="J286" s="60"/>
      <c r="K286" s="60"/>
      <c r="L286" s="60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45"/>
      <c r="AJ286" s="45"/>
      <c r="AK286" s="60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5"/>
      <c r="AW286" s="45"/>
      <c r="AX286" s="45"/>
    </row>
    <row r="287" spans="2:50" ht="15.75" customHeight="1" x14ac:dyDescent="0.3">
      <c r="B287" s="60"/>
      <c r="C287" s="45"/>
      <c r="D287" s="45"/>
      <c r="E287" s="60"/>
      <c r="F287" s="60"/>
      <c r="G287" s="60"/>
      <c r="H287" s="60"/>
      <c r="I287" s="60"/>
      <c r="J287" s="60"/>
      <c r="K287" s="60"/>
      <c r="L287" s="60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45"/>
      <c r="AJ287" s="45"/>
      <c r="AK287" s="60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5"/>
      <c r="AX287" s="45"/>
    </row>
    <row r="288" spans="2:50" ht="15.75" customHeight="1" x14ac:dyDescent="0.3">
      <c r="B288" s="60"/>
      <c r="C288" s="45"/>
      <c r="D288" s="45"/>
      <c r="E288" s="60"/>
      <c r="F288" s="60"/>
      <c r="G288" s="60"/>
      <c r="H288" s="60"/>
      <c r="I288" s="60"/>
      <c r="J288" s="60"/>
      <c r="K288" s="60"/>
      <c r="L288" s="60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45"/>
      <c r="AJ288" s="45"/>
      <c r="AK288" s="60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5"/>
      <c r="AW288" s="45"/>
      <c r="AX288" s="45"/>
    </row>
    <row r="289" spans="2:50" ht="15.75" customHeight="1" x14ac:dyDescent="0.3">
      <c r="B289" s="60"/>
      <c r="C289" s="45"/>
      <c r="D289" s="45"/>
      <c r="E289" s="60"/>
      <c r="F289" s="60"/>
      <c r="G289" s="60"/>
      <c r="H289" s="60"/>
      <c r="I289" s="60"/>
      <c r="J289" s="60"/>
      <c r="K289" s="60"/>
      <c r="L289" s="60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45"/>
      <c r="AJ289" s="45"/>
      <c r="AK289" s="60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45"/>
      <c r="AX289" s="45"/>
    </row>
    <row r="290" spans="2:50" ht="15.75" customHeight="1" x14ac:dyDescent="0.3">
      <c r="B290" s="60"/>
      <c r="C290" s="45"/>
      <c r="D290" s="45"/>
      <c r="E290" s="60"/>
      <c r="F290" s="60"/>
      <c r="G290" s="60"/>
      <c r="H290" s="60"/>
      <c r="I290" s="60"/>
      <c r="J290" s="60"/>
      <c r="K290" s="60"/>
      <c r="L290" s="60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45"/>
      <c r="AJ290" s="45"/>
      <c r="AK290" s="60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45"/>
      <c r="AX290" s="45"/>
    </row>
    <row r="291" spans="2:50" ht="15.75" customHeight="1" x14ac:dyDescent="0.3">
      <c r="B291" s="60"/>
      <c r="C291" s="45"/>
      <c r="D291" s="45"/>
      <c r="E291" s="60"/>
      <c r="F291" s="60"/>
      <c r="G291" s="60"/>
      <c r="H291" s="60"/>
      <c r="I291" s="60"/>
      <c r="J291" s="60"/>
      <c r="K291" s="60"/>
      <c r="L291" s="60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45"/>
      <c r="AJ291" s="45"/>
      <c r="AK291" s="60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5"/>
      <c r="AX291" s="45"/>
    </row>
    <row r="292" spans="2:50" ht="15.75" customHeight="1" x14ac:dyDescent="0.3">
      <c r="B292" s="60"/>
      <c r="C292" s="45"/>
      <c r="D292" s="45"/>
      <c r="E292" s="60"/>
      <c r="F292" s="60"/>
      <c r="G292" s="60"/>
      <c r="H292" s="60"/>
      <c r="I292" s="60"/>
      <c r="J292" s="60"/>
      <c r="K292" s="60"/>
      <c r="L292" s="60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45"/>
      <c r="AJ292" s="45"/>
      <c r="AK292" s="60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</row>
    <row r="293" spans="2:50" ht="15.75" customHeight="1" x14ac:dyDescent="0.3">
      <c r="B293" s="60"/>
      <c r="C293" s="45"/>
      <c r="D293" s="45"/>
      <c r="E293" s="60"/>
      <c r="F293" s="60"/>
      <c r="G293" s="60"/>
      <c r="H293" s="60"/>
      <c r="I293" s="60"/>
      <c r="J293" s="60"/>
      <c r="K293" s="60"/>
      <c r="L293" s="60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45"/>
      <c r="AJ293" s="45"/>
      <c r="AK293" s="60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45"/>
      <c r="AX293" s="45"/>
    </row>
    <row r="294" spans="2:50" ht="15.75" customHeight="1" x14ac:dyDescent="0.3">
      <c r="B294" s="60"/>
      <c r="C294" s="45"/>
      <c r="D294" s="45"/>
      <c r="E294" s="60"/>
      <c r="F294" s="60"/>
      <c r="G294" s="60"/>
      <c r="H294" s="60"/>
      <c r="I294" s="60"/>
      <c r="J294" s="60"/>
      <c r="K294" s="60"/>
      <c r="L294" s="60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45"/>
      <c r="AJ294" s="45"/>
      <c r="AK294" s="60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  <c r="AW294" s="45"/>
      <c r="AX294" s="45"/>
    </row>
    <row r="295" spans="2:50" ht="15.75" customHeight="1" x14ac:dyDescent="0.3">
      <c r="B295" s="60"/>
      <c r="C295" s="45"/>
      <c r="D295" s="45"/>
      <c r="E295" s="60"/>
      <c r="F295" s="60"/>
      <c r="G295" s="60"/>
      <c r="H295" s="60"/>
      <c r="I295" s="60"/>
      <c r="J295" s="60"/>
      <c r="K295" s="60"/>
      <c r="L295" s="60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45"/>
      <c r="AJ295" s="45"/>
      <c r="AK295" s="60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5"/>
      <c r="AX295" s="45"/>
    </row>
    <row r="296" spans="2:50" ht="15.75" customHeight="1" x14ac:dyDescent="0.3">
      <c r="B296" s="60"/>
      <c r="C296" s="45"/>
      <c r="D296" s="45"/>
      <c r="E296" s="60"/>
      <c r="F296" s="60"/>
      <c r="G296" s="60"/>
      <c r="H296" s="60"/>
      <c r="I296" s="60"/>
      <c r="J296" s="60"/>
      <c r="K296" s="60"/>
      <c r="L296" s="60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45"/>
      <c r="AJ296" s="45"/>
      <c r="AK296" s="60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  <c r="AW296" s="45"/>
      <c r="AX296" s="45"/>
    </row>
    <row r="297" spans="2:50" ht="15.75" customHeight="1" x14ac:dyDescent="0.3">
      <c r="B297" s="60"/>
      <c r="C297" s="45"/>
      <c r="D297" s="45"/>
      <c r="E297" s="60"/>
      <c r="F297" s="60"/>
      <c r="G297" s="60"/>
      <c r="H297" s="60"/>
      <c r="I297" s="60"/>
      <c r="J297" s="60"/>
      <c r="K297" s="60"/>
      <c r="L297" s="60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45"/>
      <c r="AJ297" s="45"/>
      <c r="AK297" s="60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5"/>
      <c r="AX297" s="45"/>
    </row>
    <row r="298" spans="2:50" ht="15.75" customHeight="1" x14ac:dyDescent="0.3">
      <c r="B298" s="60"/>
      <c r="C298" s="45"/>
      <c r="D298" s="45"/>
      <c r="E298" s="60"/>
      <c r="F298" s="60"/>
      <c r="G298" s="60"/>
      <c r="H298" s="60"/>
      <c r="I298" s="60"/>
      <c r="J298" s="60"/>
      <c r="K298" s="60"/>
      <c r="L298" s="60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45"/>
      <c r="AJ298" s="45"/>
      <c r="AK298" s="60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45"/>
      <c r="AX298" s="45"/>
    </row>
    <row r="299" spans="2:50" ht="15.75" customHeight="1" x14ac:dyDescent="0.3">
      <c r="B299" s="60"/>
      <c r="C299" s="45"/>
      <c r="D299" s="45"/>
      <c r="E299" s="60"/>
      <c r="F299" s="60"/>
      <c r="G299" s="60"/>
      <c r="H299" s="60"/>
      <c r="I299" s="60"/>
      <c r="J299" s="60"/>
      <c r="K299" s="60"/>
      <c r="L299" s="60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45"/>
      <c r="AJ299" s="45"/>
      <c r="AK299" s="60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45"/>
      <c r="AX299" s="45"/>
    </row>
    <row r="300" spans="2:50" ht="15.75" customHeight="1" x14ac:dyDescent="0.3">
      <c r="B300" s="60"/>
      <c r="C300" s="45"/>
      <c r="D300" s="45"/>
      <c r="E300" s="60"/>
      <c r="F300" s="60"/>
      <c r="G300" s="60"/>
      <c r="H300" s="60"/>
      <c r="I300" s="60"/>
      <c r="J300" s="60"/>
      <c r="K300" s="60"/>
      <c r="L300" s="60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45"/>
      <c r="AJ300" s="45"/>
      <c r="AK300" s="60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45"/>
      <c r="AX300" s="45"/>
    </row>
    <row r="301" spans="2:50" ht="15.75" customHeight="1" x14ac:dyDescent="0.3">
      <c r="B301" s="60"/>
      <c r="C301" s="45"/>
      <c r="D301" s="45"/>
      <c r="E301" s="60"/>
      <c r="F301" s="60"/>
      <c r="G301" s="60"/>
      <c r="H301" s="60"/>
      <c r="I301" s="60"/>
      <c r="J301" s="60"/>
      <c r="K301" s="60"/>
      <c r="L301" s="60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45"/>
      <c r="AJ301" s="45"/>
      <c r="AK301" s="60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</row>
    <row r="302" spans="2:50" ht="15.75" customHeight="1" x14ac:dyDescent="0.3">
      <c r="B302" s="60"/>
      <c r="C302" s="45"/>
      <c r="D302" s="45"/>
      <c r="E302" s="60"/>
      <c r="F302" s="60"/>
      <c r="G302" s="60"/>
      <c r="H302" s="60"/>
      <c r="I302" s="60"/>
      <c r="J302" s="60"/>
      <c r="K302" s="60"/>
      <c r="L302" s="60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45"/>
      <c r="AJ302" s="45"/>
      <c r="AK302" s="60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  <c r="AW302" s="45"/>
      <c r="AX302" s="45"/>
    </row>
    <row r="303" spans="2:50" ht="15.75" customHeight="1" x14ac:dyDescent="0.3">
      <c r="B303" s="60"/>
      <c r="C303" s="45"/>
      <c r="D303" s="45"/>
      <c r="E303" s="60"/>
      <c r="F303" s="60"/>
      <c r="G303" s="60"/>
      <c r="H303" s="60"/>
      <c r="I303" s="60"/>
      <c r="J303" s="60"/>
      <c r="K303" s="60"/>
      <c r="L303" s="60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45"/>
      <c r="AJ303" s="45"/>
      <c r="AK303" s="60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5"/>
      <c r="AX303" s="45"/>
    </row>
    <row r="304" spans="2:50" ht="15.75" customHeight="1" x14ac:dyDescent="0.3">
      <c r="B304" s="60"/>
      <c r="C304" s="45"/>
      <c r="D304" s="45"/>
      <c r="E304" s="60"/>
      <c r="F304" s="60"/>
      <c r="G304" s="60"/>
      <c r="H304" s="60"/>
      <c r="I304" s="60"/>
      <c r="J304" s="60"/>
      <c r="K304" s="60"/>
      <c r="L304" s="60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45"/>
      <c r="AJ304" s="45"/>
      <c r="AK304" s="60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</row>
    <row r="305" spans="2:50" ht="15.75" customHeight="1" x14ac:dyDescent="0.3">
      <c r="B305" s="60"/>
      <c r="C305" s="45"/>
      <c r="D305" s="45"/>
      <c r="E305" s="60"/>
      <c r="F305" s="60"/>
      <c r="G305" s="60"/>
      <c r="H305" s="60"/>
      <c r="I305" s="60"/>
      <c r="J305" s="60"/>
      <c r="K305" s="60"/>
      <c r="L305" s="60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45"/>
      <c r="AJ305" s="45"/>
      <c r="AK305" s="60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</row>
    <row r="306" spans="2:50" ht="15.75" customHeight="1" x14ac:dyDescent="0.3">
      <c r="B306" s="60"/>
      <c r="C306" s="45"/>
      <c r="D306" s="45"/>
      <c r="E306" s="60"/>
      <c r="F306" s="60"/>
      <c r="G306" s="60"/>
      <c r="H306" s="60"/>
      <c r="I306" s="60"/>
      <c r="J306" s="60"/>
      <c r="K306" s="60"/>
      <c r="L306" s="60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45"/>
      <c r="AJ306" s="45"/>
      <c r="AK306" s="60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  <c r="AW306" s="45"/>
      <c r="AX306" s="45"/>
    </row>
    <row r="307" spans="2:50" ht="15.75" customHeight="1" x14ac:dyDescent="0.3">
      <c r="B307" s="60"/>
      <c r="C307" s="45"/>
      <c r="D307" s="45"/>
      <c r="E307" s="60"/>
      <c r="F307" s="60"/>
      <c r="G307" s="60"/>
      <c r="H307" s="60"/>
      <c r="I307" s="60"/>
      <c r="J307" s="60"/>
      <c r="K307" s="60"/>
      <c r="L307" s="60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45"/>
      <c r="AJ307" s="45"/>
      <c r="AK307" s="60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5"/>
      <c r="AX307" s="45"/>
    </row>
    <row r="308" spans="2:50" ht="15.75" customHeight="1" x14ac:dyDescent="0.3">
      <c r="B308" s="60"/>
      <c r="C308" s="45"/>
      <c r="D308" s="45"/>
      <c r="E308" s="60"/>
      <c r="F308" s="60"/>
      <c r="G308" s="60"/>
      <c r="H308" s="60"/>
      <c r="I308" s="60"/>
      <c r="J308" s="60"/>
      <c r="K308" s="60"/>
      <c r="L308" s="60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45"/>
      <c r="AJ308" s="45"/>
      <c r="AK308" s="60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  <c r="AW308" s="45"/>
      <c r="AX308" s="45"/>
    </row>
    <row r="309" spans="2:50" ht="15.75" customHeight="1" x14ac:dyDescent="0.3">
      <c r="B309" s="60"/>
      <c r="C309" s="45"/>
      <c r="D309" s="45"/>
      <c r="E309" s="60"/>
      <c r="F309" s="60"/>
      <c r="G309" s="60"/>
      <c r="H309" s="60"/>
      <c r="I309" s="60"/>
      <c r="J309" s="60"/>
      <c r="K309" s="60"/>
      <c r="L309" s="60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45"/>
      <c r="AJ309" s="45"/>
      <c r="AK309" s="60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5"/>
      <c r="AX309" s="45"/>
    </row>
    <row r="310" spans="2:50" ht="15.75" customHeight="1" x14ac:dyDescent="0.3">
      <c r="B310" s="60"/>
      <c r="C310" s="45"/>
      <c r="D310" s="45"/>
      <c r="E310" s="60"/>
      <c r="F310" s="60"/>
      <c r="G310" s="60"/>
      <c r="H310" s="60"/>
      <c r="I310" s="60"/>
      <c r="J310" s="60"/>
      <c r="K310" s="60"/>
      <c r="L310" s="60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45"/>
      <c r="AJ310" s="45"/>
      <c r="AK310" s="60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  <c r="AW310" s="45"/>
      <c r="AX310" s="45"/>
    </row>
    <row r="311" spans="2:50" ht="15.75" customHeight="1" x14ac:dyDescent="0.3">
      <c r="B311" s="60"/>
      <c r="C311" s="45"/>
      <c r="D311" s="45"/>
      <c r="E311" s="60"/>
      <c r="F311" s="60"/>
      <c r="G311" s="60"/>
      <c r="H311" s="60"/>
      <c r="I311" s="60"/>
      <c r="J311" s="60"/>
      <c r="K311" s="60"/>
      <c r="L311" s="60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45"/>
      <c r="AJ311" s="45"/>
      <c r="AK311" s="60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5"/>
      <c r="AW311" s="45"/>
      <c r="AX311" s="45"/>
    </row>
    <row r="312" spans="2:50" ht="15.75" customHeight="1" x14ac:dyDescent="0.3">
      <c r="B312" s="60"/>
      <c r="C312" s="45"/>
      <c r="D312" s="45"/>
      <c r="E312" s="60"/>
      <c r="F312" s="60"/>
      <c r="G312" s="60"/>
      <c r="H312" s="60"/>
      <c r="I312" s="60"/>
      <c r="J312" s="60"/>
      <c r="K312" s="60"/>
      <c r="L312" s="60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45"/>
      <c r="AJ312" s="45"/>
      <c r="AK312" s="60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5"/>
      <c r="AW312" s="45"/>
      <c r="AX312" s="45"/>
    </row>
    <row r="313" spans="2:50" ht="15.75" customHeight="1" x14ac:dyDescent="0.3">
      <c r="B313" s="60"/>
      <c r="C313" s="45"/>
      <c r="D313" s="45"/>
      <c r="E313" s="60"/>
      <c r="F313" s="60"/>
      <c r="G313" s="60"/>
      <c r="H313" s="60"/>
      <c r="I313" s="60"/>
      <c r="J313" s="60"/>
      <c r="K313" s="60"/>
      <c r="L313" s="60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45"/>
      <c r="AJ313" s="45"/>
      <c r="AK313" s="60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45"/>
      <c r="AX313" s="45"/>
    </row>
    <row r="314" spans="2:50" ht="15.75" customHeight="1" x14ac:dyDescent="0.3">
      <c r="B314" s="60"/>
      <c r="C314" s="45"/>
      <c r="D314" s="45"/>
      <c r="E314" s="60"/>
      <c r="F314" s="60"/>
      <c r="G314" s="60"/>
      <c r="H314" s="60"/>
      <c r="I314" s="60"/>
      <c r="J314" s="60"/>
      <c r="K314" s="60"/>
      <c r="L314" s="60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45"/>
      <c r="AJ314" s="45"/>
      <c r="AK314" s="60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5"/>
      <c r="AW314" s="45"/>
      <c r="AX314" s="45"/>
    </row>
    <row r="315" spans="2:50" ht="15.75" customHeight="1" x14ac:dyDescent="0.3">
      <c r="B315" s="60"/>
      <c r="C315" s="45"/>
      <c r="D315" s="45"/>
      <c r="E315" s="60"/>
      <c r="F315" s="60"/>
      <c r="G315" s="60"/>
      <c r="H315" s="60"/>
      <c r="I315" s="60"/>
      <c r="J315" s="60"/>
      <c r="K315" s="60"/>
      <c r="L315" s="60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45"/>
      <c r="AJ315" s="45"/>
      <c r="AK315" s="60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5"/>
      <c r="AW315" s="45"/>
      <c r="AX315" s="45"/>
    </row>
    <row r="316" spans="2:50" ht="15.75" customHeight="1" x14ac:dyDescent="0.3">
      <c r="B316" s="60"/>
      <c r="C316" s="45"/>
      <c r="D316" s="45"/>
      <c r="E316" s="60"/>
      <c r="F316" s="60"/>
      <c r="G316" s="60"/>
      <c r="H316" s="60"/>
      <c r="I316" s="60"/>
      <c r="J316" s="60"/>
      <c r="K316" s="60"/>
      <c r="L316" s="60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45"/>
      <c r="AJ316" s="45"/>
      <c r="AK316" s="60"/>
      <c r="AL316" s="45"/>
      <c r="AM316" s="45"/>
      <c r="AN316" s="45"/>
      <c r="AO316" s="45"/>
      <c r="AP316" s="45"/>
      <c r="AQ316" s="45"/>
      <c r="AR316" s="45"/>
      <c r="AS316" s="45"/>
      <c r="AT316" s="45"/>
      <c r="AU316" s="45"/>
      <c r="AV316" s="45"/>
      <c r="AW316" s="45"/>
      <c r="AX316" s="45"/>
    </row>
    <row r="317" spans="2:50" ht="15.75" customHeight="1" x14ac:dyDescent="0.3">
      <c r="B317" s="60"/>
      <c r="C317" s="45"/>
      <c r="D317" s="45"/>
      <c r="E317" s="60"/>
      <c r="F317" s="60"/>
      <c r="G317" s="60"/>
      <c r="H317" s="60"/>
      <c r="I317" s="60"/>
      <c r="J317" s="60"/>
      <c r="K317" s="60"/>
      <c r="L317" s="60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45"/>
      <c r="AJ317" s="45"/>
      <c r="AK317" s="60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5"/>
      <c r="AW317" s="45"/>
      <c r="AX317" s="45"/>
    </row>
    <row r="318" spans="2:50" ht="15.75" customHeight="1" x14ac:dyDescent="0.3">
      <c r="B318" s="60"/>
      <c r="C318" s="45"/>
      <c r="D318" s="45"/>
      <c r="E318" s="60"/>
      <c r="F318" s="60"/>
      <c r="G318" s="60"/>
      <c r="H318" s="60"/>
      <c r="I318" s="60"/>
      <c r="J318" s="60"/>
      <c r="K318" s="60"/>
      <c r="L318" s="60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45"/>
      <c r="AJ318" s="45"/>
      <c r="AK318" s="60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5"/>
      <c r="AW318" s="45"/>
      <c r="AX318" s="45"/>
    </row>
    <row r="319" spans="2:50" ht="15.75" customHeight="1" x14ac:dyDescent="0.3">
      <c r="B319" s="60"/>
      <c r="C319" s="45"/>
      <c r="D319" s="45"/>
      <c r="E319" s="60"/>
      <c r="F319" s="60"/>
      <c r="G319" s="60"/>
      <c r="H319" s="60"/>
      <c r="I319" s="60"/>
      <c r="J319" s="60"/>
      <c r="K319" s="60"/>
      <c r="L319" s="60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45"/>
      <c r="AJ319" s="45"/>
      <c r="AK319" s="60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5"/>
      <c r="AX319" s="45"/>
    </row>
    <row r="320" spans="2:50" ht="15.75" customHeight="1" x14ac:dyDescent="0.3">
      <c r="B320" s="60"/>
      <c r="C320" s="45"/>
      <c r="D320" s="45"/>
      <c r="E320" s="60"/>
      <c r="F320" s="60"/>
      <c r="G320" s="60"/>
      <c r="H320" s="60"/>
      <c r="I320" s="60"/>
      <c r="J320" s="60"/>
      <c r="K320" s="60"/>
      <c r="L320" s="60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45"/>
      <c r="AJ320" s="45"/>
      <c r="AK320" s="60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5"/>
      <c r="AW320" s="45"/>
      <c r="AX320" s="45"/>
    </row>
    <row r="321" spans="2:50" ht="15.75" customHeight="1" x14ac:dyDescent="0.3">
      <c r="B321" s="60"/>
      <c r="C321" s="45"/>
      <c r="D321" s="45"/>
      <c r="E321" s="60"/>
      <c r="F321" s="60"/>
      <c r="G321" s="60"/>
      <c r="H321" s="60"/>
      <c r="I321" s="60"/>
      <c r="J321" s="60"/>
      <c r="K321" s="60"/>
      <c r="L321" s="60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45"/>
      <c r="AJ321" s="45"/>
      <c r="AK321" s="60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5"/>
      <c r="AW321" s="45"/>
      <c r="AX321" s="45"/>
    </row>
    <row r="322" spans="2:50" ht="15.75" customHeight="1" x14ac:dyDescent="0.3">
      <c r="B322" s="60"/>
      <c r="C322" s="45"/>
      <c r="D322" s="45"/>
      <c r="E322" s="60"/>
      <c r="F322" s="60"/>
      <c r="G322" s="60"/>
      <c r="H322" s="60"/>
      <c r="I322" s="60"/>
      <c r="J322" s="60"/>
      <c r="K322" s="60"/>
      <c r="L322" s="60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45"/>
      <c r="AJ322" s="45"/>
      <c r="AK322" s="60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5"/>
      <c r="AW322" s="45"/>
      <c r="AX322" s="45"/>
    </row>
    <row r="323" spans="2:50" ht="15.75" customHeight="1" x14ac:dyDescent="0.3">
      <c r="B323" s="60"/>
      <c r="C323" s="45"/>
      <c r="D323" s="45"/>
      <c r="E323" s="60"/>
      <c r="F323" s="60"/>
      <c r="G323" s="60"/>
      <c r="H323" s="60"/>
      <c r="I323" s="60"/>
      <c r="J323" s="60"/>
      <c r="K323" s="60"/>
      <c r="L323" s="60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45"/>
      <c r="AJ323" s="45"/>
      <c r="AK323" s="60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45"/>
      <c r="AX323" s="45"/>
    </row>
    <row r="324" spans="2:50" ht="15.75" customHeight="1" x14ac:dyDescent="0.3">
      <c r="B324" s="60"/>
      <c r="C324" s="45"/>
      <c r="D324" s="45"/>
      <c r="E324" s="60"/>
      <c r="F324" s="60"/>
      <c r="G324" s="60"/>
      <c r="H324" s="60"/>
      <c r="I324" s="60"/>
      <c r="J324" s="60"/>
      <c r="K324" s="60"/>
      <c r="L324" s="60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45"/>
      <c r="AJ324" s="45"/>
      <c r="AK324" s="60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5"/>
      <c r="AW324" s="45"/>
      <c r="AX324" s="45"/>
    </row>
    <row r="325" spans="2:50" ht="15.75" customHeight="1" x14ac:dyDescent="0.3">
      <c r="B325" s="60"/>
      <c r="C325" s="45"/>
      <c r="D325" s="45"/>
      <c r="E325" s="60"/>
      <c r="F325" s="60"/>
      <c r="G325" s="60"/>
      <c r="H325" s="60"/>
      <c r="I325" s="60"/>
      <c r="J325" s="60"/>
      <c r="K325" s="60"/>
      <c r="L325" s="60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45"/>
      <c r="AJ325" s="45"/>
      <c r="AK325" s="60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  <c r="AW325" s="45"/>
      <c r="AX325" s="45"/>
    </row>
    <row r="326" spans="2:50" ht="15.75" customHeight="1" x14ac:dyDescent="0.3">
      <c r="B326" s="60"/>
      <c r="C326" s="45"/>
      <c r="D326" s="45"/>
      <c r="E326" s="60"/>
      <c r="F326" s="60"/>
      <c r="G326" s="60"/>
      <c r="H326" s="60"/>
      <c r="I326" s="60"/>
      <c r="J326" s="60"/>
      <c r="K326" s="60"/>
      <c r="L326" s="60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45"/>
      <c r="AJ326" s="45"/>
      <c r="AK326" s="60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5"/>
      <c r="AW326" s="45"/>
      <c r="AX326" s="45"/>
    </row>
    <row r="327" spans="2:50" ht="15.75" customHeight="1" x14ac:dyDescent="0.3">
      <c r="B327" s="60"/>
      <c r="C327" s="45"/>
      <c r="D327" s="45"/>
      <c r="E327" s="60"/>
      <c r="F327" s="60"/>
      <c r="G327" s="60"/>
      <c r="H327" s="60"/>
      <c r="I327" s="60"/>
      <c r="J327" s="60"/>
      <c r="K327" s="60"/>
      <c r="L327" s="60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45"/>
      <c r="AJ327" s="45"/>
      <c r="AK327" s="60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5"/>
      <c r="AW327" s="45"/>
      <c r="AX327" s="45"/>
    </row>
    <row r="328" spans="2:50" ht="15.75" customHeight="1" x14ac:dyDescent="0.3">
      <c r="B328" s="60"/>
      <c r="C328" s="45"/>
      <c r="D328" s="45"/>
      <c r="E328" s="60"/>
      <c r="F328" s="60"/>
      <c r="G328" s="60"/>
      <c r="H328" s="60"/>
      <c r="I328" s="60"/>
      <c r="J328" s="60"/>
      <c r="K328" s="60"/>
      <c r="L328" s="60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45"/>
      <c r="AJ328" s="45"/>
      <c r="AK328" s="60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5"/>
      <c r="AW328" s="45"/>
      <c r="AX328" s="45"/>
    </row>
    <row r="329" spans="2:50" ht="15.75" customHeight="1" x14ac:dyDescent="0.3">
      <c r="B329" s="60"/>
      <c r="C329" s="45"/>
      <c r="D329" s="45"/>
      <c r="E329" s="60"/>
      <c r="F329" s="60"/>
      <c r="G329" s="60"/>
      <c r="H329" s="60"/>
      <c r="I329" s="60"/>
      <c r="J329" s="60"/>
      <c r="K329" s="60"/>
      <c r="L329" s="60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45"/>
      <c r="AJ329" s="45"/>
      <c r="AK329" s="60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5"/>
      <c r="AW329" s="45"/>
      <c r="AX329" s="45"/>
    </row>
    <row r="330" spans="2:50" ht="15.75" customHeight="1" x14ac:dyDescent="0.3">
      <c r="B330" s="60"/>
      <c r="C330" s="45"/>
      <c r="D330" s="45"/>
      <c r="E330" s="60"/>
      <c r="F330" s="60"/>
      <c r="G330" s="60"/>
      <c r="H330" s="60"/>
      <c r="I330" s="60"/>
      <c r="J330" s="60"/>
      <c r="K330" s="60"/>
      <c r="L330" s="60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45"/>
      <c r="AJ330" s="45"/>
      <c r="AK330" s="60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5"/>
      <c r="AW330" s="45"/>
      <c r="AX330" s="45"/>
    </row>
    <row r="331" spans="2:50" ht="15.75" customHeight="1" x14ac:dyDescent="0.3">
      <c r="B331" s="60"/>
      <c r="C331" s="45"/>
      <c r="D331" s="45"/>
      <c r="E331" s="60"/>
      <c r="F331" s="60"/>
      <c r="G331" s="60"/>
      <c r="H331" s="60"/>
      <c r="I331" s="60"/>
      <c r="J331" s="60"/>
      <c r="K331" s="60"/>
      <c r="L331" s="60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45"/>
      <c r="AJ331" s="45"/>
      <c r="AK331" s="60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  <c r="AW331" s="45"/>
      <c r="AX331" s="45"/>
    </row>
    <row r="332" spans="2:50" ht="15.75" customHeight="1" x14ac:dyDescent="0.3">
      <c r="B332" s="60"/>
      <c r="C332" s="45"/>
      <c r="D332" s="45"/>
      <c r="E332" s="60"/>
      <c r="F332" s="60"/>
      <c r="G332" s="60"/>
      <c r="H332" s="60"/>
      <c r="I332" s="60"/>
      <c r="J332" s="60"/>
      <c r="K332" s="60"/>
      <c r="L332" s="60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45"/>
      <c r="AJ332" s="45"/>
      <c r="AK332" s="60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5"/>
      <c r="AW332" s="45"/>
      <c r="AX332" s="45"/>
    </row>
    <row r="333" spans="2:50" ht="15.75" customHeight="1" x14ac:dyDescent="0.3">
      <c r="B333" s="60"/>
      <c r="C333" s="45"/>
      <c r="D333" s="45"/>
      <c r="E333" s="60"/>
      <c r="F333" s="60"/>
      <c r="G333" s="60"/>
      <c r="H333" s="60"/>
      <c r="I333" s="60"/>
      <c r="J333" s="60"/>
      <c r="K333" s="60"/>
      <c r="L333" s="60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45"/>
      <c r="AJ333" s="45"/>
      <c r="AK333" s="60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5"/>
      <c r="AW333" s="45"/>
      <c r="AX333" s="45"/>
    </row>
    <row r="334" spans="2:50" ht="15.75" customHeight="1" x14ac:dyDescent="0.3">
      <c r="B334" s="60"/>
      <c r="C334" s="45"/>
      <c r="D334" s="45"/>
      <c r="E334" s="60"/>
      <c r="F334" s="60"/>
      <c r="G334" s="60"/>
      <c r="H334" s="60"/>
      <c r="I334" s="60"/>
      <c r="J334" s="60"/>
      <c r="K334" s="60"/>
      <c r="L334" s="60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45"/>
      <c r="AJ334" s="45"/>
      <c r="AK334" s="60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5"/>
      <c r="AW334" s="45"/>
      <c r="AX334" s="45"/>
    </row>
    <row r="335" spans="2:50" ht="15.75" customHeight="1" x14ac:dyDescent="0.3">
      <c r="B335" s="60"/>
      <c r="C335" s="45"/>
      <c r="D335" s="45"/>
      <c r="E335" s="60"/>
      <c r="F335" s="60"/>
      <c r="G335" s="60"/>
      <c r="H335" s="60"/>
      <c r="I335" s="60"/>
      <c r="J335" s="60"/>
      <c r="K335" s="60"/>
      <c r="L335" s="60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45"/>
      <c r="AJ335" s="45"/>
      <c r="AK335" s="60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45"/>
      <c r="AX335" s="45"/>
    </row>
    <row r="336" spans="2:50" ht="15.75" customHeight="1" x14ac:dyDescent="0.3">
      <c r="B336" s="60"/>
      <c r="C336" s="45"/>
      <c r="D336" s="45"/>
      <c r="E336" s="60"/>
      <c r="F336" s="60"/>
      <c r="G336" s="60"/>
      <c r="H336" s="60"/>
      <c r="I336" s="60"/>
      <c r="J336" s="60"/>
      <c r="K336" s="60"/>
      <c r="L336" s="60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45"/>
      <c r="AJ336" s="45"/>
      <c r="AK336" s="60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5"/>
      <c r="AW336" s="45"/>
      <c r="AX336" s="45"/>
    </row>
    <row r="337" spans="2:50" ht="15.75" customHeight="1" x14ac:dyDescent="0.3">
      <c r="B337" s="60"/>
      <c r="C337" s="45"/>
      <c r="D337" s="45"/>
      <c r="E337" s="60"/>
      <c r="F337" s="60"/>
      <c r="G337" s="60"/>
      <c r="H337" s="60"/>
      <c r="I337" s="60"/>
      <c r="J337" s="60"/>
      <c r="K337" s="60"/>
      <c r="L337" s="60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45"/>
      <c r="AJ337" s="45"/>
      <c r="AK337" s="60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5"/>
      <c r="AW337" s="45"/>
      <c r="AX337" s="45"/>
    </row>
    <row r="338" spans="2:50" ht="15.75" customHeight="1" x14ac:dyDescent="0.3">
      <c r="B338" s="60"/>
      <c r="C338" s="45"/>
      <c r="D338" s="45"/>
      <c r="E338" s="60"/>
      <c r="F338" s="60"/>
      <c r="G338" s="60"/>
      <c r="H338" s="60"/>
      <c r="I338" s="60"/>
      <c r="J338" s="60"/>
      <c r="K338" s="60"/>
      <c r="L338" s="60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45"/>
      <c r="AJ338" s="45"/>
      <c r="AK338" s="60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5"/>
      <c r="AW338" s="45"/>
      <c r="AX338" s="45"/>
    </row>
    <row r="339" spans="2:50" ht="15.75" customHeight="1" x14ac:dyDescent="0.3">
      <c r="B339" s="60"/>
      <c r="C339" s="45"/>
      <c r="D339" s="45"/>
      <c r="E339" s="60"/>
      <c r="F339" s="60"/>
      <c r="G339" s="60"/>
      <c r="H339" s="60"/>
      <c r="I339" s="60"/>
      <c r="J339" s="60"/>
      <c r="K339" s="60"/>
      <c r="L339" s="60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45"/>
      <c r="AJ339" s="45"/>
      <c r="AK339" s="60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5"/>
      <c r="AW339" s="45"/>
      <c r="AX339" s="45"/>
    </row>
    <row r="340" spans="2:50" ht="15.75" customHeight="1" x14ac:dyDescent="0.3">
      <c r="B340" s="60"/>
      <c r="C340" s="45"/>
      <c r="D340" s="45"/>
      <c r="E340" s="60"/>
      <c r="F340" s="60"/>
      <c r="G340" s="60"/>
      <c r="H340" s="60"/>
      <c r="I340" s="60"/>
      <c r="J340" s="60"/>
      <c r="K340" s="60"/>
      <c r="L340" s="60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45"/>
      <c r="AJ340" s="45"/>
      <c r="AK340" s="60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5"/>
      <c r="AW340" s="45"/>
      <c r="AX340" s="45"/>
    </row>
    <row r="341" spans="2:50" ht="15.75" customHeight="1" x14ac:dyDescent="0.3">
      <c r="B341" s="60"/>
      <c r="C341" s="45"/>
      <c r="D341" s="45"/>
      <c r="E341" s="60"/>
      <c r="F341" s="60"/>
      <c r="G341" s="60"/>
      <c r="H341" s="60"/>
      <c r="I341" s="60"/>
      <c r="J341" s="60"/>
      <c r="K341" s="60"/>
      <c r="L341" s="60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45"/>
      <c r="AJ341" s="45"/>
      <c r="AK341" s="60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5"/>
      <c r="AW341" s="45"/>
      <c r="AX341" s="45"/>
    </row>
    <row r="342" spans="2:50" ht="15.75" customHeight="1" x14ac:dyDescent="0.3">
      <c r="B342" s="60"/>
      <c r="C342" s="45"/>
      <c r="D342" s="45"/>
      <c r="E342" s="60"/>
      <c r="F342" s="60"/>
      <c r="G342" s="60"/>
      <c r="H342" s="60"/>
      <c r="I342" s="60"/>
      <c r="J342" s="60"/>
      <c r="K342" s="60"/>
      <c r="L342" s="60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45"/>
      <c r="AJ342" s="45"/>
      <c r="AK342" s="60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5"/>
      <c r="AW342" s="45"/>
      <c r="AX342" s="45"/>
    </row>
    <row r="343" spans="2:50" ht="15.75" customHeight="1" x14ac:dyDescent="0.3">
      <c r="B343" s="60"/>
      <c r="C343" s="45"/>
      <c r="D343" s="45"/>
      <c r="E343" s="60"/>
      <c r="F343" s="60"/>
      <c r="G343" s="60"/>
      <c r="H343" s="60"/>
      <c r="I343" s="60"/>
      <c r="J343" s="60"/>
      <c r="K343" s="60"/>
      <c r="L343" s="60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45"/>
      <c r="AJ343" s="45"/>
      <c r="AK343" s="60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  <c r="AW343" s="45"/>
      <c r="AX343" s="45"/>
    </row>
    <row r="344" spans="2:50" ht="15.75" customHeight="1" x14ac:dyDescent="0.3">
      <c r="B344" s="60"/>
      <c r="C344" s="45"/>
      <c r="D344" s="45"/>
      <c r="E344" s="60"/>
      <c r="F344" s="60"/>
      <c r="G344" s="60"/>
      <c r="H344" s="60"/>
      <c r="I344" s="60"/>
      <c r="J344" s="60"/>
      <c r="K344" s="60"/>
      <c r="L344" s="60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45"/>
      <c r="AJ344" s="45"/>
      <c r="AK344" s="60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  <c r="AW344" s="45"/>
      <c r="AX344" s="45"/>
    </row>
    <row r="345" spans="2:50" ht="15.75" customHeight="1" x14ac:dyDescent="0.3">
      <c r="B345" s="60"/>
      <c r="C345" s="45"/>
      <c r="D345" s="45"/>
      <c r="E345" s="60"/>
      <c r="F345" s="60"/>
      <c r="G345" s="60"/>
      <c r="H345" s="60"/>
      <c r="I345" s="60"/>
      <c r="J345" s="60"/>
      <c r="K345" s="60"/>
      <c r="L345" s="60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45"/>
      <c r="AJ345" s="45"/>
      <c r="AK345" s="60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  <c r="AW345" s="45"/>
      <c r="AX345" s="45"/>
    </row>
    <row r="346" spans="2:50" ht="15.75" customHeight="1" x14ac:dyDescent="0.3">
      <c r="B346" s="60"/>
      <c r="C346" s="45"/>
      <c r="D346" s="45"/>
      <c r="E346" s="60"/>
      <c r="F346" s="60"/>
      <c r="G346" s="60"/>
      <c r="H346" s="60"/>
      <c r="I346" s="60"/>
      <c r="J346" s="60"/>
      <c r="K346" s="60"/>
      <c r="L346" s="60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45"/>
      <c r="AJ346" s="45"/>
      <c r="AK346" s="60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5"/>
      <c r="AW346" s="45"/>
      <c r="AX346" s="45"/>
    </row>
    <row r="347" spans="2:50" ht="15.75" customHeight="1" x14ac:dyDescent="0.3">
      <c r="B347" s="60"/>
      <c r="C347" s="45"/>
      <c r="D347" s="45"/>
      <c r="E347" s="60"/>
      <c r="F347" s="60"/>
      <c r="G347" s="60"/>
      <c r="H347" s="60"/>
      <c r="I347" s="60"/>
      <c r="J347" s="60"/>
      <c r="K347" s="60"/>
      <c r="L347" s="60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45"/>
      <c r="AJ347" s="45"/>
      <c r="AK347" s="60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5"/>
      <c r="AW347" s="45"/>
      <c r="AX347" s="45"/>
    </row>
    <row r="348" spans="2:50" ht="15.75" customHeight="1" x14ac:dyDescent="0.3">
      <c r="B348" s="60"/>
      <c r="C348" s="45"/>
      <c r="D348" s="45"/>
      <c r="E348" s="60"/>
      <c r="F348" s="60"/>
      <c r="G348" s="60"/>
      <c r="H348" s="60"/>
      <c r="I348" s="60"/>
      <c r="J348" s="60"/>
      <c r="K348" s="60"/>
      <c r="L348" s="60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45"/>
      <c r="AJ348" s="45"/>
      <c r="AK348" s="60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  <c r="AW348" s="45"/>
      <c r="AX348" s="45"/>
    </row>
    <row r="349" spans="2:50" ht="15.75" customHeight="1" x14ac:dyDescent="0.3">
      <c r="B349" s="60"/>
      <c r="C349" s="45"/>
      <c r="D349" s="45"/>
      <c r="E349" s="60"/>
      <c r="F349" s="60"/>
      <c r="G349" s="60"/>
      <c r="H349" s="60"/>
      <c r="I349" s="60"/>
      <c r="J349" s="60"/>
      <c r="K349" s="60"/>
      <c r="L349" s="60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45"/>
      <c r="AJ349" s="45"/>
      <c r="AK349" s="60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  <c r="AW349" s="45"/>
      <c r="AX349" s="45"/>
    </row>
    <row r="350" spans="2:50" ht="15.75" customHeight="1" x14ac:dyDescent="0.3">
      <c r="B350" s="60"/>
      <c r="C350" s="45"/>
      <c r="D350" s="45"/>
      <c r="E350" s="60"/>
      <c r="F350" s="60"/>
      <c r="G350" s="60"/>
      <c r="H350" s="60"/>
      <c r="I350" s="60"/>
      <c r="J350" s="60"/>
      <c r="K350" s="60"/>
      <c r="L350" s="60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45"/>
      <c r="AJ350" s="45"/>
      <c r="AK350" s="60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5"/>
      <c r="AW350" s="45"/>
      <c r="AX350" s="45"/>
    </row>
    <row r="351" spans="2:50" ht="15.75" customHeight="1" x14ac:dyDescent="0.3">
      <c r="B351" s="60"/>
      <c r="C351" s="45"/>
      <c r="D351" s="45"/>
      <c r="E351" s="60"/>
      <c r="F351" s="60"/>
      <c r="G351" s="60"/>
      <c r="H351" s="60"/>
      <c r="I351" s="60"/>
      <c r="J351" s="60"/>
      <c r="K351" s="60"/>
      <c r="L351" s="60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45"/>
      <c r="AJ351" s="45"/>
      <c r="AK351" s="60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5"/>
      <c r="AW351" s="45"/>
      <c r="AX351" s="45"/>
    </row>
    <row r="352" spans="2:50" ht="15.75" customHeight="1" x14ac:dyDescent="0.3">
      <c r="B352" s="60"/>
      <c r="C352" s="45"/>
      <c r="D352" s="45"/>
      <c r="E352" s="60"/>
      <c r="F352" s="60"/>
      <c r="G352" s="60"/>
      <c r="H352" s="60"/>
      <c r="I352" s="60"/>
      <c r="J352" s="60"/>
      <c r="K352" s="60"/>
      <c r="L352" s="60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45"/>
      <c r="AJ352" s="45"/>
      <c r="AK352" s="60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5"/>
      <c r="AW352" s="45"/>
      <c r="AX352" s="45"/>
    </row>
    <row r="353" spans="2:50" ht="15.75" customHeight="1" x14ac:dyDescent="0.3">
      <c r="B353" s="60"/>
      <c r="C353" s="45"/>
      <c r="D353" s="45"/>
      <c r="E353" s="60"/>
      <c r="F353" s="60"/>
      <c r="G353" s="60"/>
      <c r="H353" s="60"/>
      <c r="I353" s="60"/>
      <c r="J353" s="60"/>
      <c r="K353" s="60"/>
      <c r="L353" s="60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45"/>
      <c r="AJ353" s="45"/>
      <c r="AK353" s="60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5"/>
      <c r="AW353" s="45"/>
      <c r="AX353" s="45"/>
    </row>
    <row r="354" spans="2:50" ht="15.75" customHeight="1" x14ac:dyDescent="0.3">
      <c r="B354" s="60"/>
      <c r="C354" s="45"/>
      <c r="D354" s="45"/>
      <c r="E354" s="60"/>
      <c r="F354" s="60"/>
      <c r="G354" s="60"/>
      <c r="H354" s="60"/>
      <c r="I354" s="60"/>
      <c r="J354" s="60"/>
      <c r="K354" s="60"/>
      <c r="L354" s="60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45"/>
      <c r="AJ354" s="45"/>
      <c r="AK354" s="60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5"/>
      <c r="AW354" s="45"/>
      <c r="AX354" s="45"/>
    </row>
    <row r="355" spans="2:50" ht="15.75" customHeight="1" x14ac:dyDescent="0.3">
      <c r="B355" s="60"/>
      <c r="C355" s="45"/>
      <c r="D355" s="45"/>
      <c r="E355" s="60"/>
      <c r="F355" s="60"/>
      <c r="G355" s="60"/>
      <c r="H355" s="60"/>
      <c r="I355" s="60"/>
      <c r="J355" s="60"/>
      <c r="K355" s="60"/>
      <c r="L355" s="60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45"/>
      <c r="AJ355" s="45"/>
      <c r="AK355" s="60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5"/>
      <c r="AW355" s="45"/>
      <c r="AX355" s="45"/>
    </row>
    <row r="356" spans="2:50" ht="15.75" customHeight="1" x14ac:dyDescent="0.3">
      <c r="B356" s="60"/>
      <c r="C356" s="45"/>
      <c r="D356" s="45"/>
      <c r="E356" s="60"/>
      <c r="F356" s="60"/>
      <c r="G356" s="60"/>
      <c r="H356" s="60"/>
      <c r="I356" s="60"/>
      <c r="J356" s="60"/>
      <c r="K356" s="60"/>
      <c r="L356" s="60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45"/>
      <c r="AJ356" s="45"/>
      <c r="AK356" s="60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5"/>
      <c r="AW356" s="45"/>
      <c r="AX356" s="45"/>
    </row>
    <row r="357" spans="2:50" ht="15.75" customHeight="1" x14ac:dyDescent="0.3">
      <c r="B357" s="60"/>
      <c r="C357" s="45"/>
      <c r="D357" s="45"/>
      <c r="E357" s="60"/>
      <c r="F357" s="60"/>
      <c r="G357" s="60"/>
      <c r="H357" s="60"/>
      <c r="I357" s="60"/>
      <c r="J357" s="60"/>
      <c r="K357" s="60"/>
      <c r="L357" s="60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45"/>
      <c r="AJ357" s="45"/>
      <c r="AK357" s="60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5"/>
      <c r="AW357" s="45"/>
      <c r="AX357" s="45"/>
    </row>
    <row r="358" spans="2:50" ht="15.75" customHeight="1" x14ac:dyDescent="0.3">
      <c r="B358" s="60"/>
      <c r="C358" s="45"/>
      <c r="D358" s="45"/>
      <c r="E358" s="60"/>
      <c r="F358" s="60"/>
      <c r="G358" s="60"/>
      <c r="H358" s="60"/>
      <c r="I358" s="60"/>
      <c r="J358" s="60"/>
      <c r="K358" s="60"/>
      <c r="L358" s="60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45"/>
      <c r="AJ358" s="45"/>
      <c r="AK358" s="60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5"/>
      <c r="AW358" s="45"/>
      <c r="AX358" s="45"/>
    </row>
    <row r="359" spans="2:50" ht="15.75" customHeight="1" x14ac:dyDescent="0.3">
      <c r="B359" s="60"/>
      <c r="C359" s="45"/>
      <c r="D359" s="45"/>
      <c r="E359" s="60"/>
      <c r="F359" s="60"/>
      <c r="G359" s="60"/>
      <c r="H359" s="60"/>
      <c r="I359" s="60"/>
      <c r="J359" s="60"/>
      <c r="K359" s="60"/>
      <c r="L359" s="60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45"/>
      <c r="AJ359" s="45"/>
      <c r="AK359" s="60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5"/>
      <c r="AW359" s="45"/>
      <c r="AX359" s="45"/>
    </row>
    <row r="360" spans="2:50" ht="15.75" customHeight="1" x14ac:dyDescent="0.3">
      <c r="B360" s="60"/>
      <c r="C360" s="45"/>
      <c r="D360" s="45"/>
      <c r="E360" s="60"/>
      <c r="F360" s="60"/>
      <c r="G360" s="60"/>
      <c r="H360" s="60"/>
      <c r="I360" s="60"/>
      <c r="J360" s="60"/>
      <c r="K360" s="60"/>
      <c r="L360" s="60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45"/>
      <c r="AJ360" s="45"/>
      <c r="AK360" s="60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5"/>
      <c r="AW360" s="45"/>
      <c r="AX360" s="45"/>
    </row>
    <row r="361" spans="2:50" ht="15.75" customHeight="1" x14ac:dyDescent="0.3">
      <c r="B361" s="60"/>
      <c r="C361" s="45"/>
      <c r="D361" s="45"/>
      <c r="E361" s="60"/>
      <c r="F361" s="60"/>
      <c r="G361" s="60"/>
      <c r="H361" s="60"/>
      <c r="I361" s="60"/>
      <c r="J361" s="60"/>
      <c r="K361" s="60"/>
      <c r="L361" s="60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45"/>
      <c r="AJ361" s="45"/>
      <c r="AK361" s="60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5"/>
      <c r="AW361" s="45"/>
      <c r="AX361" s="45"/>
    </row>
    <row r="362" spans="2:50" ht="15.75" customHeight="1" x14ac:dyDescent="0.3">
      <c r="B362" s="60"/>
      <c r="C362" s="45"/>
      <c r="D362" s="45"/>
      <c r="E362" s="60"/>
      <c r="F362" s="60"/>
      <c r="G362" s="60"/>
      <c r="H362" s="60"/>
      <c r="I362" s="60"/>
      <c r="J362" s="60"/>
      <c r="K362" s="60"/>
      <c r="L362" s="60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45"/>
      <c r="AJ362" s="45"/>
      <c r="AK362" s="60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5"/>
      <c r="AW362" s="45"/>
      <c r="AX362" s="45"/>
    </row>
    <row r="363" spans="2:50" ht="15.75" customHeight="1" x14ac:dyDescent="0.3">
      <c r="B363" s="60"/>
      <c r="C363" s="45"/>
      <c r="D363" s="45"/>
      <c r="E363" s="60"/>
      <c r="F363" s="60"/>
      <c r="G363" s="60"/>
      <c r="H363" s="60"/>
      <c r="I363" s="60"/>
      <c r="J363" s="60"/>
      <c r="K363" s="60"/>
      <c r="L363" s="60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45"/>
      <c r="AJ363" s="45"/>
      <c r="AK363" s="60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5"/>
      <c r="AW363" s="45"/>
      <c r="AX363" s="45"/>
    </row>
    <row r="364" spans="2:50" ht="15.75" customHeight="1" x14ac:dyDescent="0.3">
      <c r="B364" s="60"/>
      <c r="C364" s="45"/>
      <c r="D364" s="45"/>
      <c r="E364" s="60"/>
      <c r="F364" s="60"/>
      <c r="G364" s="60"/>
      <c r="H364" s="60"/>
      <c r="I364" s="60"/>
      <c r="J364" s="60"/>
      <c r="K364" s="60"/>
      <c r="L364" s="60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45"/>
      <c r="AJ364" s="45"/>
      <c r="AK364" s="60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5"/>
      <c r="AW364" s="45"/>
      <c r="AX364" s="45"/>
    </row>
    <row r="365" spans="2:50" ht="15.75" customHeight="1" x14ac:dyDescent="0.3">
      <c r="B365" s="60"/>
      <c r="C365" s="45"/>
      <c r="D365" s="45"/>
      <c r="E365" s="60"/>
      <c r="F365" s="60"/>
      <c r="G365" s="60"/>
      <c r="H365" s="60"/>
      <c r="I365" s="60"/>
      <c r="J365" s="60"/>
      <c r="K365" s="60"/>
      <c r="L365" s="60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45"/>
      <c r="AJ365" s="45"/>
      <c r="AK365" s="60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5"/>
      <c r="AW365" s="45"/>
      <c r="AX365" s="45"/>
    </row>
    <row r="366" spans="2:50" ht="15.75" customHeight="1" x14ac:dyDescent="0.3">
      <c r="B366" s="60"/>
      <c r="C366" s="45"/>
      <c r="D366" s="45"/>
      <c r="E366" s="60"/>
      <c r="F366" s="60"/>
      <c r="G366" s="60"/>
      <c r="H366" s="60"/>
      <c r="I366" s="60"/>
      <c r="J366" s="60"/>
      <c r="K366" s="60"/>
      <c r="L366" s="60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45"/>
      <c r="AJ366" s="45"/>
      <c r="AK366" s="60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5"/>
      <c r="AW366" s="45"/>
      <c r="AX366" s="45"/>
    </row>
    <row r="367" spans="2:50" ht="15.75" customHeight="1" x14ac:dyDescent="0.3">
      <c r="B367" s="60"/>
      <c r="C367" s="45"/>
      <c r="D367" s="45"/>
      <c r="E367" s="60"/>
      <c r="F367" s="60"/>
      <c r="G367" s="60"/>
      <c r="H367" s="60"/>
      <c r="I367" s="60"/>
      <c r="J367" s="60"/>
      <c r="K367" s="60"/>
      <c r="L367" s="60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45"/>
      <c r="AJ367" s="45"/>
      <c r="AK367" s="60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5"/>
      <c r="AW367" s="45"/>
      <c r="AX367" s="45"/>
    </row>
    <row r="368" spans="2:50" ht="15.75" customHeight="1" x14ac:dyDescent="0.3">
      <c r="B368" s="60"/>
      <c r="C368" s="45"/>
      <c r="D368" s="45"/>
      <c r="E368" s="60"/>
      <c r="F368" s="60"/>
      <c r="G368" s="60"/>
      <c r="H368" s="60"/>
      <c r="I368" s="60"/>
      <c r="J368" s="60"/>
      <c r="K368" s="60"/>
      <c r="L368" s="60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45"/>
      <c r="AJ368" s="45"/>
      <c r="AK368" s="60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5"/>
      <c r="AW368" s="45"/>
      <c r="AX368" s="45"/>
    </row>
    <row r="369" spans="2:50" ht="15.75" customHeight="1" x14ac:dyDescent="0.3">
      <c r="B369" s="60"/>
      <c r="C369" s="45"/>
      <c r="D369" s="45"/>
      <c r="E369" s="60"/>
      <c r="F369" s="60"/>
      <c r="G369" s="60"/>
      <c r="H369" s="60"/>
      <c r="I369" s="60"/>
      <c r="J369" s="60"/>
      <c r="K369" s="60"/>
      <c r="L369" s="60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45"/>
      <c r="AJ369" s="45"/>
      <c r="AK369" s="60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5"/>
      <c r="AW369" s="45"/>
      <c r="AX369" s="45"/>
    </row>
    <row r="370" spans="2:50" ht="15.75" customHeight="1" x14ac:dyDescent="0.3">
      <c r="B370" s="60"/>
      <c r="C370" s="45"/>
      <c r="D370" s="45"/>
      <c r="E370" s="60"/>
      <c r="F370" s="60"/>
      <c r="G370" s="60"/>
      <c r="H370" s="60"/>
      <c r="I370" s="60"/>
      <c r="J370" s="60"/>
      <c r="K370" s="60"/>
      <c r="L370" s="60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45"/>
      <c r="AJ370" s="45"/>
      <c r="AK370" s="60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5"/>
      <c r="AW370" s="45"/>
      <c r="AX370" s="45"/>
    </row>
    <row r="371" spans="2:50" ht="15.75" customHeight="1" x14ac:dyDescent="0.3">
      <c r="B371" s="60"/>
      <c r="C371" s="45"/>
      <c r="D371" s="45"/>
      <c r="E371" s="60"/>
      <c r="F371" s="60"/>
      <c r="G371" s="60"/>
      <c r="H371" s="60"/>
      <c r="I371" s="60"/>
      <c r="J371" s="60"/>
      <c r="K371" s="60"/>
      <c r="L371" s="60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45"/>
      <c r="AJ371" s="45"/>
      <c r="AK371" s="60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5"/>
      <c r="AW371" s="45"/>
      <c r="AX371" s="45"/>
    </row>
    <row r="372" spans="2:50" ht="15.75" customHeight="1" x14ac:dyDescent="0.3">
      <c r="B372" s="60"/>
      <c r="C372" s="45"/>
      <c r="D372" s="45"/>
      <c r="E372" s="60"/>
      <c r="F372" s="60"/>
      <c r="G372" s="60"/>
      <c r="H372" s="60"/>
      <c r="I372" s="60"/>
      <c r="J372" s="60"/>
      <c r="K372" s="60"/>
      <c r="L372" s="60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45"/>
      <c r="AJ372" s="45"/>
      <c r="AK372" s="60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5"/>
      <c r="AW372" s="45"/>
      <c r="AX372" s="45"/>
    </row>
    <row r="373" spans="2:50" ht="15.75" customHeight="1" x14ac:dyDescent="0.3">
      <c r="B373" s="60"/>
      <c r="C373" s="45"/>
      <c r="D373" s="45"/>
      <c r="E373" s="60"/>
      <c r="F373" s="60"/>
      <c r="G373" s="60"/>
      <c r="H373" s="60"/>
      <c r="I373" s="60"/>
      <c r="J373" s="60"/>
      <c r="K373" s="60"/>
      <c r="L373" s="60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45"/>
      <c r="AJ373" s="45"/>
      <c r="AK373" s="60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5"/>
      <c r="AW373" s="45"/>
      <c r="AX373" s="45"/>
    </row>
  </sheetData>
  <autoFilter ref="A8:AX116" xr:uid="{1A346FC2-0143-4D57-AC80-807D8236F469}">
    <filterColumn colId="5">
      <filters>
        <filter val="Lai Uyên 60"/>
      </filters>
    </filterColumn>
  </autoFilter>
  <mergeCells count="40">
    <mergeCell ref="A1:AM2"/>
    <mergeCell ref="A3:A5"/>
    <mergeCell ref="B3:B5"/>
    <mergeCell ref="C3:C5"/>
    <mergeCell ref="F3:F5"/>
    <mergeCell ref="G3:G5"/>
    <mergeCell ref="H3:H5"/>
    <mergeCell ref="I3:I5"/>
    <mergeCell ref="AK3:AK5"/>
    <mergeCell ref="AL3:AL5"/>
    <mergeCell ref="AM3:AM5"/>
    <mergeCell ref="AN3:AN5"/>
    <mergeCell ref="J4:J5"/>
    <mergeCell ref="K4:K5"/>
    <mergeCell ref="L4:L5"/>
    <mergeCell ref="M4:M5"/>
    <mergeCell ref="N4:N5"/>
    <mergeCell ref="O4:O5"/>
    <mergeCell ref="J3:L3"/>
    <mergeCell ref="M3:Q3"/>
    <mergeCell ref="R3:X3"/>
    <mergeCell ref="Y3:AB3"/>
    <mergeCell ref="AC3:AH3"/>
    <mergeCell ref="AI3:AJ3"/>
    <mergeCell ref="AH4:AH5"/>
    <mergeCell ref="AI4:AJ4"/>
    <mergeCell ref="E3:E5"/>
    <mergeCell ref="D3:D5"/>
    <mergeCell ref="Y4:AA4"/>
    <mergeCell ref="AB4:AB5"/>
    <mergeCell ref="AC4:AD4"/>
    <mergeCell ref="AE4:AE5"/>
    <mergeCell ref="AF4:AF5"/>
    <mergeCell ref="AG4:AG5"/>
    <mergeCell ref="P4:P5"/>
    <mergeCell ref="Q4:Q5"/>
    <mergeCell ref="R4:U4"/>
    <mergeCell ref="V4:V5"/>
    <mergeCell ref="W4:W5"/>
    <mergeCell ref="X4:X5"/>
  </mergeCells>
  <dataValidations disablePrompts="1" count="4">
    <dataValidation type="list" allowBlank="1" showErrorMessage="1" sqref="P8" xr:uid="{1DFB38E8-0755-46D4-9550-37EE99C173DA}">
      <formula1>"T,Nhựa,C"</formula1>
    </dataValidation>
    <dataValidation type="list" allowBlank="1" showErrorMessage="1" sqref="Q8" xr:uid="{32DAE2A2-C799-41C5-A22C-6AA1BF47A1CE}">
      <formula1>"K,C"</formula1>
    </dataValidation>
    <dataValidation type="list" allowBlank="1" showErrorMessage="1" sqref="AI8" xr:uid="{FB965A35-A04E-4E8B-A689-94E4EF7B99AF}">
      <formula1>"nhôm,đồng"</formula1>
    </dataValidation>
    <dataValidation type="list" allowBlank="1" showErrorMessage="1" sqref="AL8" xr:uid="{55B64D59-089E-44CE-84FE-2F1BEA0B834C}">
      <formula1>"18/3/2026,19/3/2026,20/3/2026"</formula1>
    </dataValidation>
  </dataValidations>
  <pageMargins left="0" right="0" top="0" bottom="0" header="0" footer="0"/>
  <pageSetup paperSize="8" scale="6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0A7E-BE5F-463A-8B05-3A24439A9E74}">
  <sheetPr>
    <tabColor rgb="FFFF0000"/>
  </sheetPr>
  <dimension ref="A1:AU725"/>
  <sheetViews>
    <sheetView topLeftCell="Q1" workbookViewId="0">
      <pane ySplit="6" topLeftCell="A59" activePane="bottomLeft" state="frozen"/>
      <selection pane="bottomLeft" activeCell="A8" sqref="A8:AK96"/>
    </sheetView>
  </sheetViews>
  <sheetFormatPr defaultColWidth="14.42578125" defaultRowHeight="15" customHeight="1" x14ac:dyDescent="0.25"/>
  <cols>
    <col min="1" max="1" width="7.5703125" style="2" customWidth="1"/>
    <col min="2" max="2" width="21" style="2" customWidth="1"/>
    <col min="3" max="3" width="13" style="2" customWidth="1"/>
    <col min="4" max="4" width="22.140625" style="41" customWidth="1"/>
    <col min="5" max="5" width="44.42578125" style="42" customWidth="1"/>
    <col min="6" max="6" width="21.5703125" style="2" customWidth="1"/>
    <col min="7" max="7" width="23.28515625" style="2" customWidth="1"/>
    <col min="8" max="8" width="48.42578125" style="2" customWidth="1"/>
    <col min="9" max="9" width="29" style="2" customWidth="1"/>
    <col min="10" max="11" width="9.28515625" style="2" customWidth="1"/>
    <col min="12" max="12" width="8.7109375" style="2" customWidth="1"/>
    <col min="13" max="14" width="8.42578125" style="2" customWidth="1"/>
    <col min="15" max="15" width="9.28515625" style="2" customWidth="1"/>
    <col min="16" max="16" width="7.85546875" style="2" customWidth="1"/>
    <col min="17" max="17" width="8.28515625" style="2" customWidth="1"/>
    <col min="18" max="18" width="16.5703125" style="2" customWidth="1"/>
    <col min="19" max="22" width="7.5703125" style="2" customWidth="1"/>
    <col min="23" max="23" width="8.28515625" style="2" customWidth="1"/>
    <col min="24" max="25" width="7.28515625" style="2" customWidth="1"/>
    <col min="26" max="26" width="6.42578125" style="2" customWidth="1"/>
    <col min="27" max="27" width="7.28515625" style="2" customWidth="1"/>
    <col min="28" max="28" width="7.85546875" style="2" customWidth="1"/>
    <col min="29" max="29" width="8" style="2" customWidth="1"/>
    <col min="30" max="33" width="10.85546875" style="2" customWidth="1"/>
    <col min="34" max="34" width="7.140625" style="2" customWidth="1"/>
    <col min="35" max="35" width="9.5703125" style="2" customWidth="1"/>
    <col min="36" max="36" width="7.28515625" style="2" customWidth="1"/>
    <col min="37" max="37" width="29.42578125" style="2" customWidth="1"/>
    <col min="38" max="47" width="18.7109375" style="2" customWidth="1"/>
    <col min="48" max="16384" width="14.42578125" style="2"/>
  </cols>
  <sheetData>
    <row r="1" spans="1:47" ht="25.5" customHeight="1" x14ac:dyDescent="0.25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54.75" customHeight="1" x14ac:dyDescent="0.25">
      <c r="A2" s="161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25.5" customHeight="1" x14ac:dyDescent="0.25">
      <c r="A3" s="151" t="s">
        <v>1</v>
      </c>
      <c r="B3" s="151" t="s">
        <v>2</v>
      </c>
      <c r="C3" s="151" t="s">
        <v>3</v>
      </c>
      <c r="D3" s="151" t="s">
        <v>1627</v>
      </c>
      <c r="E3" s="151" t="s">
        <v>4</v>
      </c>
      <c r="F3" s="151" t="s">
        <v>5</v>
      </c>
      <c r="G3" s="151" t="s">
        <v>6</v>
      </c>
      <c r="H3" s="151" t="s">
        <v>7</v>
      </c>
      <c r="I3" s="151" t="s">
        <v>8</v>
      </c>
      <c r="J3" s="167" t="s">
        <v>9</v>
      </c>
      <c r="K3" s="189"/>
      <c r="L3" s="190"/>
      <c r="M3" s="167" t="s">
        <v>10</v>
      </c>
      <c r="N3" s="189"/>
      <c r="O3" s="189"/>
      <c r="P3" s="189"/>
      <c r="Q3" s="190"/>
      <c r="R3" s="177" t="s">
        <v>11</v>
      </c>
      <c r="S3" s="189"/>
      <c r="T3" s="189"/>
      <c r="U3" s="189"/>
      <c r="V3" s="189"/>
      <c r="W3" s="189"/>
      <c r="X3" s="190"/>
      <c r="Y3" s="178"/>
      <c r="Z3" s="189"/>
      <c r="AA3" s="189"/>
      <c r="AB3" s="190"/>
      <c r="AC3" s="177" t="s">
        <v>12</v>
      </c>
      <c r="AD3" s="189"/>
      <c r="AE3" s="189"/>
      <c r="AF3" s="189"/>
      <c r="AG3" s="189"/>
      <c r="AH3" s="190"/>
      <c r="AI3" s="177" t="s">
        <v>13</v>
      </c>
      <c r="AJ3" s="190"/>
      <c r="AK3" s="171" t="s">
        <v>16</v>
      </c>
      <c r="AL3" s="5"/>
      <c r="AM3" s="5"/>
      <c r="AN3" s="5"/>
      <c r="AO3" s="5"/>
      <c r="AP3" s="5"/>
      <c r="AQ3" s="5"/>
      <c r="AR3" s="5"/>
      <c r="AS3" s="5"/>
      <c r="AT3" s="5"/>
      <c r="AU3" s="5"/>
    </row>
    <row r="4" spans="1:47" ht="18.75" x14ac:dyDescent="0.25">
      <c r="A4" s="185"/>
      <c r="B4" s="187"/>
      <c r="C4" s="187"/>
      <c r="D4" s="187"/>
      <c r="E4" s="187"/>
      <c r="F4" s="185"/>
      <c r="G4" s="185"/>
      <c r="H4" s="185"/>
      <c r="I4" s="185"/>
      <c r="J4" s="151" t="s">
        <v>17</v>
      </c>
      <c r="K4" s="151" t="s">
        <v>18</v>
      </c>
      <c r="L4" s="194" t="s">
        <v>19</v>
      </c>
      <c r="M4" s="151" t="s">
        <v>20</v>
      </c>
      <c r="N4" s="151" t="s">
        <v>21</v>
      </c>
      <c r="O4" s="151" t="s">
        <v>22</v>
      </c>
      <c r="P4" s="151" t="s">
        <v>23</v>
      </c>
      <c r="Q4" s="151" t="s">
        <v>24</v>
      </c>
      <c r="R4" s="191" t="s">
        <v>25</v>
      </c>
      <c r="S4" s="192"/>
      <c r="T4" s="192"/>
      <c r="U4" s="193"/>
      <c r="V4" s="171" t="s">
        <v>26</v>
      </c>
      <c r="W4" s="151" t="s">
        <v>27</v>
      </c>
      <c r="X4" s="194" t="s">
        <v>19</v>
      </c>
      <c r="Y4" s="167" t="s">
        <v>28</v>
      </c>
      <c r="Z4" s="189"/>
      <c r="AA4" s="190"/>
      <c r="AB4" s="194" t="s">
        <v>19</v>
      </c>
      <c r="AC4" s="167" t="s">
        <v>29</v>
      </c>
      <c r="AD4" s="190"/>
      <c r="AE4" s="151" t="s">
        <v>30</v>
      </c>
      <c r="AF4" s="151" t="s">
        <v>31</v>
      </c>
      <c r="AG4" s="151" t="s">
        <v>32</v>
      </c>
      <c r="AH4" s="194" t="s">
        <v>19</v>
      </c>
      <c r="AI4" s="167" t="s">
        <v>33</v>
      </c>
      <c r="AJ4" s="190"/>
      <c r="AK4" s="18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47" ht="121.5" customHeight="1" x14ac:dyDescent="0.25">
      <c r="A5" s="186"/>
      <c r="B5" s="188"/>
      <c r="C5" s="188"/>
      <c r="D5" s="188"/>
      <c r="E5" s="188"/>
      <c r="F5" s="186"/>
      <c r="G5" s="186"/>
      <c r="H5" s="186"/>
      <c r="I5" s="186"/>
      <c r="J5" s="186"/>
      <c r="K5" s="186"/>
      <c r="L5" s="195"/>
      <c r="M5" s="186"/>
      <c r="N5" s="186"/>
      <c r="O5" s="186"/>
      <c r="P5" s="186"/>
      <c r="Q5" s="186"/>
      <c r="R5" s="6" t="s">
        <v>34</v>
      </c>
      <c r="S5" s="6" t="s">
        <v>35</v>
      </c>
      <c r="T5" s="6" t="s">
        <v>36</v>
      </c>
      <c r="U5" s="6" t="s">
        <v>37</v>
      </c>
      <c r="V5" s="186"/>
      <c r="W5" s="186"/>
      <c r="X5" s="195"/>
      <c r="Y5" s="6" t="s">
        <v>38</v>
      </c>
      <c r="Z5" s="4" t="s">
        <v>39</v>
      </c>
      <c r="AA5" s="6" t="s">
        <v>40</v>
      </c>
      <c r="AB5" s="195"/>
      <c r="AC5" s="6" t="s">
        <v>41</v>
      </c>
      <c r="AD5" s="6" t="s">
        <v>42</v>
      </c>
      <c r="AE5" s="186"/>
      <c r="AF5" s="186"/>
      <c r="AG5" s="186"/>
      <c r="AH5" s="195"/>
      <c r="AI5" s="6" t="s">
        <v>43</v>
      </c>
      <c r="AJ5" s="6" t="s">
        <v>44</v>
      </c>
      <c r="AK5" s="186"/>
      <c r="AL5" s="5"/>
      <c r="AM5" s="5"/>
      <c r="AN5" s="5"/>
      <c r="AO5" s="5"/>
      <c r="AP5" s="5"/>
      <c r="AQ5" s="5"/>
      <c r="AR5" s="5"/>
      <c r="AS5" s="5"/>
      <c r="AT5" s="5"/>
      <c r="AU5" s="5"/>
    </row>
    <row r="6" spans="1:47" ht="27" customHeight="1" x14ac:dyDescent="0.25">
      <c r="A6" s="7" t="s">
        <v>45</v>
      </c>
      <c r="B6" s="7" t="s">
        <v>46</v>
      </c>
      <c r="C6" s="7" t="s">
        <v>47</v>
      </c>
      <c r="D6" s="8" t="s">
        <v>48</v>
      </c>
      <c r="E6" s="9"/>
      <c r="F6" s="10" t="s">
        <v>49</v>
      </c>
      <c r="G6" s="10" t="s">
        <v>50</v>
      </c>
      <c r="H6" s="10" t="s">
        <v>51</v>
      </c>
      <c r="I6" s="10" t="s">
        <v>52</v>
      </c>
      <c r="J6" s="10" t="s">
        <v>53</v>
      </c>
      <c r="K6" s="10" t="s">
        <v>54</v>
      </c>
      <c r="L6" s="10" t="s">
        <v>55</v>
      </c>
      <c r="M6" s="10" t="s">
        <v>56</v>
      </c>
      <c r="N6" s="10" t="s">
        <v>57</v>
      </c>
      <c r="O6" s="10" t="s">
        <v>58</v>
      </c>
      <c r="P6" s="10" t="s">
        <v>59</v>
      </c>
      <c r="Q6" s="10" t="s">
        <v>60</v>
      </c>
      <c r="R6" s="10" t="s">
        <v>61</v>
      </c>
      <c r="S6" s="7" t="s">
        <v>62</v>
      </c>
      <c r="T6" s="7" t="s">
        <v>63</v>
      </c>
      <c r="U6" s="7" t="s">
        <v>64</v>
      </c>
      <c r="V6" s="7" t="s">
        <v>65</v>
      </c>
      <c r="W6" s="7" t="s">
        <v>66</v>
      </c>
      <c r="X6" s="10" t="s">
        <v>67</v>
      </c>
      <c r="Y6" s="7" t="s">
        <v>68</v>
      </c>
      <c r="Z6" s="7" t="s">
        <v>69</v>
      </c>
      <c r="AA6" s="7" t="s">
        <v>70</v>
      </c>
      <c r="AB6" s="7" t="s">
        <v>71</v>
      </c>
      <c r="AC6" s="10" t="s">
        <v>72</v>
      </c>
      <c r="AD6" s="10" t="s">
        <v>73</v>
      </c>
      <c r="AE6" s="10" t="s">
        <v>74</v>
      </c>
      <c r="AF6" s="10" t="s">
        <v>75</v>
      </c>
      <c r="AG6" s="7" t="s">
        <v>76</v>
      </c>
      <c r="AH6" s="7" t="s">
        <v>77</v>
      </c>
      <c r="AI6" s="7" t="s">
        <v>78</v>
      </c>
      <c r="AJ6" s="7" t="s">
        <v>79</v>
      </c>
      <c r="AK6" s="7" t="s">
        <v>82</v>
      </c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 spans="1:47" ht="27" customHeight="1" x14ac:dyDescent="0.25">
      <c r="A7" s="7"/>
      <c r="B7" s="7"/>
      <c r="C7" s="7"/>
      <c r="D7" s="8"/>
      <c r="E7" s="9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7"/>
      <c r="T7" s="7"/>
      <c r="U7" s="7"/>
      <c r="V7" s="7"/>
      <c r="W7" s="7"/>
      <c r="X7" s="10"/>
      <c r="Y7" s="7"/>
      <c r="Z7" s="7"/>
      <c r="AA7" s="7"/>
      <c r="AB7" s="7"/>
      <c r="AC7" s="10"/>
      <c r="AD7" s="10"/>
      <c r="AE7" s="10"/>
      <c r="AF7" s="10"/>
      <c r="AG7" s="7"/>
      <c r="AH7" s="7"/>
      <c r="AI7" s="7"/>
      <c r="AJ7" s="7"/>
      <c r="AK7" s="7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spans="1:47" ht="19.5" customHeight="1" x14ac:dyDescent="0.25">
      <c r="A8" s="12">
        <v>2226</v>
      </c>
      <c r="B8" s="13" t="s">
        <v>83</v>
      </c>
      <c r="C8" s="14">
        <v>101738000</v>
      </c>
      <c r="D8" s="15" t="s">
        <v>84</v>
      </c>
      <c r="E8" s="15" t="s">
        <v>85</v>
      </c>
      <c r="F8" s="16" t="s">
        <v>86</v>
      </c>
      <c r="G8" s="10" t="s">
        <v>87</v>
      </c>
      <c r="H8" s="16" t="s">
        <v>88</v>
      </c>
      <c r="I8" s="16" t="s">
        <v>89</v>
      </c>
      <c r="J8" s="10"/>
      <c r="K8" s="10">
        <v>240</v>
      </c>
      <c r="L8" s="10">
        <f t="shared" ref="L8:L39" si="0">SUM(J8:K8)</f>
        <v>240</v>
      </c>
      <c r="M8" s="12" t="s">
        <v>90</v>
      </c>
      <c r="N8" s="12" t="s">
        <v>91</v>
      </c>
      <c r="O8" s="12" t="s">
        <v>91</v>
      </c>
      <c r="P8" s="12" t="s">
        <v>90</v>
      </c>
      <c r="Q8" s="12" t="s">
        <v>92</v>
      </c>
      <c r="R8" s="12"/>
      <c r="S8" s="12"/>
      <c r="T8" s="12"/>
      <c r="U8" s="12"/>
      <c r="V8" s="12">
        <v>7</v>
      </c>
      <c r="W8" s="12"/>
      <c r="X8" s="10">
        <f t="shared" ref="X8:X39" si="1">R8+S8+T8+U8+V8+W8</f>
        <v>7</v>
      </c>
      <c r="Y8" s="10">
        <f t="shared" ref="Y8:Y54" si="2">X8</f>
        <v>7</v>
      </c>
      <c r="Z8" s="10"/>
      <c r="AA8" s="10"/>
      <c r="AB8" s="10">
        <f t="shared" ref="AB8:AB39" si="3">AA8+Z8+Y8</f>
        <v>7</v>
      </c>
      <c r="AC8" s="10">
        <f t="shared" ref="AC8:AC39" si="4">X8</f>
        <v>7</v>
      </c>
      <c r="AD8" s="10"/>
      <c r="AE8" s="10"/>
      <c r="AF8" s="10"/>
      <c r="AG8" s="10"/>
      <c r="AH8" s="10">
        <f t="shared" ref="AH8:AH39" si="5">SUM(AC8:AG8)</f>
        <v>7</v>
      </c>
      <c r="AI8" s="12" t="s">
        <v>93</v>
      </c>
      <c r="AJ8" s="12">
        <v>3</v>
      </c>
      <c r="AK8" s="10"/>
      <c r="AL8" s="17"/>
      <c r="AM8" s="17"/>
      <c r="AN8" s="17"/>
      <c r="AO8" s="17"/>
      <c r="AP8" s="17"/>
      <c r="AQ8" s="17"/>
      <c r="AR8" s="17"/>
      <c r="AS8" s="17"/>
      <c r="AT8" s="17"/>
      <c r="AU8" s="17"/>
    </row>
    <row r="9" spans="1:47" ht="30" customHeight="1" x14ac:dyDescent="0.25">
      <c r="A9" s="12">
        <v>2227</v>
      </c>
      <c r="B9" s="13" t="s">
        <v>94</v>
      </c>
      <c r="C9" s="14">
        <v>101739000</v>
      </c>
      <c r="D9" s="15" t="s">
        <v>95</v>
      </c>
      <c r="E9" s="15" t="s">
        <v>96</v>
      </c>
      <c r="F9" s="16" t="s">
        <v>97</v>
      </c>
      <c r="G9" s="10" t="s">
        <v>87</v>
      </c>
      <c r="H9" s="16" t="s">
        <v>98</v>
      </c>
      <c r="I9" s="16" t="s">
        <v>99</v>
      </c>
      <c r="J9" s="10"/>
      <c r="K9" s="10">
        <v>801</v>
      </c>
      <c r="L9" s="10">
        <f t="shared" si="0"/>
        <v>801</v>
      </c>
      <c r="M9" s="12" t="s">
        <v>91</v>
      </c>
      <c r="N9" s="12" t="s">
        <v>90</v>
      </c>
      <c r="O9" s="12" t="s">
        <v>91</v>
      </c>
      <c r="P9" s="12" t="s">
        <v>90</v>
      </c>
      <c r="Q9" s="12" t="s">
        <v>92</v>
      </c>
      <c r="R9" s="12"/>
      <c r="S9" s="12">
        <v>13</v>
      </c>
      <c r="T9" s="12"/>
      <c r="U9" s="12"/>
      <c r="V9" s="12"/>
      <c r="W9" s="12"/>
      <c r="X9" s="10">
        <f t="shared" si="1"/>
        <v>13</v>
      </c>
      <c r="Y9" s="10">
        <f t="shared" si="2"/>
        <v>13</v>
      </c>
      <c r="Z9" s="10"/>
      <c r="AA9" s="10"/>
      <c r="AB9" s="10">
        <f t="shared" si="3"/>
        <v>13</v>
      </c>
      <c r="AC9" s="10">
        <f t="shared" si="4"/>
        <v>13</v>
      </c>
      <c r="AD9" s="10"/>
      <c r="AE9" s="10"/>
      <c r="AF9" s="10"/>
      <c r="AG9" s="10"/>
      <c r="AH9" s="10">
        <f t="shared" si="5"/>
        <v>13</v>
      </c>
      <c r="AI9" s="12" t="s">
        <v>93</v>
      </c>
      <c r="AJ9" s="12">
        <v>3</v>
      </c>
      <c r="AK9" s="10"/>
      <c r="AL9" s="17"/>
      <c r="AM9" s="17"/>
      <c r="AN9" s="17"/>
      <c r="AO9" s="17"/>
      <c r="AP9" s="17"/>
      <c r="AQ9" s="17"/>
      <c r="AR9" s="17"/>
      <c r="AS9" s="17"/>
      <c r="AT9" s="17"/>
      <c r="AU9" s="17"/>
    </row>
    <row r="10" spans="1:47" ht="30" customHeight="1" x14ac:dyDescent="0.25">
      <c r="A10" s="12">
        <v>2227</v>
      </c>
      <c r="B10" s="13" t="s">
        <v>100</v>
      </c>
      <c r="C10" s="14">
        <v>101740000</v>
      </c>
      <c r="D10" s="15" t="s">
        <v>101</v>
      </c>
      <c r="E10" s="15" t="s">
        <v>102</v>
      </c>
      <c r="F10" s="16" t="s">
        <v>97</v>
      </c>
      <c r="G10" s="10" t="s">
        <v>87</v>
      </c>
      <c r="H10" s="16" t="s">
        <v>103</v>
      </c>
      <c r="I10" s="16" t="s">
        <v>104</v>
      </c>
      <c r="J10" s="10"/>
      <c r="K10" s="10">
        <v>787</v>
      </c>
      <c r="L10" s="10">
        <f t="shared" si="0"/>
        <v>787</v>
      </c>
      <c r="M10" s="12" t="s">
        <v>90</v>
      </c>
      <c r="N10" s="12" t="s">
        <v>91</v>
      </c>
      <c r="O10" s="12" t="s">
        <v>91</v>
      </c>
      <c r="P10" s="12" t="s">
        <v>90</v>
      </c>
      <c r="Q10" s="12" t="s">
        <v>92</v>
      </c>
      <c r="R10" s="12"/>
      <c r="S10" s="12">
        <v>12</v>
      </c>
      <c r="T10" s="12"/>
      <c r="U10" s="12"/>
      <c r="V10" s="12"/>
      <c r="W10" s="12"/>
      <c r="X10" s="10">
        <f t="shared" si="1"/>
        <v>12</v>
      </c>
      <c r="Y10" s="10">
        <f t="shared" si="2"/>
        <v>12</v>
      </c>
      <c r="Z10" s="10"/>
      <c r="AA10" s="10"/>
      <c r="AB10" s="10">
        <f t="shared" si="3"/>
        <v>12</v>
      </c>
      <c r="AC10" s="10">
        <f t="shared" si="4"/>
        <v>12</v>
      </c>
      <c r="AD10" s="10"/>
      <c r="AE10" s="10"/>
      <c r="AF10" s="10"/>
      <c r="AG10" s="10"/>
      <c r="AH10" s="10">
        <f t="shared" si="5"/>
        <v>12</v>
      </c>
      <c r="AI10" s="12" t="s">
        <v>93</v>
      </c>
      <c r="AJ10" s="12">
        <v>3</v>
      </c>
      <c r="AK10" s="10"/>
      <c r="AL10" s="17"/>
      <c r="AM10" s="17"/>
      <c r="AN10" s="17"/>
      <c r="AO10" s="17"/>
      <c r="AP10" s="17"/>
      <c r="AQ10" s="17"/>
      <c r="AR10" s="17"/>
      <c r="AS10" s="17"/>
      <c r="AT10" s="17"/>
      <c r="AU10" s="17"/>
    </row>
    <row r="11" spans="1:47" ht="30" customHeight="1" x14ac:dyDescent="0.25">
      <c r="A11" s="12">
        <v>2228</v>
      </c>
      <c r="B11" s="13" t="s">
        <v>105</v>
      </c>
      <c r="C11" s="14">
        <v>102278000</v>
      </c>
      <c r="D11" s="15" t="s">
        <v>106</v>
      </c>
      <c r="E11" s="15" t="s">
        <v>107</v>
      </c>
      <c r="F11" s="16" t="s">
        <v>108</v>
      </c>
      <c r="G11" s="10" t="s">
        <v>87</v>
      </c>
      <c r="H11" s="16" t="s">
        <v>109</v>
      </c>
      <c r="I11" s="16" t="s">
        <v>110</v>
      </c>
      <c r="J11" s="10"/>
      <c r="K11" s="10">
        <v>350</v>
      </c>
      <c r="L11" s="10">
        <f t="shared" si="0"/>
        <v>350</v>
      </c>
      <c r="M11" s="12" t="s">
        <v>90</v>
      </c>
      <c r="N11" s="12" t="s">
        <v>91</v>
      </c>
      <c r="O11" s="12" t="s">
        <v>91</v>
      </c>
      <c r="P11" s="12" t="s">
        <v>90</v>
      </c>
      <c r="Q11" s="12" t="s">
        <v>111</v>
      </c>
      <c r="R11" s="12"/>
      <c r="S11" s="12"/>
      <c r="T11" s="12"/>
      <c r="U11" s="12"/>
      <c r="V11" s="12">
        <v>9</v>
      </c>
      <c r="W11" s="12"/>
      <c r="X11" s="10">
        <f t="shared" si="1"/>
        <v>9</v>
      </c>
      <c r="Y11" s="10">
        <f t="shared" si="2"/>
        <v>9</v>
      </c>
      <c r="Z11" s="10"/>
      <c r="AA11" s="10"/>
      <c r="AB11" s="10">
        <f t="shared" si="3"/>
        <v>9</v>
      </c>
      <c r="AC11" s="10">
        <f t="shared" si="4"/>
        <v>9</v>
      </c>
      <c r="AD11" s="10"/>
      <c r="AE11" s="10"/>
      <c r="AF11" s="10"/>
      <c r="AG11" s="10"/>
      <c r="AH11" s="10">
        <f t="shared" si="5"/>
        <v>9</v>
      </c>
      <c r="AI11" s="12" t="s">
        <v>93</v>
      </c>
      <c r="AJ11" s="12">
        <v>3</v>
      </c>
      <c r="AK11" s="10"/>
      <c r="AL11" s="17"/>
      <c r="AM11" s="17"/>
      <c r="AN11" s="17"/>
      <c r="AO11" s="17"/>
      <c r="AP11" s="17"/>
      <c r="AQ11" s="17"/>
      <c r="AR11" s="17"/>
      <c r="AS11" s="17"/>
      <c r="AT11" s="17"/>
      <c r="AU11" s="17"/>
    </row>
    <row r="12" spans="1:47" ht="30" customHeight="1" x14ac:dyDescent="0.25">
      <c r="A12" s="12">
        <v>2229</v>
      </c>
      <c r="B12" s="13" t="s">
        <v>112</v>
      </c>
      <c r="C12" s="14">
        <v>102277000</v>
      </c>
      <c r="D12" s="15" t="s">
        <v>113</v>
      </c>
      <c r="E12" s="15" t="s">
        <v>114</v>
      </c>
      <c r="F12" s="16" t="s">
        <v>115</v>
      </c>
      <c r="G12" s="10" t="s">
        <v>87</v>
      </c>
      <c r="H12" s="16" t="s">
        <v>116</v>
      </c>
      <c r="I12" s="16" t="s">
        <v>110</v>
      </c>
      <c r="J12" s="10"/>
      <c r="K12" s="10">
        <v>280</v>
      </c>
      <c r="L12" s="10">
        <f t="shared" si="0"/>
        <v>280</v>
      </c>
      <c r="M12" s="12" t="s">
        <v>90</v>
      </c>
      <c r="N12" s="12" t="s">
        <v>91</v>
      </c>
      <c r="O12" s="12" t="s">
        <v>91</v>
      </c>
      <c r="P12" s="12" t="s">
        <v>90</v>
      </c>
      <c r="Q12" s="12" t="s">
        <v>111</v>
      </c>
      <c r="R12" s="12"/>
      <c r="S12" s="12"/>
      <c r="T12" s="12"/>
      <c r="U12" s="12"/>
      <c r="V12" s="12">
        <v>8</v>
      </c>
      <c r="W12" s="12"/>
      <c r="X12" s="10">
        <f t="shared" si="1"/>
        <v>8</v>
      </c>
      <c r="Y12" s="10">
        <f t="shared" si="2"/>
        <v>8</v>
      </c>
      <c r="Z12" s="10"/>
      <c r="AA12" s="10"/>
      <c r="AB12" s="10">
        <f t="shared" si="3"/>
        <v>8</v>
      </c>
      <c r="AC12" s="10">
        <f t="shared" si="4"/>
        <v>8</v>
      </c>
      <c r="AD12" s="10"/>
      <c r="AE12" s="10"/>
      <c r="AF12" s="10"/>
      <c r="AG12" s="10"/>
      <c r="AH12" s="10">
        <f t="shared" si="5"/>
        <v>8</v>
      </c>
      <c r="AI12" s="12" t="s">
        <v>93</v>
      </c>
      <c r="AJ12" s="12">
        <v>3</v>
      </c>
      <c r="AK12" s="10"/>
      <c r="AL12" s="17"/>
      <c r="AM12" s="17"/>
      <c r="AN12" s="17"/>
      <c r="AO12" s="17"/>
      <c r="AP12" s="17"/>
      <c r="AQ12" s="17"/>
      <c r="AR12" s="17"/>
      <c r="AS12" s="17"/>
      <c r="AT12" s="17"/>
      <c r="AU12" s="17"/>
    </row>
    <row r="13" spans="1:47" ht="30" customHeight="1" x14ac:dyDescent="0.25">
      <c r="A13" s="12">
        <v>2230</v>
      </c>
      <c r="B13" s="13"/>
      <c r="C13" s="14"/>
      <c r="D13" s="15"/>
      <c r="E13" s="15"/>
      <c r="F13" s="16" t="s">
        <v>117</v>
      </c>
      <c r="G13" s="10" t="s">
        <v>87</v>
      </c>
      <c r="H13" s="16"/>
      <c r="I13" s="16"/>
      <c r="J13" s="10"/>
      <c r="K13" s="10">
        <v>735</v>
      </c>
      <c r="L13" s="10">
        <f t="shared" si="0"/>
        <v>735</v>
      </c>
      <c r="M13" s="12"/>
      <c r="N13" s="12"/>
      <c r="O13" s="12"/>
      <c r="P13" s="12"/>
      <c r="Q13" s="12"/>
      <c r="R13" s="12"/>
      <c r="S13" s="12"/>
      <c r="T13" s="12"/>
      <c r="U13" s="12"/>
      <c r="V13" s="12">
        <v>9</v>
      </c>
      <c r="W13" s="12"/>
      <c r="X13" s="10">
        <f t="shared" si="1"/>
        <v>9</v>
      </c>
      <c r="Y13" s="10">
        <f t="shared" si="2"/>
        <v>9</v>
      </c>
      <c r="Z13" s="10"/>
      <c r="AA13" s="10"/>
      <c r="AB13" s="10">
        <f t="shared" si="3"/>
        <v>9</v>
      </c>
      <c r="AC13" s="10">
        <f t="shared" si="4"/>
        <v>9</v>
      </c>
      <c r="AD13" s="10"/>
      <c r="AE13" s="10"/>
      <c r="AF13" s="10"/>
      <c r="AG13" s="10"/>
      <c r="AH13" s="10">
        <f t="shared" si="5"/>
        <v>9</v>
      </c>
      <c r="AI13" s="12"/>
      <c r="AJ13" s="12"/>
      <c r="AK13" s="10" t="s">
        <v>118</v>
      </c>
      <c r="AL13" s="17"/>
      <c r="AM13" s="17"/>
      <c r="AN13" s="17"/>
      <c r="AO13" s="17"/>
      <c r="AP13" s="17"/>
      <c r="AQ13" s="17"/>
      <c r="AR13" s="17"/>
      <c r="AS13" s="17"/>
      <c r="AT13" s="17"/>
      <c r="AU13" s="17"/>
    </row>
    <row r="14" spans="1:47" ht="30" customHeight="1" x14ac:dyDescent="0.25">
      <c r="A14" s="12">
        <v>2231</v>
      </c>
      <c r="B14" s="13" t="s">
        <v>119</v>
      </c>
      <c r="C14" s="14">
        <v>102276000</v>
      </c>
      <c r="D14" s="15" t="s">
        <v>120</v>
      </c>
      <c r="E14" s="15" t="s">
        <v>121</v>
      </c>
      <c r="F14" s="16" t="s">
        <v>122</v>
      </c>
      <c r="G14" s="10" t="s">
        <v>87</v>
      </c>
      <c r="H14" s="16" t="s">
        <v>123</v>
      </c>
      <c r="I14" s="16" t="s">
        <v>110</v>
      </c>
      <c r="J14" s="10"/>
      <c r="K14" s="10">
        <v>330</v>
      </c>
      <c r="L14" s="10">
        <f t="shared" si="0"/>
        <v>330</v>
      </c>
      <c r="M14" s="12" t="s">
        <v>91</v>
      </c>
      <c r="N14" s="12" t="s">
        <v>90</v>
      </c>
      <c r="O14" s="12" t="s">
        <v>91</v>
      </c>
      <c r="P14" s="12" t="s">
        <v>90</v>
      </c>
      <c r="Q14" s="12" t="s">
        <v>111</v>
      </c>
      <c r="R14" s="12"/>
      <c r="S14" s="12"/>
      <c r="T14" s="12"/>
      <c r="U14" s="12"/>
      <c r="V14" s="12">
        <v>10</v>
      </c>
      <c r="W14" s="12"/>
      <c r="X14" s="10">
        <f t="shared" si="1"/>
        <v>10</v>
      </c>
      <c r="Y14" s="10">
        <f t="shared" si="2"/>
        <v>10</v>
      </c>
      <c r="Z14" s="10"/>
      <c r="AA14" s="10"/>
      <c r="AB14" s="10">
        <f t="shared" si="3"/>
        <v>10</v>
      </c>
      <c r="AC14" s="10">
        <f t="shared" si="4"/>
        <v>10</v>
      </c>
      <c r="AD14" s="10"/>
      <c r="AE14" s="10"/>
      <c r="AF14" s="10"/>
      <c r="AG14" s="10"/>
      <c r="AH14" s="10">
        <f t="shared" si="5"/>
        <v>10</v>
      </c>
      <c r="AI14" s="12" t="s">
        <v>93</v>
      </c>
      <c r="AJ14" s="12">
        <v>2</v>
      </c>
      <c r="AK14" s="10"/>
      <c r="AL14" s="17"/>
      <c r="AM14" s="17"/>
      <c r="AN14" s="17"/>
      <c r="AO14" s="17"/>
      <c r="AP14" s="17"/>
      <c r="AQ14" s="17"/>
      <c r="AR14" s="17"/>
      <c r="AS14" s="17"/>
      <c r="AT14" s="17"/>
      <c r="AU14" s="17"/>
    </row>
    <row r="15" spans="1:47" ht="30" customHeight="1" x14ac:dyDescent="0.25">
      <c r="A15" s="12">
        <v>2232</v>
      </c>
      <c r="B15" s="13" t="s">
        <v>124</v>
      </c>
      <c r="C15" s="14">
        <v>102281000</v>
      </c>
      <c r="D15" s="15" t="s">
        <v>125</v>
      </c>
      <c r="E15" s="15" t="s">
        <v>126</v>
      </c>
      <c r="F15" s="16" t="s">
        <v>127</v>
      </c>
      <c r="G15" s="10" t="s">
        <v>87</v>
      </c>
      <c r="H15" s="16" t="s">
        <v>128</v>
      </c>
      <c r="I15" s="16" t="s">
        <v>110</v>
      </c>
      <c r="J15" s="10"/>
      <c r="K15" s="10">
        <v>350</v>
      </c>
      <c r="L15" s="10">
        <f t="shared" si="0"/>
        <v>350</v>
      </c>
      <c r="M15" s="12" t="s">
        <v>91</v>
      </c>
      <c r="N15" s="12" t="s">
        <v>90</v>
      </c>
      <c r="O15" s="12" t="s">
        <v>91</v>
      </c>
      <c r="P15" s="12" t="s">
        <v>90</v>
      </c>
      <c r="Q15" s="12" t="s">
        <v>111</v>
      </c>
      <c r="R15" s="12"/>
      <c r="S15" s="12"/>
      <c r="T15" s="12"/>
      <c r="U15" s="12"/>
      <c r="V15" s="12">
        <v>9</v>
      </c>
      <c r="W15" s="12"/>
      <c r="X15" s="10">
        <f t="shared" si="1"/>
        <v>9</v>
      </c>
      <c r="Y15" s="10">
        <f t="shared" si="2"/>
        <v>9</v>
      </c>
      <c r="Z15" s="10"/>
      <c r="AA15" s="10"/>
      <c r="AB15" s="10">
        <f t="shared" si="3"/>
        <v>9</v>
      </c>
      <c r="AC15" s="10">
        <f t="shared" si="4"/>
        <v>9</v>
      </c>
      <c r="AD15" s="10"/>
      <c r="AE15" s="10"/>
      <c r="AF15" s="10"/>
      <c r="AG15" s="10"/>
      <c r="AH15" s="10">
        <f t="shared" si="5"/>
        <v>9</v>
      </c>
      <c r="AI15" s="12" t="s">
        <v>93</v>
      </c>
      <c r="AJ15" s="12">
        <v>2</v>
      </c>
      <c r="AK15" s="10"/>
      <c r="AL15" s="17"/>
      <c r="AM15" s="17"/>
      <c r="AN15" s="17"/>
      <c r="AO15" s="17"/>
      <c r="AP15" s="17"/>
      <c r="AQ15" s="17"/>
      <c r="AR15" s="17"/>
      <c r="AS15" s="17"/>
      <c r="AT15" s="17"/>
      <c r="AU15" s="17"/>
    </row>
    <row r="16" spans="1:47" ht="30" customHeight="1" x14ac:dyDescent="0.25">
      <c r="A16" s="12">
        <v>2233</v>
      </c>
      <c r="B16" s="13"/>
      <c r="C16" s="14"/>
      <c r="D16" s="15"/>
      <c r="E16" s="18"/>
      <c r="F16" s="16" t="s">
        <v>129</v>
      </c>
      <c r="G16" s="10" t="s">
        <v>87</v>
      </c>
      <c r="H16" s="16"/>
      <c r="I16" s="16"/>
      <c r="J16" s="10"/>
      <c r="K16" s="10">
        <v>330</v>
      </c>
      <c r="L16" s="10">
        <f t="shared" si="0"/>
        <v>330</v>
      </c>
      <c r="M16" s="12"/>
      <c r="N16" s="12"/>
      <c r="O16" s="12"/>
      <c r="P16" s="12"/>
      <c r="Q16" s="12"/>
      <c r="R16" s="12"/>
      <c r="S16" s="12">
        <v>8</v>
      </c>
      <c r="T16" s="12"/>
      <c r="U16" s="12"/>
      <c r="V16" s="12"/>
      <c r="W16" s="12"/>
      <c r="X16" s="10">
        <f t="shared" si="1"/>
        <v>8</v>
      </c>
      <c r="Y16" s="10">
        <f t="shared" si="2"/>
        <v>8</v>
      </c>
      <c r="Z16" s="10"/>
      <c r="AA16" s="10"/>
      <c r="AB16" s="10">
        <f t="shared" si="3"/>
        <v>8</v>
      </c>
      <c r="AC16" s="10">
        <f t="shared" si="4"/>
        <v>8</v>
      </c>
      <c r="AD16" s="10"/>
      <c r="AE16" s="10"/>
      <c r="AF16" s="10"/>
      <c r="AG16" s="10"/>
      <c r="AH16" s="10">
        <f t="shared" si="5"/>
        <v>8</v>
      </c>
      <c r="AI16" s="12"/>
      <c r="AJ16" s="12"/>
      <c r="AK16" s="10" t="s">
        <v>130</v>
      </c>
      <c r="AL16" s="17"/>
      <c r="AM16" s="17"/>
      <c r="AN16" s="17"/>
      <c r="AO16" s="17"/>
      <c r="AP16" s="17"/>
      <c r="AQ16" s="17"/>
      <c r="AR16" s="17"/>
      <c r="AS16" s="17"/>
      <c r="AT16" s="17"/>
      <c r="AU16" s="17"/>
    </row>
    <row r="17" spans="1:47" ht="30" customHeight="1" x14ac:dyDescent="0.25">
      <c r="A17" s="12">
        <v>2234</v>
      </c>
      <c r="B17" s="13" t="s">
        <v>131</v>
      </c>
      <c r="C17" s="14">
        <v>101731000</v>
      </c>
      <c r="D17" s="15" t="s">
        <v>132</v>
      </c>
      <c r="E17" s="18" t="s">
        <v>133</v>
      </c>
      <c r="F17" s="16" t="s">
        <v>134</v>
      </c>
      <c r="G17" s="10" t="s">
        <v>87</v>
      </c>
      <c r="H17" s="16" t="s">
        <v>135</v>
      </c>
      <c r="I17" s="16" t="s">
        <v>110</v>
      </c>
      <c r="J17" s="10"/>
      <c r="K17" s="10">
        <v>360</v>
      </c>
      <c r="L17" s="10">
        <f t="shared" si="0"/>
        <v>360</v>
      </c>
      <c r="M17" s="12" t="s">
        <v>91</v>
      </c>
      <c r="N17" s="12" t="s">
        <v>90</v>
      </c>
      <c r="O17" s="12" t="s">
        <v>91</v>
      </c>
      <c r="P17" s="12" t="s">
        <v>90</v>
      </c>
      <c r="Q17" s="12" t="s">
        <v>92</v>
      </c>
      <c r="R17" s="12"/>
      <c r="S17" s="12">
        <v>4</v>
      </c>
      <c r="T17" s="12"/>
      <c r="U17" s="12"/>
      <c r="V17" s="12">
        <v>8</v>
      </c>
      <c r="W17" s="12"/>
      <c r="X17" s="10">
        <f t="shared" si="1"/>
        <v>12</v>
      </c>
      <c r="Y17" s="10">
        <f t="shared" si="2"/>
        <v>12</v>
      </c>
      <c r="Z17" s="10"/>
      <c r="AA17" s="10"/>
      <c r="AB17" s="10">
        <f t="shared" si="3"/>
        <v>12</v>
      </c>
      <c r="AC17" s="10">
        <f t="shared" si="4"/>
        <v>12</v>
      </c>
      <c r="AD17" s="10"/>
      <c r="AE17" s="10"/>
      <c r="AF17" s="10"/>
      <c r="AG17" s="10"/>
      <c r="AH17" s="10">
        <f t="shared" si="5"/>
        <v>12</v>
      </c>
      <c r="AI17" s="12" t="s">
        <v>93</v>
      </c>
      <c r="AJ17" s="12">
        <v>2</v>
      </c>
      <c r="AK17" s="10"/>
      <c r="AL17" s="17"/>
      <c r="AM17" s="17"/>
      <c r="AN17" s="17"/>
      <c r="AO17" s="17"/>
      <c r="AP17" s="17"/>
      <c r="AQ17" s="17"/>
      <c r="AR17" s="17"/>
      <c r="AS17" s="17"/>
      <c r="AT17" s="17"/>
      <c r="AU17" s="17"/>
    </row>
    <row r="18" spans="1:47" ht="30" customHeight="1" x14ac:dyDescent="0.25">
      <c r="A18" s="12">
        <v>2235</v>
      </c>
      <c r="B18" s="13" t="s">
        <v>136</v>
      </c>
      <c r="C18" s="14">
        <v>102280000</v>
      </c>
      <c r="D18" s="15" t="s">
        <v>137</v>
      </c>
      <c r="E18" s="15" t="s">
        <v>138</v>
      </c>
      <c r="F18" s="16" t="s">
        <v>139</v>
      </c>
      <c r="G18" s="10" t="s">
        <v>87</v>
      </c>
      <c r="H18" s="16" t="s">
        <v>140</v>
      </c>
      <c r="I18" s="16" t="s">
        <v>110</v>
      </c>
      <c r="J18" s="10"/>
      <c r="K18" s="10">
        <v>350</v>
      </c>
      <c r="L18" s="10">
        <f t="shared" si="0"/>
        <v>350</v>
      </c>
      <c r="M18" s="12" t="s">
        <v>91</v>
      </c>
      <c r="N18" s="12" t="s">
        <v>90</v>
      </c>
      <c r="O18" s="12" t="s">
        <v>91</v>
      </c>
      <c r="P18" s="12" t="s">
        <v>90</v>
      </c>
      <c r="Q18" s="12" t="s">
        <v>111</v>
      </c>
      <c r="R18" s="12"/>
      <c r="S18" s="12"/>
      <c r="T18" s="12"/>
      <c r="U18" s="12"/>
      <c r="V18" s="12">
        <v>10</v>
      </c>
      <c r="W18" s="12"/>
      <c r="X18" s="10">
        <f t="shared" si="1"/>
        <v>10</v>
      </c>
      <c r="Y18" s="10">
        <f t="shared" si="2"/>
        <v>10</v>
      </c>
      <c r="Z18" s="10"/>
      <c r="AA18" s="10"/>
      <c r="AB18" s="10">
        <f t="shared" si="3"/>
        <v>10</v>
      </c>
      <c r="AC18" s="10">
        <f t="shared" si="4"/>
        <v>10</v>
      </c>
      <c r="AD18" s="10"/>
      <c r="AE18" s="10"/>
      <c r="AF18" s="10"/>
      <c r="AG18" s="10"/>
      <c r="AH18" s="10">
        <f t="shared" si="5"/>
        <v>10</v>
      </c>
      <c r="AI18" s="12" t="s">
        <v>93</v>
      </c>
      <c r="AJ18" s="12">
        <v>2</v>
      </c>
      <c r="AK18" s="10"/>
      <c r="AL18" s="17"/>
      <c r="AM18" s="17"/>
      <c r="AN18" s="17"/>
      <c r="AO18" s="17"/>
      <c r="AP18" s="17"/>
      <c r="AQ18" s="17"/>
      <c r="AR18" s="17"/>
      <c r="AS18" s="17"/>
      <c r="AT18" s="17"/>
      <c r="AU18" s="17"/>
    </row>
    <row r="19" spans="1:47" ht="30" customHeight="1" x14ac:dyDescent="0.25">
      <c r="A19" s="12">
        <v>2236</v>
      </c>
      <c r="B19" s="13" t="s">
        <v>141</v>
      </c>
      <c r="C19" s="14">
        <v>101732000</v>
      </c>
      <c r="D19" s="15" t="s">
        <v>142</v>
      </c>
      <c r="E19" s="18" t="s">
        <v>143</v>
      </c>
      <c r="F19" s="16" t="s">
        <v>144</v>
      </c>
      <c r="G19" s="10" t="s">
        <v>87</v>
      </c>
      <c r="H19" s="16" t="s">
        <v>145</v>
      </c>
      <c r="I19" s="16" t="s">
        <v>146</v>
      </c>
      <c r="J19" s="10"/>
      <c r="K19" s="10">
        <v>370</v>
      </c>
      <c r="L19" s="10">
        <f t="shared" si="0"/>
        <v>370</v>
      </c>
      <c r="M19" s="12" t="s">
        <v>91</v>
      </c>
      <c r="N19" s="12" t="s">
        <v>90</v>
      </c>
      <c r="O19" s="12" t="s">
        <v>91</v>
      </c>
      <c r="P19" s="12" t="s">
        <v>90</v>
      </c>
      <c r="Q19" s="12" t="s">
        <v>111</v>
      </c>
      <c r="R19" s="12"/>
      <c r="S19" s="12"/>
      <c r="T19" s="12"/>
      <c r="U19" s="12"/>
      <c r="V19" s="12">
        <v>12</v>
      </c>
      <c r="W19" s="12"/>
      <c r="X19" s="10">
        <f t="shared" si="1"/>
        <v>12</v>
      </c>
      <c r="Y19" s="10">
        <f t="shared" si="2"/>
        <v>12</v>
      </c>
      <c r="Z19" s="10"/>
      <c r="AA19" s="10"/>
      <c r="AB19" s="10">
        <f t="shared" si="3"/>
        <v>12</v>
      </c>
      <c r="AC19" s="10">
        <f t="shared" si="4"/>
        <v>12</v>
      </c>
      <c r="AD19" s="10"/>
      <c r="AE19" s="10"/>
      <c r="AF19" s="10"/>
      <c r="AG19" s="10"/>
      <c r="AH19" s="10">
        <f t="shared" si="5"/>
        <v>12</v>
      </c>
      <c r="AI19" s="12" t="s">
        <v>93</v>
      </c>
      <c r="AJ19" s="12">
        <v>2</v>
      </c>
      <c r="AK19" s="10"/>
      <c r="AL19" s="17"/>
      <c r="AM19" s="17"/>
      <c r="AN19" s="17"/>
      <c r="AO19" s="17"/>
      <c r="AP19" s="17"/>
      <c r="AQ19" s="17"/>
      <c r="AR19" s="17"/>
      <c r="AS19" s="17"/>
      <c r="AT19" s="17"/>
      <c r="AU19" s="17"/>
    </row>
    <row r="20" spans="1:47" ht="30" customHeight="1" x14ac:dyDescent="0.25">
      <c r="A20" s="12">
        <v>2237</v>
      </c>
      <c r="B20" s="13" t="s">
        <v>147</v>
      </c>
      <c r="C20" s="14">
        <v>102284000</v>
      </c>
      <c r="D20" s="15" t="s">
        <v>148</v>
      </c>
      <c r="E20" s="18" t="s">
        <v>149</v>
      </c>
      <c r="F20" s="16" t="s">
        <v>150</v>
      </c>
      <c r="G20" s="10" t="s">
        <v>87</v>
      </c>
      <c r="H20" s="16" t="s">
        <v>151</v>
      </c>
      <c r="I20" s="16" t="s">
        <v>110</v>
      </c>
      <c r="J20" s="10"/>
      <c r="K20" s="10">
        <v>500</v>
      </c>
      <c r="L20" s="10">
        <f t="shared" si="0"/>
        <v>500</v>
      </c>
      <c r="M20" s="12" t="s">
        <v>91</v>
      </c>
      <c r="N20" s="12" t="s">
        <v>90</v>
      </c>
      <c r="O20" s="12" t="s">
        <v>91</v>
      </c>
      <c r="P20" s="12" t="s">
        <v>90</v>
      </c>
      <c r="Q20" s="12" t="s">
        <v>111</v>
      </c>
      <c r="R20" s="12"/>
      <c r="S20" s="12"/>
      <c r="T20" s="12"/>
      <c r="U20" s="12"/>
      <c r="V20" s="12">
        <v>13</v>
      </c>
      <c r="W20" s="12"/>
      <c r="X20" s="10">
        <f t="shared" si="1"/>
        <v>13</v>
      </c>
      <c r="Y20" s="10">
        <f t="shared" si="2"/>
        <v>13</v>
      </c>
      <c r="Z20" s="10"/>
      <c r="AA20" s="10"/>
      <c r="AB20" s="10">
        <f t="shared" si="3"/>
        <v>13</v>
      </c>
      <c r="AC20" s="10">
        <f t="shared" si="4"/>
        <v>13</v>
      </c>
      <c r="AD20" s="10"/>
      <c r="AE20" s="10"/>
      <c r="AF20" s="10"/>
      <c r="AG20" s="10"/>
      <c r="AH20" s="10">
        <f t="shared" si="5"/>
        <v>13</v>
      </c>
      <c r="AI20" s="12" t="s">
        <v>93</v>
      </c>
      <c r="AJ20" s="12">
        <v>4</v>
      </c>
      <c r="AK20" s="10"/>
      <c r="AL20" s="17"/>
      <c r="AM20" s="17"/>
      <c r="AN20" s="17"/>
      <c r="AO20" s="17"/>
      <c r="AP20" s="17"/>
      <c r="AQ20" s="17"/>
      <c r="AR20" s="17"/>
      <c r="AS20" s="17"/>
      <c r="AT20" s="17"/>
      <c r="AU20" s="17"/>
    </row>
    <row r="21" spans="1:47" ht="30" customHeight="1" x14ac:dyDescent="0.25">
      <c r="A21" s="12">
        <v>2238</v>
      </c>
      <c r="B21" s="13" t="s">
        <v>152</v>
      </c>
      <c r="C21" s="14">
        <v>102279000</v>
      </c>
      <c r="D21" s="15" t="s">
        <v>153</v>
      </c>
      <c r="E21" s="15" t="s">
        <v>154</v>
      </c>
      <c r="F21" s="16" t="s">
        <v>155</v>
      </c>
      <c r="G21" s="10" t="s">
        <v>87</v>
      </c>
      <c r="H21" s="16" t="s">
        <v>156</v>
      </c>
      <c r="I21" s="16" t="s">
        <v>110</v>
      </c>
      <c r="J21" s="10"/>
      <c r="K21" s="10">
        <v>230</v>
      </c>
      <c r="L21" s="10">
        <f t="shared" si="0"/>
        <v>230</v>
      </c>
      <c r="M21" s="12" t="s">
        <v>90</v>
      </c>
      <c r="N21" s="12" t="s">
        <v>91</v>
      </c>
      <c r="O21" s="12" t="s">
        <v>91</v>
      </c>
      <c r="P21" s="12" t="s">
        <v>90</v>
      </c>
      <c r="Q21" s="12" t="s">
        <v>111</v>
      </c>
      <c r="R21" s="12"/>
      <c r="S21" s="12"/>
      <c r="T21" s="12"/>
      <c r="U21" s="12"/>
      <c r="V21" s="12">
        <v>7</v>
      </c>
      <c r="W21" s="12"/>
      <c r="X21" s="10">
        <f t="shared" si="1"/>
        <v>7</v>
      </c>
      <c r="Y21" s="10">
        <f t="shared" si="2"/>
        <v>7</v>
      </c>
      <c r="Z21" s="10"/>
      <c r="AA21" s="10"/>
      <c r="AB21" s="10">
        <f t="shared" si="3"/>
        <v>7</v>
      </c>
      <c r="AC21" s="10">
        <f t="shared" si="4"/>
        <v>7</v>
      </c>
      <c r="AD21" s="10"/>
      <c r="AE21" s="10"/>
      <c r="AF21" s="10"/>
      <c r="AG21" s="10"/>
      <c r="AH21" s="10">
        <f t="shared" si="5"/>
        <v>7</v>
      </c>
      <c r="AI21" s="12" t="s">
        <v>93</v>
      </c>
      <c r="AJ21" s="12">
        <v>3</v>
      </c>
      <c r="AK21" s="10"/>
      <c r="AL21" s="17"/>
      <c r="AM21" s="17"/>
      <c r="AN21" s="17"/>
      <c r="AO21" s="17"/>
      <c r="AP21" s="17"/>
      <c r="AQ21" s="17"/>
      <c r="AR21" s="17"/>
      <c r="AS21" s="17"/>
      <c r="AT21" s="17"/>
      <c r="AU21" s="17"/>
    </row>
    <row r="22" spans="1:47" ht="39.75" customHeight="1" x14ac:dyDescent="0.25">
      <c r="A22" s="12">
        <v>2239</v>
      </c>
      <c r="B22" s="13"/>
      <c r="C22" s="14"/>
      <c r="D22" s="15"/>
      <c r="E22" s="18"/>
      <c r="F22" s="16" t="s">
        <v>157</v>
      </c>
      <c r="G22" s="10" t="s">
        <v>87</v>
      </c>
      <c r="H22" s="16"/>
      <c r="I22" s="16" t="s">
        <v>110</v>
      </c>
      <c r="J22" s="10"/>
      <c r="K22" s="10">
        <v>400</v>
      </c>
      <c r="L22" s="10">
        <f t="shared" si="0"/>
        <v>400</v>
      </c>
      <c r="M22" s="12"/>
      <c r="N22" s="12"/>
      <c r="O22" s="12"/>
      <c r="P22" s="12"/>
      <c r="Q22" s="12"/>
      <c r="R22" s="12"/>
      <c r="S22" s="12"/>
      <c r="T22" s="12"/>
      <c r="U22" s="12"/>
      <c r="V22" s="12">
        <v>9</v>
      </c>
      <c r="W22" s="12"/>
      <c r="X22" s="10">
        <f t="shared" si="1"/>
        <v>9</v>
      </c>
      <c r="Y22" s="10">
        <f t="shared" si="2"/>
        <v>9</v>
      </c>
      <c r="Z22" s="10"/>
      <c r="AA22" s="10"/>
      <c r="AB22" s="10">
        <f t="shared" si="3"/>
        <v>9</v>
      </c>
      <c r="AC22" s="10">
        <f t="shared" si="4"/>
        <v>9</v>
      </c>
      <c r="AD22" s="10"/>
      <c r="AE22" s="10"/>
      <c r="AF22" s="10"/>
      <c r="AG22" s="10"/>
      <c r="AH22" s="10">
        <f t="shared" si="5"/>
        <v>9</v>
      </c>
      <c r="AI22" s="12"/>
      <c r="AJ22" s="12"/>
      <c r="AK22" s="10" t="s">
        <v>158</v>
      </c>
      <c r="AL22" s="17"/>
      <c r="AM22" s="17"/>
      <c r="AN22" s="17"/>
      <c r="AO22" s="17"/>
      <c r="AP22" s="17"/>
      <c r="AQ22" s="17"/>
      <c r="AR22" s="17"/>
      <c r="AS22" s="17"/>
      <c r="AT22" s="17"/>
      <c r="AU22" s="17"/>
    </row>
    <row r="23" spans="1:47" ht="30" customHeight="1" x14ac:dyDescent="0.25">
      <c r="A23" s="12">
        <v>2240</v>
      </c>
      <c r="B23" s="13" t="s">
        <v>159</v>
      </c>
      <c r="C23" s="14">
        <v>102283000</v>
      </c>
      <c r="D23" s="15" t="s">
        <v>160</v>
      </c>
      <c r="E23" s="18" t="s">
        <v>161</v>
      </c>
      <c r="F23" s="16" t="s">
        <v>162</v>
      </c>
      <c r="G23" s="10" t="s">
        <v>87</v>
      </c>
      <c r="H23" s="16" t="s">
        <v>163</v>
      </c>
      <c r="I23" s="16" t="s">
        <v>110</v>
      </c>
      <c r="J23" s="10"/>
      <c r="K23" s="10">
        <v>350</v>
      </c>
      <c r="L23" s="10">
        <f t="shared" si="0"/>
        <v>350</v>
      </c>
      <c r="M23" s="12" t="s">
        <v>90</v>
      </c>
      <c r="N23" s="12" t="s">
        <v>91</v>
      </c>
      <c r="O23" s="12" t="s">
        <v>91</v>
      </c>
      <c r="P23" s="12" t="s">
        <v>90</v>
      </c>
      <c r="Q23" s="12" t="s">
        <v>111</v>
      </c>
      <c r="R23" s="12"/>
      <c r="S23" s="12"/>
      <c r="T23" s="12"/>
      <c r="U23" s="12"/>
      <c r="V23" s="12">
        <v>9</v>
      </c>
      <c r="W23" s="12"/>
      <c r="X23" s="10">
        <f t="shared" si="1"/>
        <v>9</v>
      </c>
      <c r="Y23" s="10">
        <f t="shared" si="2"/>
        <v>9</v>
      </c>
      <c r="Z23" s="10"/>
      <c r="AA23" s="10"/>
      <c r="AB23" s="10">
        <f t="shared" si="3"/>
        <v>9</v>
      </c>
      <c r="AC23" s="10">
        <f t="shared" si="4"/>
        <v>9</v>
      </c>
      <c r="AD23" s="10"/>
      <c r="AE23" s="10"/>
      <c r="AF23" s="10"/>
      <c r="AG23" s="10"/>
      <c r="AH23" s="10">
        <f t="shared" si="5"/>
        <v>9</v>
      </c>
      <c r="AI23" s="12" t="s">
        <v>93</v>
      </c>
      <c r="AJ23" s="12">
        <v>3</v>
      </c>
      <c r="AK23" s="10"/>
      <c r="AL23" s="17"/>
      <c r="AM23" s="17"/>
      <c r="AN23" s="17"/>
      <c r="AO23" s="17"/>
      <c r="AP23" s="17"/>
      <c r="AQ23" s="17"/>
      <c r="AR23" s="17"/>
      <c r="AS23" s="17"/>
      <c r="AT23" s="17"/>
      <c r="AU23" s="17"/>
    </row>
    <row r="24" spans="1:47" ht="30" customHeight="1" x14ac:dyDescent="0.25">
      <c r="A24" s="12">
        <v>2241</v>
      </c>
      <c r="B24" s="13" t="s">
        <v>164</v>
      </c>
      <c r="C24" s="14">
        <v>101756000</v>
      </c>
      <c r="D24" s="15" t="s">
        <v>165</v>
      </c>
      <c r="E24" s="18" t="s">
        <v>166</v>
      </c>
      <c r="F24" s="16" t="s">
        <v>167</v>
      </c>
      <c r="G24" s="10" t="s">
        <v>87</v>
      </c>
      <c r="H24" s="16" t="s">
        <v>168</v>
      </c>
      <c r="I24" s="16" t="s">
        <v>110</v>
      </c>
      <c r="J24" s="10"/>
      <c r="K24" s="10">
        <v>345</v>
      </c>
      <c r="L24" s="10">
        <f t="shared" si="0"/>
        <v>345</v>
      </c>
      <c r="M24" s="12" t="s">
        <v>91</v>
      </c>
      <c r="N24" s="12" t="s">
        <v>90</v>
      </c>
      <c r="O24" s="12" t="s">
        <v>91</v>
      </c>
      <c r="P24" s="12" t="s">
        <v>90</v>
      </c>
      <c r="Q24" s="12" t="s">
        <v>92</v>
      </c>
      <c r="R24" s="12"/>
      <c r="S24" s="12"/>
      <c r="T24" s="12"/>
      <c r="U24" s="12"/>
      <c r="V24" s="12">
        <v>10</v>
      </c>
      <c r="W24" s="12"/>
      <c r="X24" s="10">
        <f t="shared" si="1"/>
        <v>10</v>
      </c>
      <c r="Y24" s="10">
        <f t="shared" si="2"/>
        <v>10</v>
      </c>
      <c r="Z24" s="10"/>
      <c r="AA24" s="10"/>
      <c r="AB24" s="10">
        <f t="shared" si="3"/>
        <v>10</v>
      </c>
      <c r="AC24" s="10">
        <f t="shared" si="4"/>
        <v>10</v>
      </c>
      <c r="AD24" s="10"/>
      <c r="AE24" s="10"/>
      <c r="AF24" s="10"/>
      <c r="AG24" s="10"/>
      <c r="AH24" s="10">
        <f t="shared" si="5"/>
        <v>10</v>
      </c>
      <c r="AI24" s="12" t="s">
        <v>93</v>
      </c>
      <c r="AJ24" s="12">
        <v>3</v>
      </c>
      <c r="AK24" s="10"/>
      <c r="AL24" s="17"/>
      <c r="AM24" s="17"/>
      <c r="AN24" s="17"/>
      <c r="AO24" s="17"/>
      <c r="AP24" s="17"/>
      <c r="AQ24" s="17"/>
      <c r="AR24" s="17"/>
      <c r="AS24" s="17"/>
      <c r="AT24" s="17"/>
      <c r="AU24" s="17"/>
    </row>
    <row r="25" spans="1:47" ht="30" customHeight="1" x14ac:dyDescent="0.25">
      <c r="A25" s="12">
        <v>2242</v>
      </c>
      <c r="B25" s="13"/>
      <c r="C25" s="14"/>
      <c r="D25" s="15"/>
      <c r="E25" s="15"/>
      <c r="F25" s="16" t="s">
        <v>169</v>
      </c>
      <c r="G25" s="10" t="s">
        <v>87</v>
      </c>
      <c r="H25" s="16"/>
      <c r="I25" s="16" t="s">
        <v>110</v>
      </c>
      <c r="J25" s="10"/>
      <c r="K25" s="10">
        <v>391</v>
      </c>
      <c r="L25" s="10">
        <f t="shared" si="0"/>
        <v>391</v>
      </c>
      <c r="M25" s="12"/>
      <c r="N25" s="12"/>
      <c r="O25" s="12"/>
      <c r="P25" s="12"/>
      <c r="Q25" s="12"/>
      <c r="R25" s="12"/>
      <c r="S25" s="12"/>
      <c r="T25" s="12"/>
      <c r="U25" s="12"/>
      <c r="V25" s="12">
        <v>11</v>
      </c>
      <c r="W25" s="12"/>
      <c r="X25" s="10">
        <f t="shared" si="1"/>
        <v>11</v>
      </c>
      <c r="Y25" s="10">
        <f t="shared" si="2"/>
        <v>11</v>
      </c>
      <c r="Z25" s="10"/>
      <c r="AA25" s="10"/>
      <c r="AB25" s="10">
        <f t="shared" si="3"/>
        <v>11</v>
      </c>
      <c r="AC25" s="10">
        <f t="shared" si="4"/>
        <v>11</v>
      </c>
      <c r="AD25" s="10"/>
      <c r="AE25" s="10"/>
      <c r="AF25" s="10"/>
      <c r="AG25" s="10"/>
      <c r="AH25" s="10">
        <f t="shared" si="5"/>
        <v>11</v>
      </c>
      <c r="AI25" s="12" t="s">
        <v>93</v>
      </c>
      <c r="AJ25" s="12">
        <v>3</v>
      </c>
      <c r="AK25" s="10"/>
      <c r="AL25" s="17"/>
      <c r="AM25" s="17"/>
      <c r="AN25" s="17"/>
      <c r="AO25" s="17"/>
      <c r="AP25" s="17"/>
      <c r="AQ25" s="17"/>
      <c r="AR25" s="17"/>
      <c r="AS25" s="17"/>
      <c r="AT25" s="17"/>
      <c r="AU25" s="17"/>
    </row>
    <row r="26" spans="1:47" ht="30" customHeight="1" x14ac:dyDescent="0.25">
      <c r="A26" s="12">
        <v>2243</v>
      </c>
      <c r="B26" s="13" t="s">
        <v>170</v>
      </c>
      <c r="C26" s="14">
        <v>101754000</v>
      </c>
      <c r="D26" s="15" t="s">
        <v>171</v>
      </c>
      <c r="E26" s="15" t="s">
        <v>172</v>
      </c>
      <c r="F26" s="16" t="s">
        <v>173</v>
      </c>
      <c r="G26" s="10" t="s">
        <v>87</v>
      </c>
      <c r="H26" s="16" t="s">
        <v>174</v>
      </c>
      <c r="I26" s="16" t="s">
        <v>110</v>
      </c>
      <c r="J26" s="10"/>
      <c r="K26" s="10">
        <v>377</v>
      </c>
      <c r="L26" s="10">
        <f t="shared" si="0"/>
        <v>377</v>
      </c>
      <c r="M26" s="12" t="s">
        <v>91</v>
      </c>
      <c r="N26" s="12" t="s">
        <v>90</v>
      </c>
      <c r="O26" s="12" t="s">
        <v>91</v>
      </c>
      <c r="P26" s="12" t="s">
        <v>90</v>
      </c>
      <c r="Q26" s="12" t="s">
        <v>92</v>
      </c>
      <c r="R26" s="12"/>
      <c r="S26" s="12"/>
      <c r="T26" s="12"/>
      <c r="U26" s="12"/>
      <c r="V26" s="12">
        <v>11</v>
      </c>
      <c r="W26" s="12"/>
      <c r="X26" s="10">
        <f t="shared" si="1"/>
        <v>11</v>
      </c>
      <c r="Y26" s="10">
        <f t="shared" si="2"/>
        <v>11</v>
      </c>
      <c r="Z26" s="10"/>
      <c r="AA26" s="10"/>
      <c r="AB26" s="10">
        <f t="shared" si="3"/>
        <v>11</v>
      </c>
      <c r="AC26" s="10">
        <f t="shared" si="4"/>
        <v>11</v>
      </c>
      <c r="AD26" s="10"/>
      <c r="AE26" s="10"/>
      <c r="AF26" s="10"/>
      <c r="AG26" s="10"/>
      <c r="AH26" s="10">
        <f t="shared" si="5"/>
        <v>11</v>
      </c>
      <c r="AI26" s="12" t="s">
        <v>93</v>
      </c>
      <c r="AJ26" s="12">
        <v>2</v>
      </c>
      <c r="AK26" s="10"/>
      <c r="AL26" s="17"/>
      <c r="AM26" s="17"/>
      <c r="AN26" s="17"/>
      <c r="AO26" s="17"/>
      <c r="AP26" s="17"/>
      <c r="AQ26" s="17"/>
      <c r="AR26" s="17"/>
      <c r="AS26" s="17"/>
      <c r="AT26" s="17"/>
      <c r="AU26" s="17"/>
    </row>
    <row r="27" spans="1:47" ht="30" customHeight="1" x14ac:dyDescent="0.25">
      <c r="A27" s="12">
        <v>2244</v>
      </c>
      <c r="B27" s="13" t="s">
        <v>175</v>
      </c>
      <c r="C27" s="14">
        <v>101755000</v>
      </c>
      <c r="D27" s="15" t="s">
        <v>176</v>
      </c>
      <c r="E27" s="18" t="s">
        <v>177</v>
      </c>
      <c r="F27" s="16" t="s">
        <v>178</v>
      </c>
      <c r="G27" s="10" t="s">
        <v>87</v>
      </c>
      <c r="H27" s="16" t="s">
        <v>179</v>
      </c>
      <c r="I27" s="16" t="s">
        <v>110</v>
      </c>
      <c r="J27" s="10"/>
      <c r="K27" s="10">
        <v>385</v>
      </c>
      <c r="L27" s="10">
        <f t="shared" si="0"/>
        <v>385</v>
      </c>
      <c r="M27" s="12" t="s">
        <v>91</v>
      </c>
      <c r="N27" s="12" t="s">
        <v>90</v>
      </c>
      <c r="O27" s="12" t="s">
        <v>91</v>
      </c>
      <c r="P27" s="12" t="s">
        <v>90</v>
      </c>
      <c r="Q27" s="12" t="s">
        <v>92</v>
      </c>
      <c r="R27" s="12"/>
      <c r="S27" s="12"/>
      <c r="T27" s="12"/>
      <c r="U27" s="12"/>
      <c r="V27" s="12">
        <v>11</v>
      </c>
      <c r="W27" s="12"/>
      <c r="X27" s="10">
        <f t="shared" si="1"/>
        <v>11</v>
      </c>
      <c r="Y27" s="10">
        <f t="shared" si="2"/>
        <v>11</v>
      </c>
      <c r="Z27" s="10"/>
      <c r="AA27" s="10"/>
      <c r="AB27" s="10">
        <f t="shared" si="3"/>
        <v>11</v>
      </c>
      <c r="AC27" s="10">
        <f t="shared" si="4"/>
        <v>11</v>
      </c>
      <c r="AD27" s="10"/>
      <c r="AE27" s="10"/>
      <c r="AF27" s="10"/>
      <c r="AG27" s="10"/>
      <c r="AH27" s="10">
        <f t="shared" si="5"/>
        <v>11</v>
      </c>
      <c r="AI27" s="12" t="s">
        <v>93</v>
      </c>
      <c r="AJ27" s="12">
        <v>2</v>
      </c>
      <c r="AK27" s="10"/>
      <c r="AL27" s="17"/>
      <c r="AM27" s="17"/>
      <c r="AN27" s="17"/>
      <c r="AO27" s="17"/>
      <c r="AP27" s="17"/>
      <c r="AQ27" s="17"/>
      <c r="AR27" s="17"/>
      <c r="AS27" s="17"/>
      <c r="AT27" s="17"/>
      <c r="AU27" s="17"/>
    </row>
    <row r="28" spans="1:47" ht="30" customHeight="1" x14ac:dyDescent="0.25">
      <c r="A28" s="12">
        <v>2245</v>
      </c>
      <c r="B28" s="13" t="s">
        <v>180</v>
      </c>
      <c r="C28" s="14">
        <v>101753000</v>
      </c>
      <c r="D28" s="15" t="s">
        <v>181</v>
      </c>
      <c r="E28" s="18" t="s">
        <v>182</v>
      </c>
      <c r="F28" s="16" t="s">
        <v>183</v>
      </c>
      <c r="G28" s="10" t="s">
        <v>87</v>
      </c>
      <c r="H28" s="16" t="s">
        <v>184</v>
      </c>
      <c r="I28" s="16" t="s">
        <v>110</v>
      </c>
      <c r="J28" s="10"/>
      <c r="K28" s="10">
        <v>338</v>
      </c>
      <c r="L28" s="10">
        <f t="shared" si="0"/>
        <v>338</v>
      </c>
      <c r="M28" s="12" t="s">
        <v>90</v>
      </c>
      <c r="N28" s="12" t="s">
        <v>91</v>
      </c>
      <c r="O28" s="12" t="s">
        <v>91</v>
      </c>
      <c r="P28" s="12" t="s">
        <v>90</v>
      </c>
      <c r="Q28" s="12" t="s">
        <v>111</v>
      </c>
      <c r="R28" s="12"/>
      <c r="S28" s="12"/>
      <c r="T28" s="12"/>
      <c r="U28" s="12"/>
      <c r="V28" s="12">
        <v>9</v>
      </c>
      <c r="W28" s="12"/>
      <c r="X28" s="10">
        <f t="shared" si="1"/>
        <v>9</v>
      </c>
      <c r="Y28" s="10">
        <f t="shared" si="2"/>
        <v>9</v>
      </c>
      <c r="Z28" s="10"/>
      <c r="AA28" s="10"/>
      <c r="AB28" s="10">
        <f t="shared" si="3"/>
        <v>9</v>
      </c>
      <c r="AC28" s="10">
        <f t="shared" si="4"/>
        <v>9</v>
      </c>
      <c r="AD28" s="10"/>
      <c r="AE28" s="10"/>
      <c r="AF28" s="10"/>
      <c r="AG28" s="10"/>
      <c r="AH28" s="10">
        <f t="shared" si="5"/>
        <v>9</v>
      </c>
      <c r="AI28" s="12" t="s">
        <v>185</v>
      </c>
      <c r="AJ28" s="12">
        <v>3</v>
      </c>
      <c r="AK28" s="10"/>
      <c r="AL28" s="17"/>
      <c r="AM28" s="17"/>
      <c r="AN28" s="17"/>
      <c r="AO28" s="17"/>
      <c r="AP28" s="17"/>
      <c r="AQ28" s="17"/>
      <c r="AR28" s="17"/>
      <c r="AS28" s="17"/>
      <c r="AT28" s="17"/>
      <c r="AU28" s="17"/>
    </row>
    <row r="29" spans="1:47" ht="30" customHeight="1" x14ac:dyDescent="0.25">
      <c r="A29" s="12">
        <v>2246</v>
      </c>
      <c r="B29" s="13"/>
      <c r="C29" s="14"/>
      <c r="D29" s="15"/>
      <c r="E29" s="15"/>
      <c r="F29" s="16" t="s">
        <v>186</v>
      </c>
      <c r="G29" s="10" t="s">
        <v>87</v>
      </c>
      <c r="H29" s="16"/>
      <c r="I29" s="16" t="s">
        <v>110</v>
      </c>
      <c r="J29" s="10"/>
      <c r="K29" s="10">
        <v>407</v>
      </c>
      <c r="L29" s="10">
        <f t="shared" si="0"/>
        <v>407</v>
      </c>
      <c r="M29" s="12"/>
      <c r="N29" s="12"/>
      <c r="O29" s="12"/>
      <c r="P29" s="12"/>
      <c r="Q29" s="12"/>
      <c r="R29" s="12"/>
      <c r="S29" s="12"/>
      <c r="T29" s="12"/>
      <c r="U29" s="12"/>
      <c r="V29" s="12">
        <v>11</v>
      </c>
      <c r="W29" s="12"/>
      <c r="X29" s="10">
        <f t="shared" si="1"/>
        <v>11</v>
      </c>
      <c r="Y29" s="10">
        <f t="shared" si="2"/>
        <v>11</v>
      </c>
      <c r="Z29" s="10"/>
      <c r="AA29" s="10"/>
      <c r="AB29" s="10">
        <f t="shared" si="3"/>
        <v>11</v>
      </c>
      <c r="AC29" s="10">
        <f t="shared" si="4"/>
        <v>11</v>
      </c>
      <c r="AD29" s="10"/>
      <c r="AE29" s="10"/>
      <c r="AF29" s="10"/>
      <c r="AG29" s="10"/>
      <c r="AH29" s="10">
        <f t="shared" si="5"/>
        <v>11</v>
      </c>
      <c r="AI29" s="12" t="s">
        <v>185</v>
      </c>
      <c r="AJ29" s="12">
        <v>3</v>
      </c>
      <c r="AK29" s="10" t="s">
        <v>187</v>
      </c>
      <c r="AL29" s="17"/>
      <c r="AM29" s="17"/>
      <c r="AN29" s="17"/>
      <c r="AO29" s="17"/>
      <c r="AP29" s="17"/>
      <c r="AQ29" s="17"/>
      <c r="AR29" s="17"/>
      <c r="AS29" s="17"/>
      <c r="AT29" s="17"/>
      <c r="AU29" s="17"/>
    </row>
    <row r="30" spans="1:47" ht="30" customHeight="1" x14ac:dyDescent="0.25">
      <c r="A30" s="12">
        <v>2247</v>
      </c>
      <c r="B30" s="13" t="s">
        <v>188</v>
      </c>
      <c r="C30" s="14">
        <v>101751000</v>
      </c>
      <c r="D30" s="15" t="s">
        <v>189</v>
      </c>
      <c r="E30" s="15" t="s">
        <v>190</v>
      </c>
      <c r="F30" s="16" t="s">
        <v>191</v>
      </c>
      <c r="G30" s="10" t="s">
        <v>87</v>
      </c>
      <c r="H30" s="16" t="s">
        <v>192</v>
      </c>
      <c r="I30" s="16" t="s">
        <v>110</v>
      </c>
      <c r="J30" s="10"/>
      <c r="K30" s="10">
        <v>456</v>
      </c>
      <c r="L30" s="10">
        <f t="shared" si="0"/>
        <v>456</v>
      </c>
      <c r="M30" s="12" t="s">
        <v>90</v>
      </c>
      <c r="N30" s="12" t="s">
        <v>91</v>
      </c>
      <c r="O30" s="12" t="s">
        <v>91</v>
      </c>
      <c r="P30" s="12" t="s">
        <v>90</v>
      </c>
      <c r="Q30" s="12" t="s">
        <v>92</v>
      </c>
      <c r="R30" s="12"/>
      <c r="S30" s="12"/>
      <c r="T30" s="12"/>
      <c r="U30" s="12"/>
      <c r="V30" s="12">
        <v>12</v>
      </c>
      <c r="W30" s="12"/>
      <c r="X30" s="10">
        <f t="shared" si="1"/>
        <v>12</v>
      </c>
      <c r="Y30" s="10">
        <f t="shared" si="2"/>
        <v>12</v>
      </c>
      <c r="Z30" s="10"/>
      <c r="AA30" s="10"/>
      <c r="AB30" s="10">
        <f t="shared" si="3"/>
        <v>12</v>
      </c>
      <c r="AC30" s="10">
        <f t="shared" si="4"/>
        <v>12</v>
      </c>
      <c r="AD30" s="10"/>
      <c r="AE30" s="10"/>
      <c r="AF30" s="10"/>
      <c r="AG30" s="10"/>
      <c r="AH30" s="10">
        <f t="shared" si="5"/>
        <v>12</v>
      </c>
      <c r="AI30" s="12" t="s">
        <v>185</v>
      </c>
      <c r="AJ30" s="12">
        <v>3</v>
      </c>
      <c r="AK30" s="10"/>
      <c r="AL30" s="17"/>
      <c r="AM30" s="17"/>
      <c r="AN30" s="17"/>
      <c r="AO30" s="17"/>
      <c r="AP30" s="17"/>
      <c r="AQ30" s="17"/>
      <c r="AR30" s="17"/>
      <c r="AS30" s="17"/>
      <c r="AT30" s="17"/>
      <c r="AU30" s="17"/>
    </row>
    <row r="31" spans="1:47" ht="30" customHeight="1" x14ac:dyDescent="0.25">
      <c r="A31" s="12">
        <v>2248</v>
      </c>
      <c r="B31" s="13" t="s">
        <v>193</v>
      </c>
      <c r="C31" s="14">
        <v>101752000</v>
      </c>
      <c r="D31" s="15" t="s">
        <v>194</v>
      </c>
      <c r="E31" s="18" t="s">
        <v>195</v>
      </c>
      <c r="F31" s="16" t="s">
        <v>196</v>
      </c>
      <c r="G31" s="10" t="s">
        <v>87</v>
      </c>
      <c r="H31" s="16" t="s">
        <v>197</v>
      </c>
      <c r="I31" s="16" t="s">
        <v>198</v>
      </c>
      <c r="J31" s="10"/>
      <c r="K31" s="10">
        <v>290</v>
      </c>
      <c r="L31" s="10">
        <f t="shared" si="0"/>
        <v>290</v>
      </c>
      <c r="M31" s="12" t="s">
        <v>91</v>
      </c>
      <c r="N31" s="12" t="s">
        <v>90</v>
      </c>
      <c r="O31" s="12" t="s">
        <v>91</v>
      </c>
      <c r="P31" s="12" t="s">
        <v>90</v>
      </c>
      <c r="Q31" s="12" t="s">
        <v>111</v>
      </c>
      <c r="R31" s="12"/>
      <c r="S31" s="12"/>
      <c r="T31" s="12"/>
      <c r="U31" s="12"/>
      <c r="V31" s="12">
        <v>5</v>
      </c>
      <c r="W31" s="12"/>
      <c r="X31" s="10">
        <f t="shared" si="1"/>
        <v>5</v>
      </c>
      <c r="Y31" s="10">
        <f t="shared" si="2"/>
        <v>5</v>
      </c>
      <c r="Z31" s="10"/>
      <c r="AA31" s="10"/>
      <c r="AB31" s="10">
        <f t="shared" si="3"/>
        <v>5</v>
      </c>
      <c r="AC31" s="10">
        <f t="shared" si="4"/>
        <v>5</v>
      </c>
      <c r="AD31" s="10"/>
      <c r="AE31" s="10"/>
      <c r="AF31" s="10"/>
      <c r="AG31" s="10"/>
      <c r="AH31" s="10">
        <f t="shared" si="5"/>
        <v>5</v>
      </c>
      <c r="AI31" s="12" t="s">
        <v>185</v>
      </c>
      <c r="AJ31" s="12">
        <v>3</v>
      </c>
      <c r="AK31" s="10"/>
      <c r="AL31" s="17"/>
      <c r="AM31" s="17"/>
      <c r="AN31" s="17"/>
      <c r="AO31" s="17"/>
      <c r="AP31" s="17"/>
      <c r="AQ31" s="17"/>
      <c r="AR31" s="17"/>
      <c r="AS31" s="17"/>
      <c r="AT31" s="17"/>
      <c r="AU31" s="17"/>
    </row>
    <row r="32" spans="1:47" ht="30" customHeight="1" x14ac:dyDescent="0.25">
      <c r="A32" s="12">
        <v>2249</v>
      </c>
      <c r="B32" s="13" t="s">
        <v>199</v>
      </c>
      <c r="C32" s="14">
        <v>101749000</v>
      </c>
      <c r="D32" s="15" t="s">
        <v>200</v>
      </c>
      <c r="E32" s="18" t="s">
        <v>201</v>
      </c>
      <c r="F32" s="16" t="s">
        <v>202</v>
      </c>
      <c r="G32" s="10" t="s">
        <v>87</v>
      </c>
      <c r="H32" s="16" t="s">
        <v>203</v>
      </c>
      <c r="I32" s="16" t="s">
        <v>110</v>
      </c>
      <c r="J32" s="10"/>
      <c r="K32" s="10">
        <v>480</v>
      </c>
      <c r="L32" s="10">
        <f t="shared" si="0"/>
        <v>480</v>
      </c>
      <c r="M32" s="12" t="s">
        <v>91</v>
      </c>
      <c r="N32" s="12" t="s">
        <v>90</v>
      </c>
      <c r="O32" s="12" t="s">
        <v>91</v>
      </c>
      <c r="P32" s="12" t="s">
        <v>90</v>
      </c>
      <c r="Q32" s="12" t="s">
        <v>92</v>
      </c>
      <c r="R32" s="12"/>
      <c r="S32" s="12"/>
      <c r="T32" s="12"/>
      <c r="U32" s="12"/>
      <c r="V32" s="12">
        <v>13</v>
      </c>
      <c r="W32" s="12"/>
      <c r="X32" s="10">
        <f t="shared" si="1"/>
        <v>13</v>
      </c>
      <c r="Y32" s="10">
        <f t="shared" si="2"/>
        <v>13</v>
      </c>
      <c r="Z32" s="10"/>
      <c r="AA32" s="10"/>
      <c r="AB32" s="10">
        <f t="shared" si="3"/>
        <v>13</v>
      </c>
      <c r="AC32" s="10">
        <f t="shared" si="4"/>
        <v>13</v>
      </c>
      <c r="AD32" s="10"/>
      <c r="AE32" s="10"/>
      <c r="AF32" s="10"/>
      <c r="AG32" s="10"/>
      <c r="AH32" s="10">
        <f t="shared" si="5"/>
        <v>13</v>
      </c>
      <c r="AI32" s="12" t="s">
        <v>93</v>
      </c>
      <c r="AJ32" s="12">
        <v>2</v>
      </c>
      <c r="AK32" s="10"/>
      <c r="AL32" s="17"/>
      <c r="AM32" s="17"/>
      <c r="AN32" s="17"/>
      <c r="AO32" s="17"/>
      <c r="AP32" s="17"/>
      <c r="AQ32" s="17"/>
      <c r="AR32" s="17"/>
      <c r="AS32" s="17"/>
      <c r="AT32" s="17"/>
      <c r="AU32" s="17"/>
    </row>
    <row r="33" spans="1:47" ht="30" customHeight="1" x14ac:dyDescent="0.25">
      <c r="A33" s="12">
        <v>2250</v>
      </c>
      <c r="B33" s="13" t="s">
        <v>204</v>
      </c>
      <c r="C33" s="14">
        <v>101750000</v>
      </c>
      <c r="D33" s="15" t="s">
        <v>205</v>
      </c>
      <c r="E33" s="18" t="s">
        <v>206</v>
      </c>
      <c r="F33" s="16" t="s">
        <v>207</v>
      </c>
      <c r="G33" s="10" t="s">
        <v>87</v>
      </c>
      <c r="H33" s="16" t="s">
        <v>208</v>
      </c>
      <c r="I33" s="16" t="s">
        <v>110</v>
      </c>
      <c r="J33" s="10"/>
      <c r="K33" s="10">
        <v>358</v>
      </c>
      <c r="L33" s="10">
        <f t="shared" si="0"/>
        <v>358</v>
      </c>
      <c r="M33" s="12" t="s">
        <v>91</v>
      </c>
      <c r="N33" s="12" t="s">
        <v>90</v>
      </c>
      <c r="O33" s="12" t="s">
        <v>91</v>
      </c>
      <c r="P33" s="12" t="s">
        <v>90</v>
      </c>
      <c r="Q33" s="12" t="s">
        <v>92</v>
      </c>
      <c r="R33" s="12"/>
      <c r="S33" s="12"/>
      <c r="T33" s="12"/>
      <c r="U33" s="12"/>
      <c r="V33" s="12">
        <v>10</v>
      </c>
      <c r="W33" s="12"/>
      <c r="X33" s="10">
        <f t="shared" si="1"/>
        <v>10</v>
      </c>
      <c r="Y33" s="10">
        <f t="shared" si="2"/>
        <v>10</v>
      </c>
      <c r="Z33" s="10"/>
      <c r="AA33" s="10"/>
      <c r="AB33" s="10">
        <f t="shared" si="3"/>
        <v>10</v>
      </c>
      <c r="AC33" s="10">
        <f t="shared" si="4"/>
        <v>10</v>
      </c>
      <c r="AD33" s="10"/>
      <c r="AE33" s="10"/>
      <c r="AF33" s="10"/>
      <c r="AG33" s="10"/>
      <c r="AH33" s="10">
        <f t="shared" si="5"/>
        <v>10</v>
      </c>
      <c r="AI33" s="12" t="s">
        <v>93</v>
      </c>
      <c r="AJ33" s="12">
        <v>2</v>
      </c>
      <c r="AK33" s="10"/>
      <c r="AL33" s="17"/>
      <c r="AM33" s="17"/>
      <c r="AN33" s="17"/>
      <c r="AO33" s="17"/>
      <c r="AP33" s="17"/>
      <c r="AQ33" s="17"/>
      <c r="AR33" s="17"/>
      <c r="AS33" s="17"/>
      <c r="AT33" s="17"/>
      <c r="AU33" s="17"/>
    </row>
    <row r="34" spans="1:47" ht="30" customHeight="1" x14ac:dyDescent="0.25">
      <c r="A34" s="12">
        <v>2251</v>
      </c>
      <c r="B34" s="13" t="s">
        <v>100</v>
      </c>
      <c r="C34" s="14">
        <v>101740000</v>
      </c>
      <c r="D34" s="15"/>
      <c r="E34" s="15"/>
      <c r="F34" s="16" t="s">
        <v>209</v>
      </c>
      <c r="G34" s="10" t="s">
        <v>87</v>
      </c>
      <c r="H34" s="16" t="s">
        <v>103</v>
      </c>
      <c r="I34" s="16" t="s">
        <v>210</v>
      </c>
      <c r="J34" s="10"/>
      <c r="K34" s="10">
        <v>341</v>
      </c>
      <c r="L34" s="10">
        <f t="shared" si="0"/>
        <v>341</v>
      </c>
      <c r="M34" s="12" t="s">
        <v>90</v>
      </c>
      <c r="N34" s="12" t="s">
        <v>91</v>
      </c>
      <c r="O34" s="12" t="s">
        <v>91</v>
      </c>
      <c r="P34" s="12" t="s">
        <v>90</v>
      </c>
      <c r="Q34" s="12" t="s">
        <v>92</v>
      </c>
      <c r="R34" s="12"/>
      <c r="S34" s="12">
        <v>5</v>
      </c>
      <c r="T34" s="12"/>
      <c r="U34" s="12"/>
      <c r="V34" s="12"/>
      <c r="W34" s="12"/>
      <c r="X34" s="10">
        <f t="shared" si="1"/>
        <v>5</v>
      </c>
      <c r="Y34" s="10">
        <f t="shared" si="2"/>
        <v>5</v>
      </c>
      <c r="Z34" s="10"/>
      <c r="AA34" s="10"/>
      <c r="AB34" s="10">
        <f t="shared" si="3"/>
        <v>5</v>
      </c>
      <c r="AC34" s="10">
        <f t="shared" si="4"/>
        <v>5</v>
      </c>
      <c r="AD34" s="10"/>
      <c r="AE34" s="10"/>
      <c r="AF34" s="10"/>
      <c r="AG34" s="10"/>
      <c r="AH34" s="10">
        <f t="shared" si="5"/>
        <v>5</v>
      </c>
      <c r="AI34" s="12" t="s">
        <v>93</v>
      </c>
      <c r="AJ34" s="12">
        <v>3</v>
      </c>
      <c r="AK34" s="10" t="s">
        <v>211</v>
      </c>
      <c r="AL34" s="17"/>
      <c r="AM34" s="17"/>
      <c r="AN34" s="17"/>
      <c r="AO34" s="17"/>
      <c r="AP34" s="17"/>
      <c r="AQ34" s="17"/>
      <c r="AR34" s="17"/>
      <c r="AS34" s="17"/>
      <c r="AT34" s="17"/>
      <c r="AU34" s="17"/>
    </row>
    <row r="35" spans="1:47" ht="55.5" customHeight="1" x14ac:dyDescent="0.25">
      <c r="A35" s="12">
        <v>2252</v>
      </c>
      <c r="B35" s="13" t="s">
        <v>212</v>
      </c>
      <c r="C35" s="14">
        <v>101743000</v>
      </c>
      <c r="D35" s="15" t="s">
        <v>213</v>
      </c>
      <c r="E35" s="15" t="s">
        <v>214</v>
      </c>
      <c r="F35" s="16" t="s">
        <v>215</v>
      </c>
      <c r="G35" s="10" t="s">
        <v>87</v>
      </c>
      <c r="H35" s="16" t="s">
        <v>216</v>
      </c>
      <c r="I35" s="16" t="s">
        <v>110</v>
      </c>
      <c r="J35" s="10"/>
      <c r="K35" s="10">
        <f>350+39</f>
        <v>389</v>
      </c>
      <c r="L35" s="10">
        <f t="shared" si="0"/>
        <v>389</v>
      </c>
      <c r="M35" s="12" t="s">
        <v>91</v>
      </c>
      <c r="N35" s="12" t="s">
        <v>90</v>
      </c>
      <c r="O35" s="12" t="s">
        <v>91</v>
      </c>
      <c r="P35" s="12" t="s">
        <v>90</v>
      </c>
      <c r="Q35" s="12" t="s">
        <v>111</v>
      </c>
      <c r="R35" s="12"/>
      <c r="S35" s="12"/>
      <c r="T35" s="12"/>
      <c r="U35" s="12"/>
      <c r="V35" s="12">
        <v>11</v>
      </c>
      <c r="W35" s="12"/>
      <c r="X35" s="10">
        <f t="shared" si="1"/>
        <v>11</v>
      </c>
      <c r="Y35" s="10">
        <f t="shared" si="2"/>
        <v>11</v>
      </c>
      <c r="Z35" s="10"/>
      <c r="AA35" s="10"/>
      <c r="AB35" s="10">
        <f t="shared" si="3"/>
        <v>11</v>
      </c>
      <c r="AC35" s="10">
        <f t="shared" si="4"/>
        <v>11</v>
      </c>
      <c r="AD35" s="10"/>
      <c r="AE35" s="10"/>
      <c r="AF35" s="10"/>
      <c r="AG35" s="10"/>
      <c r="AH35" s="10">
        <f t="shared" si="5"/>
        <v>11</v>
      </c>
      <c r="AI35" s="12" t="s">
        <v>93</v>
      </c>
      <c r="AJ35" s="12">
        <v>3</v>
      </c>
      <c r="AK35" s="10"/>
      <c r="AL35" s="17"/>
      <c r="AM35" s="17"/>
      <c r="AN35" s="17"/>
      <c r="AO35" s="17"/>
      <c r="AP35" s="17"/>
      <c r="AQ35" s="17"/>
      <c r="AR35" s="17"/>
      <c r="AS35" s="17"/>
      <c r="AT35" s="17"/>
      <c r="AU35" s="17"/>
    </row>
    <row r="36" spans="1:47" ht="30" customHeight="1" x14ac:dyDescent="0.25">
      <c r="A36" s="12">
        <v>2253</v>
      </c>
      <c r="B36" s="13" t="s">
        <v>217</v>
      </c>
      <c r="C36" s="14">
        <v>101742000</v>
      </c>
      <c r="D36" s="15"/>
      <c r="E36" s="18" t="s">
        <v>218</v>
      </c>
      <c r="F36" s="16" t="s">
        <v>219</v>
      </c>
      <c r="G36" s="10" t="s">
        <v>87</v>
      </c>
      <c r="H36" s="16" t="s">
        <v>220</v>
      </c>
      <c r="I36" s="16" t="s">
        <v>221</v>
      </c>
      <c r="J36" s="10"/>
      <c r="K36" s="10">
        <v>327</v>
      </c>
      <c r="L36" s="10">
        <f t="shared" si="0"/>
        <v>327</v>
      </c>
      <c r="M36" s="12" t="s">
        <v>91</v>
      </c>
      <c r="N36" s="12" t="s">
        <v>90</v>
      </c>
      <c r="O36" s="12" t="s">
        <v>91</v>
      </c>
      <c r="P36" s="12" t="s">
        <v>90</v>
      </c>
      <c r="Q36" s="12" t="s">
        <v>92</v>
      </c>
      <c r="R36" s="12"/>
      <c r="S36" s="12"/>
      <c r="T36" s="12"/>
      <c r="U36" s="12"/>
      <c r="V36" s="12">
        <v>10</v>
      </c>
      <c r="W36" s="12"/>
      <c r="X36" s="10">
        <f t="shared" si="1"/>
        <v>10</v>
      </c>
      <c r="Y36" s="10">
        <f t="shared" si="2"/>
        <v>10</v>
      </c>
      <c r="Z36" s="10"/>
      <c r="AA36" s="10"/>
      <c r="AB36" s="10">
        <f t="shared" si="3"/>
        <v>10</v>
      </c>
      <c r="AC36" s="10">
        <f t="shared" si="4"/>
        <v>10</v>
      </c>
      <c r="AD36" s="10"/>
      <c r="AE36" s="10"/>
      <c r="AF36" s="10"/>
      <c r="AG36" s="10"/>
      <c r="AH36" s="10">
        <f t="shared" si="5"/>
        <v>10</v>
      </c>
      <c r="AI36" s="12" t="s">
        <v>93</v>
      </c>
      <c r="AJ36" s="12">
        <v>3</v>
      </c>
      <c r="AK36" s="10"/>
      <c r="AL36" s="17"/>
      <c r="AM36" s="17"/>
      <c r="AN36" s="17"/>
      <c r="AO36" s="17"/>
      <c r="AP36" s="17"/>
      <c r="AQ36" s="17"/>
      <c r="AR36" s="17"/>
      <c r="AS36" s="17"/>
      <c r="AT36" s="17"/>
      <c r="AU36" s="17"/>
    </row>
    <row r="37" spans="1:47" ht="30" customHeight="1" x14ac:dyDescent="0.25">
      <c r="A37" s="12">
        <v>2254</v>
      </c>
      <c r="B37" s="13"/>
      <c r="C37" s="14"/>
      <c r="D37" s="15"/>
      <c r="E37" s="18"/>
      <c r="F37" s="16" t="s">
        <v>222</v>
      </c>
      <c r="G37" s="10" t="s">
        <v>87</v>
      </c>
      <c r="H37" s="16"/>
      <c r="I37" s="16" t="s">
        <v>223</v>
      </c>
      <c r="J37" s="10"/>
      <c r="K37" s="10">
        <v>230</v>
      </c>
      <c r="L37" s="10">
        <f t="shared" si="0"/>
        <v>230</v>
      </c>
      <c r="M37" s="12"/>
      <c r="N37" s="12"/>
      <c r="O37" s="12"/>
      <c r="P37" s="12"/>
      <c r="Q37" s="12"/>
      <c r="R37" s="12"/>
      <c r="S37" s="12"/>
      <c r="T37" s="12"/>
      <c r="U37" s="12"/>
      <c r="V37" s="12">
        <v>6</v>
      </c>
      <c r="W37" s="12"/>
      <c r="X37" s="10">
        <f t="shared" si="1"/>
        <v>6</v>
      </c>
      <c r="Y37" s="10">
        <f t="shared" si="2"/>
        <v>6</v>
      </c>
      <c r="Z37" s="10"/>
      <c r="AA37" s="10"/>
      <c r="AB37" s="10">
        <f t="shared" si="3"/>
        <v>6</v>
      </c>
      <c r="AC37" s="10">
        <f t="shared" si="4"/>
        <v>6</v>
      </c>
      <c r="AD37" s="10"/>
      <c r="AE37" s="10"/>
      <c r="AF37" s="10"/>
      <c r="AG37" s="10"/>
      <c r="AH37" s="10">
        <f t="shared" si="5"/>
        <v>6</v>
      </c>
      <c r="AI37" s="12" t="s">
        <v>93</v>
      </c>
      <c r="AJ37" s="12">
        <v>3</v>
      </c>
      <c r="AK37" s="10" t="s">
        <v>224</v>
      </c>
      <c r="AL37" s="17"/>
      <c r="AM37" s="17"/>
      <c r="AN37" s="17"/>
      <c r="AO37" s="17"/>
      <c r="AP37" s="17"/>
      <c r="AQ37" s="17"/>
      <c r="AR37" s="17"/>
      <c r="AS37" s="17"/>
      <c r="AT37" s="17"/>
      <c r="AU37" s="17"/>
    </row>
    <row r="38" spans="1:47" ht="42.75" customHeight="1" x14ac:dyDescent="0.25">
      <c r="A38" s="12">
        <v>2255</v>
      </c>
      <c r="B38" s="13" t="s">
        <v>225</v>
      </c>
      <c r="C38" s="14">
        <v>102272000</v>
      </c>
      <c r="D38" s="15" t="s">
        <v>226</v>
      </c>
      <c r="E38" s="18" t="s">
        <v>227</v>
      </c>
      <c r="F38" s="16" t="s">
        <v>228</v>
      </c>
      <c r="G38" s="10" t="s">
        <v>87</v>
      </c>
      <c r="H38" s="16" t="s">
        <v>229</v>
      </c>
      <c r="I38" s="16" t="s">
        <v>230</v>
      </c>
      <c r="J38" s="10"/>
      <c r="K38" s="10">
        <v>1550</v>
      </c>
      <c r="L38" s="10">
        <f t="shared" si="0"/>
        <v>1550</v>
      </c>
      <c r="M38" s="12" t="s">
        <v>91</v>
      </c>
      <c r="N38" s="12" t="s">
        <v>90</v>
      </c>
      <c r="O38" s="12" t="s">
        <v>91</v>
      </c>
      <c r="P38" s="12" t="s">
        <v>90</v>
      </c>
      <c r="Q38" s="12" t="s">
        <v>111</v>
      </c>
      <c r="R38" s="12"/>
      <c r="S38" s="12">
        <v>26</v>
      </c>
      <c r="T38" s="12"/>
      <c r="U38" s="12"/>
      <c r="V38" s="12"/>
      <c r="W38" s="12"/>
      <c r="X38" s="10">
        <f t="shared" si="1"/>
        <v>26</v>
      </c>
      <c r="Y38" s="10">
        <f t="shared" si="2"/>
        <v>26</v>
      </c>
      <c r="Z38" s="10"/>
      <c r="AA38" s="10"/>
      <c r="AB38" s="10">
        <f t="shared" si="3"/>
        <v>26</v>
      </c>
      <c r="AC38" s="10">
        <f t="shared" si="4"/>
        <v>26</v>
      </c>
      <c r="AD38" s="10"/>
      <c r="AE38" s="10"/>
      <c r="AF38" s="10"/>
      <c r="AG38" s="10"/>
      <c r="AH38" s="10">
        <f t="shared" si="5"/>
        <v>26</v>
      </c>
      <c r="AI38" s="12" t="s">
        <v>93</v>
      </c>
      <c r="AJ38" s="12">
        <v>3</v>
      </c>
      <c r="AK38" s="10"/>
      <c r="AL38" s="17"/>
      <c r="AM38" s="17"/>
      <c r="AN38" s="17"/>
      <c r="AO38" s="17"/>
      <c r="AP38" s="17"/>
      <c r="AQ38" s="17"/>
      <c r="AR38" s="17"/>
      <c r="AS38" s="17"/>
      <c r="AT38" s="17"/>
      <c r="AU38" s="17"/>
    </row>
    <row r="39" spans="1:47" ht="30" customHeight="1" x14ac:dyDescent="0.25">
      <c r="A39" s="12">
        <v>2256</v>
      </c>
      <c r="B39" s="13" t="s">
        <v>231</v>
      </c>
      <c r="C39" s="14">
        <v>101791000</v>
      </c>
      <c r="D39" s="15" t="s">
        <v>232</v>
      </c>
      <c r="E39" s="18" t="s">
        <v>233</v>
      </c>
      <c r="F39" s="16" t="s">
        <v>234</v>
      </c>
      <c r="G39" s="10" t="s">
        <v>87</v>
      </c>
      <c r="H39" s="16" t="s">
        <v>235</v>
      </c>
      <c r="I39" s="16" t="s">
        <v>236</v>
      </c>
      <c r="J39" s="10"/>
      <c r="K39" s="10">
        <v>250</v>
      </c>
      <c r="L39" s="10">
        <f t="shared" si="0"/>
        <v>250</v>
      </c>
      <c r="M39" s="12" t="s">
        <v>91</v>
      </c>
      <c r="N39" s="12" t="s">
        <v>90</v>
      </c>
      <c r="O39" s="12" t="s">
        <v>91</v>
      </c>
      <c r="P39" s="12" t="s">
        <v>90</v>
      </c>
      <c r="Q39" s="12" t="s">
        <v>111</v>
      </c>
      <c r="R39" s="12"/>
      <c r="S39" s="12"/>
      <c r="T39" s="12"/>
      <c r="U39" s="12"/>
      <c r="V39" s="12">
        <v>6</v>
      </c>
      <c r="W39" s="12"/>
      <c r="X39" s="10">
        <f t="shared" si="1"/>
        <v>6</v>
      </c>
      <c r="Y39" s="10">
        <f t="shared" si="2"/>
        <v>6</v>
      </c>
      <c r="Z39" s="10"/>
      <c r="AA39" s="10"/>
      <c r="AB39" s="10">
        <f t="shared" si="3"/>
        <v>6</v>
      </c>
      <c r="AC39" s="10">
        <f t="shared" si="4"/>
        <v>6</v>
      </c>
      <c r="AD39" s="10"/>
      <c r="AE39" s="10"/>
      <c r="AF39" s="10"/>
      <c r="AG39" s="10"/>
      <c r="AH39" s="10">
        <f t="shared" si="5"/>
        <v>6</v>
      </c>
      <c r="AI39" s="12" t="s">
        <v>93</v>
      </c>
      <c r="AJ39" s="12">
        <v>3</v>
      </c>
      <c r="AK39" s="10"/>
      <c r="AL39" s="17"/>
      <c r="AM39" s="17"/>
      <c r="AN39" s="17"/>
      <c r="AO39" s="17"/>
      <c r="AP39" s="17"/>
      <c r="AQ39" s="17"/>
      <c r="AR39" s="17"/>
      <c r="AS39" s="17"/>
      <c r="AT39" s="17"/>
      <c r="AU39" s="17"/>
    </row>
    <row r="40" spans="1:47" ht="30" customHeight="1" x14ac:dyDescent="0.25">
      <c r="A40" s="12">
        <v>2257</v>
      </c>
      <c r="B40" s="13" t="s">
        <v>237</v>
      </c>
      <c r="C40" s="14">
        <v>101719000</v>
      </c>
      <c r="D40" s="15" t="s">
        <v>238</v>
      </c>
      <c r="E40" s="19" t="s">
        <v>239</v>
      </c>
      <c r="F40" s="16" t="s">
        <v>240</v>
      </c>
      <c r="G40" s="10" t="s">
        <v>87</v>
      </c>
      <c r="H40" s="16" t="s">
        <v>241</v>
      </c>
      <c r="I40" s="16" t="s">
        <v>110</v>
      </c>
      <c r="J40" s="10"/>
      <c r="K40" s="10">
        <v>240</v>
      </c>
      <c r="L40" s="10">
        <f t="shared" ref="L40:L71" si="6">SUM(J40:K40)</f>
        <v>240</v>
      </c>
      <c r="M40" s="12" t="s">
        <v>91</v>
      </c>
      <c r="N40" s="12" t="s">
        <v>90</v>
      </c>
      <c r="O40" s="12" t="s">
        <v>91</v>
      </c>
      <c r="P40" s="12" t="s">
        <v>90</v>
      </c>
      <c r="Q40" s="12" t="s">
        <v>92</v>
      </c>
      <c r="R40" s="12"/>
      <c r="S40" s="12"/>
      <c r="T40" s="12"/>
      <c r="U40" s="12"/>
      <c r="V40" s="12">
        <v>8</v>
      </c>
      <c r="W40" s="12"/>
      <c r="X40" s="10">
        <f t="shared" ref="X40:X71" si="7">R40+S40+T40+U40+V40+W40</f>
        <v>8</v>
      </c>
      <c r="Y40" s="10">
        <f t="shared" si="2"/>
        <v>8</v>
      </c>
      <c r="Z40" s="10"/>
      <c r="AA40" s="10"/>
      <c r="AB40" s="10">
        <f t="shared" ref="AB40:AB71" si="8">AA40+Z40+Y40</f>
        <v>8</v>
      </c>
      <c r="AC40" s="10">
        <f t="shared" ref="AC40:AC71" si="9">X40</f>
        <v>8</v>
      </c>
      <c r="AD40" s="10"/>
      <c r="AE40" s="10"/>
      <c r="AF40" s="10"/>
      <c r="AG40" s="10"/>
      <c r="AH40" s="10">
        <f t="shared" ref="AH40:AH71" si="10">SUM(AC40:AG40)</f>
        <v>8</v>
      </c>
      <c r="AI40" s="12" t="s">
        <v>93</v>
      </c>
      <c r="AJ40" s="12">
        <v>3</v>
      </c>
      <c r="AK40" s="10"/>
      <c r="AL40" s="17"/>
      <c r="AM40" s="17"/>
      <c r="AN40" s="17"/>
      <c r="AO40" s="17"/>
      <c r="AP40" s="17"/>
      <c r="AQ40" s="17"/>
      <c r="AR40" s="17"/>
      <c r="AS40" s="17"/>
      <c r="AT40" s="17"/>
      <c r="AU40" s="17"/>
    </row>
    <row r="41" spans="1:47" ht="30" customHeight="1" x14ac:dyDescent="0.25">
      <c r="A41" s="12">
        <v>2258</v>
      </c>
      <c r="B41" s="13" t="s">
        <v>242</v>
      </c>
      <c r="C41" s="14">
        <v>101717000</v>
      </c>
      <c r="D41" s="15"/>
      <c r="E41" s="19" t="s">
        <v>243</v>
      </c>
      <c r="F41" s="16" t="s">
        <v>244</v>
      </c>
      <c r="G41" s="10" t="s">
        <v>87</v>
      </c>
      <c r="H41" s="16" t="s">
        <v>245</v>
      </c>
      <c r="I41" s="16" t="s">
        <v>110</v>
      </c>
      <c r="J41" s="10"/>
      <c r="K41" s="10">
        <v>490</v>
      </c>
      <c r="L41" s="10">
        <f t="shared" si="6"/>
        <v>490</v>
      </c>
      <c r="M41" s="12" t="s">
        <v>91</v>
      </c>
      <c r="N41" s="12" t="s">
        <v>90</v>
      </c>
      <c r="O41" s="12" t="s">
        <v>91</v>
      </c>
      <c r="P41" s="12" t="s">
        <v>90</v>
      </c>
      <c r="Q41" s="12" t="s">
        <v>92</v>
      </c>
      <c r="R41" s="12"/>
      <c r="S41" s="12"/>
      <c r="T41" s="12"/>
      <c r="U41" s="12"/>
      <c r="V41" s="12">
        <v>9</v>
      </c>
      <c r="W41" s="12"/>
      <c r="X41" s="10">
        <f t="shared" si="7"/>
        <v>9</v>
      </c>
      <c r="Y41" s="10">
        <f t="shared" si="2"/>
        <v>9</v>
      </c>
      <c r="Z41" s="10"/>
      <c r="AA41" s="10"/>
      <c r="AB41" s="10">
        <f t="shared" si="8"/>
        <v>9</v>
      </c>
      <c r="AC41" s="10">
        <f t="shared" si="9"/>
        <v>9</v>
      </c>
      <c r="AD41" s="10"/>
      <c r="AE41" s="10"/>
      <c r="AF41" s="10"/>
      <c r="AG41" s="10"/>
      <c r="AH41" s="10">
        <f t="shared" si="10"/>
        <v>9</v>
      </c>
      <c r="AI41" s="12" t="s">
        <v>93</v>
      </c>
      <c r="AJ41" s="12">
        <v>3</v>
      </c>
      <c r="AK41" s="10"/>
      <c r="AL41" s="17"/>
      <c r="AM41" s="17"/>
      <c r="AN41" s="17"/>
      <c r="AO41" s="17"/>
      <c r="AP41" s="17"/>
      <c r="AQ41" s="17"/>
      <c r="AR41" s="17"/>
      <c r="AS41" s="17"/>
      <c r="AT41" s="17"/>
      <c r="AU41" s="17"/>
    </row>
    <row r="42" spans="1:47" ht="30" customHeight="1" x14ac:dyDescent="0.25">
      <c r="A42" s="12">
        <v>2259</v>
      </c>
      <c r="B42" s="13" t="s">
        <v>246</v>
      </c>
      <c r="C42" s="14">
        <v>101744000</v>
      </c>
      <c r="D42" s="15" t="s">
        <v>247</v>
      </c>
      <c r="E42" s="18" t="s">
        <v>248</v>
      </c>
      <c r="F42" s="16" t="s">
        <v>249</v>
      </c>
      <c r="G42" s="10" t="s">
        <v>87</v>
      </c>
      <c r="H42" s="16"/>
      <c r="I42" s="16"/>
      <c r="J42" s="10"/>
      <c r="K42" s="10">
        <v>298</v>
      </c>
      <c r="L42" s="10">
        <f t="shared" si="6"/>
        <v>298</v>
      </c>
      <c r="M42" s="12" t="s">
        <v>91</v>
      </c>
      <c r="N42" s="12" t="s">
        <v>90</v>
      </c>
      <c r="O42" s="12" t="s">
        <v>91</v>
      </c>
      <c r="P42" s="12" t="s">
        <v>90</v>
      </c>
      <c r="Q42" s="12" t="s">
        <v>92</v>
      </c>
      <c r="R42" s="12"/>
      <c r="S42" s="12"/>
      <c r="T42" s="12"/>
      <c r="U42" s="12"/>
      <c r="V42" s="12">
        <v>6</v>
      </c>
      <c r="W42" s="12"/>
      <c r="X42" s="10">
        <f t="shared" si="7"/>
        <v>6</v>
      </c>
      <c r="Y42" s="10">
        <f t="shared" si="2"/>
        <v>6</v>
      </c>
      <c r="Z42" s="10"/>
      <c r="AA42" s="10"/>
      <c r="AB42" s="10">
        <f t="shared" si="8"/>
        <v>6</v>
      </c>
      <c r="AC42" s="10">
        <f t="shared" si="9"/>
        <v>6</v>
      </c>
      <c r="AD42" s="10"/>
      <c r="AE42" s="10"/>
      <c r="AF42" s="10"/>
      <c r="AG42" s="10"/>
      <c r="AH42" s="10">
        <f t="shared" si="10"/>
        <v>6</v>
      </c>
      <c r="AI42" s="12" t="s">
        <v>93</v>
      </c>
      <c r="AJ42" s="12">
        <v>3</v>
      </c>
      <c r="AK42" s="10"/>
      <c r="AL42" s="17"/>
      <c r="AM42" s="17"/>
      <c r="AN42" s="17"/>
      <c r="AO42" s="17"/>
      <c r="AP42" s="17"/>
      <c r="AQ42" s="17"/>
      <c r="AR42" s="17"/>
      <c r="AS42" s="17"/>
      <c r="AT42" s="17"/>
      <c r="AU42" s="17"/>
    </row>
    <row r="43" spans="1:47" ht="30" customHeight="1" x14ac:dyDescent="0.25">
      <c r="A43" s="12">
        <v>2260</v>
      </c>
      <c r="B43" s="13" t="s">
        <v>250</v>
      </c>
      <c r="C43" s="14">
        <v>101745000</v>
      </c>
      <c r="D43" s="15" t="s">
        <v>251</v>
      </c>
      <c r="E43" s="18" t="s">
        <v>252</v>
      </c>
      <c r="F43" s="16" t="s">
        <v>253</v>
      </c>
      <c r="G43" s="10" t="s">
        <v>87</v>
      </c>
      <c r="H43" s="16"/>
      <c r="I43" s="16"/>
      <c r="J43" s="10"/>
      <c r="K43" s="10">
        <v>273</v>
      </c>
      <c r="L43" s="10">
        <f t="shared" si="6"/>
        <v>273</v>
      </c>
      <c r="M43" s="12" t="s">
        <v>91</v>
      </c>
      <c r="N43" s="12" t="s">
        <v>90</v>
      </c>
      <c r="O43" s="12" t="s">
        <v>91</v>
      </c>
      <c r="P43" s="12" t="s">
        <v>90</v>
      </c>
      <c r="Q43" s="12" t="s">
        <v>92</v>
      </c>
      <c r="R43" s="12"/>
      <c r="S43" s="12"/>
      <c r="T43" s="12"/>
      <c r="U43" s="12"/>
      <c r="V43" s="12">
        <v>5</v>
      </c>
      <c r="W43" s="12"/>
      <c r="X43" s="10">
        <f t="shared" si="7"/>
        <v>5</v>
      </c>
      <c r="Y43" s="10">
        <f t="shared" si="2"/>
        <v>5</v>
      </c>
      <c r="Z43" s="10"/>
      <c r="AA43" s="10"/>
      <c r="AB43" s="10">
        <f t="shared" si="8"/>
        <v>5</v>
      </c>
      <c r="AC43" s="10">
        <f t="shared" si="9"/>
        <v>5</v>
      </c>
      <c r="AD43" s="10"/>
      <c r="AE43" s="10"/>
      <c r="AF43" s="10"/>
      <c r="AG43" s="10"/>
      <c r="AH43" s="10">
        <f t="shared" si="10"/>
        <v>5</v>
      </c>
      <c r="AI43" s="12" t="s">
        <v>93</v>
      </c>
      <c r="AJ43" s="12">
        <v>3</v>
      </c>
      <c r="AK43" s="10"/>
      <c r="AL43" s="17"/>
      <c r="AM43" s="17"/>
      <c r="AN43" s="17"/>
      <c r="AO43" s="17"/>
      <c r="AP43" s="17"/>
      <c r="AQ43" s="17"/>
      <c r="AR43" s="17"/>
      <c r="AS43" s="17"/>
      <c r="AT43" s="17"/>
      <c r="AU43" s="17"/>
    </row>
    <row r="44" spans="1:47" ht="30" customHeight="1" x14ac:dyDescent="0.25">
      <c r="A44" s="12">
        <v>2261</v>
      </c>
      <c r="B44" s="13" t="s">
        <v>254</v>
      </c>
      <c r="C44" s="14">
        <v>101746000</v>
      </c>
      <c r="D44" s="15" t="s">
        <v>255</v>
      </c>
      <c r="E44" s="18" t="s">
        <v>256</v>
      </c>
      <c r="F44" s="16" t="s">
        <v>257</v>
      </c>
      <c r="G44" s="10" t="s">
        <v>87</v>
      </c>
      <c r="H44" s="16"/>
      <c r="I44" s="16"/>
      <c r="J44" s="10"/>
      <c r="K44" s="10">
        <v>670</v>
      </c>
      <c r="L44" s="10">
        <f t="shared" si="6"/>
        <v>670</v>
      </c>
      <c r="M44" s="12" t="s">
        <v>90</v>
      </c>
      <c r="N44" s="12" t="s">
        <v>91</v>
      </c>
      <c r="O44" s="12" t="s">
        <v>91</v>
      </c>
      <c r="P44" s="12" t="s">
        <v>90</v>
      </c>
      <c r="Q44" s="12" t="s">
        <v>111</v>
      </c>
      <c r="R44" s="12"/>
      <c r="S44" s="12"/>
      <c r="T44" s="12"/>
      <c r="U44" s="12"/>
      <c r="V44" s="12">
        <v>15</v>
      </c>
      <c r="W44" s="12"/>
      <c r="X44" s="10">
        <f t="shared" si="7"/>
        <v>15</v>
      </c>
      <c r="Y44" s="10">
        <f t="shared" si="2"/>
        <v>15</v>
      </c>
      <c r="Z44" s="10"/>
      <c r="AA44" s="10"/>
      <c r="AB44" s="10">
        <f t="shared" si="8"/>
        <v>15</v>
      </c>
      <c r="AC44" s="10">
        <f t="shared" si="9"/>
        <v>15</v>
      </c>
      <c r="AD44" s="10"/>
      <c r="AE44" s="10"/>
      <c r="AF44" s="10"/>
      <c r="AG44" s="10"/>
      <c r="AH44" s="10">
        <f t="shared" si="10"/>
        <v>15</v>
      </c>
      <c r="AI44" s="12" t="s">
        <v>93</v>
      </c>
      <c r="AJ44" s="12">
        <v>3</v>
      </c>
      <c r="AK44" s="10"/>
      <c r="AL44" s="17"/>
      <c r="AM44" s="17"/>
      <c r="AN44" s="17"/>
      <c r="AO44" s="17"/>
      <c r="AP44" s="17"/>
      <c r="AQ44" s="17"/>
      <c r="AR44" s="17"/>
      <c r="AS44" s="17"/>
      <c r="AT44" s="17"/>
      <c r="AU44" s="17"/>
    </row>
    <row r="45" spans="1:47" ht="30" customHeight="1" x14ac:dyDescent="0.25">
      <c r="A45" s="12">
        <v>2262</v>
      </c>
      <c r="B45" s="13" t="s">
        <v>258</v>
      </c>
      <c r="C45" s="14">
        <v>101747000</v>
      </c>
      <c r="D45" s="15" t="s">
        <v>259</v>
      </c>
      <c r="E45" s="18" t="s">
        <v>260</v>
      </c>
      <c r="F45" s="16" t="s">
        <v>261</v>
      </c>
      <c r="G45" s="10" t="s">
        <v>87</v>
      </c>
      <c r="H45" s="16"/>
      <c r="I45" s="16"/>
      <c r="J45" s="10"/>
      <c r="K45" s="10">
        <v>581</v>
      </c>
      <c r="L45" s="10">
        <f t="shared" si="6"/>
        <v>581</v>
      </c>
      <c r="M45" s="12" t="s">
        <v>90</v>
      </c>
      <c r="N45" s="12" t="s">
        <v>91</v>
      </c>
      <c r="O45" s="12" t="s">
        <v>91</v>
      </c>
      <c r="P45" s="12" t="s">
        <v>90</v>
      </c>
      <c r="Q45" s="12" t="s">
        <v>111</v>
      </c>
      <c r="R45" s="12"/>
      <c r="S45" s="12"/>
      <c r="T45" s="12"/>
      <c r="U45" s="12"/>
      <c r="V45" s="12">
        <v>15</v>
      </c>
      <c r="W45" s="12"/>
      <c r="X45" s="10">
        <f t="shared" si="7"/>
        <v>15</v>
      </c>
      <c r="Y45" s="10">
        <f t="shared" si="2"/>
        <v>15</v>
      </c>
      <c r="Z45" s="10"/>
      <c r="AA45" s="10"/>
      <c r="AB45" s="10">
        <f t="shared" si="8"/>
        <v>15</v>
      </c>
      <c r="AC45" s="10">
        <f t="shared" si="9"/>
        <v>15</v>
      </c>
      <c r="AD45" s="10"/>
      <c r="AE45" s="10"/>
      <c r="AF45" s="10"/>
      <c r="AG45" s="10"/>
      <c r="AH45" s="10">
        <f t="shared" si="10"/>
        <v>15</v>
      </c>
      <c r="AI45" s="12" t="s">
        <v>93</v>
      </c>
      <c r="AJ45" s="12">
        <v>3</v>
      </c>
      <c r="AK45" s="10"/>
      <c r="AL45" s="17"/>
      <c r="AM45" s="17"/>
      <c r="AN45" s="17"/>
      <c r="AO45" s="17"/>
      <c r="AP45" s="17"/>
      <c r="AQ45" s="17"/>
      <c r="AR45" s="17"/>
      <c r="AS45" s="17"/>
      <c r="AT45" s="17"/>
      <c r="AU45" s="17"/>
    </row>
    <row r="46" spans="1:47" ht="30" customHeight="1" x14ac:dyDescent="0.25">
      <c r="A46" s="12">
        <v>2263</v>
      </c>
      <c r="B46" s="13" t="s">
        <v>262</v>
      </c>
      <c r="C46" s="14">
        <v>101748000</v>
      </c>
      <c r="D46" s="15" t="s">
        <v>263</v>
      </c>
      <c r="E46" s="18" t="s">
        <v>264</v>
      </c>
      <c r="F46" s="16" t="s">
        <v>265</v>
      </c>
      <c r="G46" s="10" t="s">
        <v>87</v>
      </c>
      <c r="H46" s="16"/>
      <c r="I46" s="16"/>
      <c r="J46" s="10"/>
      <c r="K46" s="10">
        <v>338</v>
      </c>
      <c r="L46" s="10">
        <f t="shared" si="6"/>
        <v>338</v>
      </c>
      <c r="M46" s="12" t="s">
        <v>90</v>
      </c>
      <c r="N46" s="12" t="s">
        <v>91</v>
      </c>
      <c r="O46" s="12" t="s">
        <v>91</v>
      </c>
      <c r="P46" s="12" t="s">
        <v>90</v>
      </c>
      <c r="Q46" s="12" t="s">
        <v>92</v>
      </c>
      <c r="R46" s="12"/>
      <c r="S46" s="12"/>
      <c r="T46" s="12"/>
      <c r="U46" s="12"/>
      <c r="V46" s="12">
        <v>11</v>
      </c>
      <c r="W46" s="12"/>
      <c r="X46" s="10">
        <f t="shared" si="7"/>
        <v>11</v>
      </c>
      <c r="Y46" s="10">
        <f t="shared" si="2"/>
        <v>11</v>
      </c>
      <c r="Z46" s="10"/>
      <c r="AA46" s="10"/>
      <c r="AB46" s="10">
        <f t="shared" si="8"/>
        <v>11</v>
      </c>
      <c r="AC46" s="10">
        <f t="shared" si="9"/>
        <v>11</v>
      </c>
      <c r="AD46" s="10"/>
      <c r="AE46" s="10"/>
      <c r="AF46" s="10"/>
      <c r="AG46" s="10"/>
      <c r="AH46" s="10">
        <f t="shared" si="10"/>
        <v>11</v>
      </c>
      <c r="AI46" s="12" t="s">
        <v>93</v>
      </c>
      <c r="AJ46" s="12">
        <v>3</v>
      </c>
      <c r="AK46" s="10"/>
      <c r="AL46" s="17"/>
      <c r="AM46" s="17"/>
      <c r="AN46" s="17"/>
      <c r="AO46" s="17"/>
      <c r="AP46" s="17"/>
      <c r="AQ46" s="17"/>
      <c r="AR46" s="17"/>
      <c r="AS46" s="17"/>
      <c r="AT46" s="17"/>
      <c r="AU46" s="17"/>
    </row>
    <row r="47" spans="1:47" ht="30" customHeight="1" x14ac:dyDescent="0.25">
      <c r="A47" s="12">
        <v>2264</v>
      </c>
      <c r="B47" s="13"/>
      <c r="C47" s="14"/>
      <c r="D47" s="15"/>
      <c r="E47" s="18"/>
      <c r="F47" s="16" t="s">
        <v>266</v>
      </c>
      <c r="G47" s="10" t="s">
        <v>87</v>
      </c>
      <c r="H47" s="16"/>
      <c r="I47" s="16"/>
      <c r="J47" s="10"/>
      <c r="K47" s="10">
        <v>250</v>
      </c>
      <c r="L47" s="10">
        <f t="shared" si="6"/>
        <v>250</v>
      </c>
      <c r="M47" s="12"/>
      <c r="N47" s="12"/>
      <c r="O47" s="12"/>
      <c r="P47" s="12"/>
      <c r="Q47" s="12"/>
      <c r="R47" s="12"/>
      <c r="S47" s="12"/>
      <c r="T47" s="12"/>
      <c r="U47" s="12"/>
      <c r="V47" s="12">
        <v>7</v>
      </c>
      <c r="W47" s="12"/>
      <c r="X47" s="10">
        <f t="shared" si="7"/>
        <v>7</v>
      </c>
      <c r="Y47" s="10">
        <f t="shared" si="2"/>
        <v>7</v>
      </c>
      <c r="Z47" s="10"/>
      <c r="AA47" s="10"/>
      <c r="AB47" s="10">
        <f t="shared" si="8"/>
        <v>7</v>
      </c>
      <c r="AC47" s="10">
        <f t="shared" si="9"/>
        <v>7</v>
      </c>
      <c r="AD47" s="10"/>
      <c r="AE47" s="10"/>
      <c r="AF47" s="10"/>
      <c r="AG47" s="10"/>
      <c r="AH47" s="10">
        <f t="shared" si="10"/>
        <v>7</v>
      </c>
      <c r="AI47" s="12" t="s">
        <v>93</v>
      </c>
      <c r="AJ47" s="12">
        <v>3</v>
      </c>
      <c r="AK47" s="10" t="s">
        <v>267</v>
      </c>
      <c r="AL47" s="17"/>
      <c r="AM47" s="17"/>
      <c r="AN47" s="17"/>
      <c r="AO47" s="17"/>
      <c r="AP47" s="17"/>
      <c r="AQ47" s="17"/>
      <c r="AR47" s="17"/>
      <c r="AS47" s="17"/>
      <c r="AT47" s="17"/>
      <c r="AU47" s="17"/>
    </row>
    <row r="48" spans="1:47" ht="45.75" customHeight="1" x14ac:dyDescent="0.25">
      <c r="A48" s="12">
        <v>2265</v>
      </c>
      <c r="B48" s="13" t="s">
        <v>268</v>
      </c>
      <c r="C48" s="14">
        <v>101714000</v>
      </c>
      <c r="D48" s="15" t="s">
        <v>269</v>
      </c>
      <c r="E48" s="19" t="s">
        <v>270</v>
      </c>
      <c r="F48" s="16" t="s">
        <v>271</v>
      </c>
      <c r="G48" s="10" t="s">
        <v>87</v>
      </c>
      <c r="H48" s="16" t="s">
        <v>272</v>
      </c>
      <c r="I48" s="16" t="s">
        <v>273</v>
      </c>
      <c r="J48" s="10"/>
      <c r="K48" s="10">
        <v>900</v>
      </c>
      <c r="L48" s="10">
        <f t="shared" si="6"/>
        <v>900</v>
      </c>
      <c r="M48" s="12" t="s">
        <v>91</v>
      </c>
      <c r="N48" s="12" t="s">
        <v>90</v>
      </c>
      <c r="O48" s="12" t="s">
        <v>91</v>
      </c>
      <c r="P48" s="12" t="s">
        <v>90</v>
      </c>
      <c r="Q48" s="12" t="s">
        <v>111</v>
      </c>
      <c r="R48" s="12"/>
      <c r="S48" s="12">
        <v>18</v>
      </c>
      <c r="T48" s="12"/>
      <c r="U48" s="12"/>
      <c r="V48" s="12"/>
      <c r="W48" s="12"/>
      <c r="X48" s="10">
        <f t="shared" si="7"/>
        <v>18</v>
      </c>
      <c r="Y48" s="10">
        <f t="shared" si="2"/>
        <v>18</v>
      </c>
      <c r="Z48" s="10"/>
      <c r="AA48" s="10"/>
      <c r="AB48" s="10">
        <f t="shared" si="8"/>
        <v>18</v>
      </c>
      <c r="AC48" s="10">
        <f t="shared" si="9"/>
        <v>18</v>
      </c>
      <c r="AD48" s="10"/>
      <c r="AE48" s="10"/>
      <c r="AF48" s="10"/>
      <c r="AG48" s="10"/>
      <c r="AH48" s="10">
        <f t="shared" si="10"/>
        <v>18</v>
      </c>
      <c r="AI48" s="12" t="s">
        <v>93</v>
      </c>
      <c r="AJ48" s="12">
        <v>2</v>
      </c>
      <c r="AK48" s="10"/>
      <c r="AL48" s="17"/>
      <c r="AM48" s="17"/>
      <c r="AN48" s="17"/>
      <c r="AO48" s="17"/>
      <c r="AP48" s="17"/>
      <c r="AQ48" s="17"/>
      <c r="AR48" s="17"/>
      <c r="AS48" s="17"/>
      <c r="AT48" s="17"/>
      <c r="AU48" s="17"/>
    </row>
    <row r="49" spans="1:47" ht="51.75" customHeight="1" x14ac:dyDescent="0.25">
      <c r="A49" s="12">
        <v>2266</v>
      </c>
      <c r="B49" s="13" t="s">
        <v>274</v>
      </c>
      <c r="C49" s="14">
        <v>101716000</v>
      </c>
      <c r="D49" s="15" t="s">
        <v>275</v>
      </c>
      <c r="E49" s="19" t="s">
        <v>276</v>
      </c>
      <c r="F49" s="16" t="s">
        <v>277</v>
      </c>
      <c r="G49" s="10" t="s">
        <v>87</v>
      </c>
      <c r="H49" s="16" t="s">
        <v>278</v>
      </c>
      <c r="I49" s="16" t="s">
        <v>279</v>
      </c>
      <c r="J49" s="10"/>
      <c r="K49" s="10">
        <v>680</v>
      </c>
      <c r="L49" s="10">
        <f t="shared" si="6"/>
        <v>680</v>
      </c>
      <c r="M49" s="12" t="s">
        <v>91</v>
      </c>
      <c r="N49" s="12" t="s">
        <v>90</v>
      </c>
      <c r="O49" s="12" t="s">
        <v>91</v>
      </c>
      <c r="P49" s="12" t="s">
        <v>90</v>
      </c>
      <c r="Q49" s="12" t="s">
        <v>111</v>
      </c>
      <c r="R49" s="12"/>
      <c r="S49" s="12">
        <v>18</v>
      </c>
      <c r="T49" s="12"/>
      <c r="U49" s="12"/>
      <c r="V49" s="12"/>
      <c r="W49" s="12"/>
      <c r="X49" s="10">
        <f t="shared" si="7"/>
        <v>18</v>
      </c>
      <c r="Y49" s="10">
        <f t="shared" si="2"/>
        <v>18</v>
      </c>
      <c r="Z49" s="10"/>
      <c r="AA49" s="10"/>
      <c r="AB49" s="10">
        <f t="shared" si="8"/>
        <v>18</v>
      </c>
      <c r="AC49" s="10">
        <f t="shared" si="9"/>
        <v>18</v>
      </c>
      <c r="AD49" s="10"/>
      <c r="AE49" s="10"/>
      <c r="AF49" s="10"/>
      <c r="AG49" s="10"/>
      <c r="AH49" s="10">
        <f t="shared" si="10"/>
        <v>18</v>
      </c>
      <c r="AI49" s="12" t="s">
        <v>93</v>
      </c>
      <c r="AJ49" s="12">
        <v>3</v>
      </c>
      <c r="AK49" s="10"/>
      <c r="AL49" s="17"/>
      <c r="AM49" s="17"/>
      <c r="AN49" s="17"/>
      <c r="AO49" s="17"/>
      <c r="AP49" s="17"/>
      <c r="AQ49" s="17"/>
      <c r="AR49" s="17"/>
      <c r="AS49" s="17"/>
      <c r="AT49" s="17"/>
      <c r="AU49" s="17"/>
    </row>
    <row r="50" spans="1:47" ht="30" customHeight="1" x14ac:dyDescent="0.25">
      <c r="A50" s="12">
        <v>2267</v>
      </c>
      <c r="B50" s="13"/>
      <c r="C50" s="14"/>
      <c r="D50" s="15"/>
      <c r="E50" s="18"/>
      <c r="F50" s="16" t="s">
        <v>280</v>
      </c>
      <c r="G50" s="10" t="s">
        <v>87</v>
      </c>
      <c r="H50" s="16"/>
      <c r="I50" s="16" t="s">
        <v>279</v>
      </c>
      <c r="J50" s="10"/>
      <c r="K50" s="10">
        <v>700</v>
      </c>
      <c r="L50" s="10">
        <f t="shared" si="6"/>
        <v>700</v>
      </c>
      <c r="M50" s="12" t="s">
        <v>91</v>
      </c>
      <c r="N50" s="12" t="s">
        <v>91</v>
      </c>
      <c r="O50" s="12" t="s">
        <v>91</v>
      </c>
      <c r="P50" s="12" t="s">
        <v>111</v>
      </c>
      <c r="Q50" s="12" t="s">
        <v>111</v>
      </c>
      <c r="R50" s="12"/>
      <c r="S50" s="12"/>
      <c r="T50" s="12"/>
      <c r="U50" s="12"/>
      <c r="V50" s="12">
        <v>17</v>
      </c>
      <c r="W50" s="12"/>
      <c r="X50" s="10">
        <f t="shared" si="7"/>
        <v>17</v>
      </c>
      <c r="Y50" s="10">
        <f t="shared" si="2"/>
        <v>17</v>
      </c>
      <c r="Z50" s="10"/>
      <c r="AA50" s="10"/>
      <c r="AB50" s="10">
        <f t="shared" si="8"/>
        <v>17</v>
      </c>
      <c r="AC50" s="10">
        <f t="shared" si="9"/>
        <v>17</v>
      </c>
      <c r="AD50" s="10"/>
      <c r="AE50" s="10"/>
      <c r="AF50" s="10"/>
      <c r="AG50" s="10"/>
      <c r="AH50" s="10">
        <f t="shared" si="10"/>
        <v>17</v>
      </c>
      <c r="AI50" s="12" t="s">
        <v>93</v>
      </c>
      <c r="AJ50" s="12">
        <v>3</v>
      </c>
      <c r="AK50" s="10" t="s">
        <v>281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</row>
    <row r="51" spans="1:47" ht="40.5" customHeight="1" x14ac:dyDescent="0.25">
      <c r="A51" s="12">
        <v>2268</v>
      </c>
      <c r="B51" s="13" t="s">
        <v>282</v>
      </c>
      <c r="C51" s="14">
        <v>101711000</v>
      </c>
      <c r="D51" s="15" t="s">
        <v>283</v>
      </c>
      <c r="E51" s="19" t="s">
        <v>284</v>
      </c>
      <c r="F51" s="16" t="s">
        <v>285</v>
      </c>
      <c r="G51" s="10" t="s">
        <v>87</v>
      </c>
      <c r="H51" s="16" t="s">
        <v>286</v>
      </c>
      <c r="I51" s="16" t="s">
        <v>287</v>
      </c>
      <c r="J51" s="10"/>
      <c r="K51" s="10">
        <v>1730</v>
      </c>
      <c r="L51" s="10">
        <f t="shared" si="6"/>
        <v>1730</v>
      </c>
      <c r="M51" s="12" t="s">
        <v>91</v>
      </c>
      <c r="N51" s="12" t="s">
        <v>90</v>
      </c>
      <c r="O51" s="12" t="s">
        <v>91</v>
      </c>
      <c r="P51" s="12" t="s">
        <v>90</v>
      </c>
      <c r="Q51" s="12" t="s">
        <v>92</v>
      </c>
      <c r="R51" s="12"/>
      <c r="S51" s="12"/>
      <c r="T51" s="12"/>
      <c r="U51" s="12"/>
      <c r="V51" s="12">
        <v>24</v>
      </c>
      <c r="W51" s="12"/>
      <c r="X51" s="10">
        <f t="shared" si="7"/>
        <v>24</v>
      </c>
      <c r="Y51" s="10">
        <f t="shared" si="2"/>
        <v>24</v>
      </c>
      <c r="Z51" s="10"/>
      <c r="AA51" s="10"/>
      <c r="AB51" s="10">
        <f t="shared" si="8"/>
        <v>24</v>
      </c>
      <c r="AC51" s="10">
        <f t="shared" si="9"/>
        <v>24</v>
      </c>
      <c r="AD51" s="10"/>
      <c r="AE51" s="10"/>
      <c r="AF51" s="10"/>
      <c r="AG51" s="10"/>
      <c r="AH51" s="10">
        <f t="shared" si="10"/>
        <v>24</v>
      </c>
      <c r="AI51" s="12" t="s">
        <v>93</v>
      </c>
      <c r="AJ51" s="12">
        <v>2</v>
      </c>
      <c r="AK51" s="10"/>
      <c r="AL51" s="17"/>
      <c r="AM51" s="17"/>
      <c r="AN51" s="17"/>
      <c r="AO51" s="17"/>
      <c r="AP51" s="17"/>
      <c r="AQ51" s="17"/>
      <c r="AR51" s="17"/>
      <c r="AS51" s="17"/>
      <c r="AT51" s="17"/>
      <c r="AU51" s="17"/>
    </row>
    <row r="52" spans="1:47" ht="34.5" customHeight="1" x14ac:dyDescent="0.25">
      <c r="A52" s="12">
        <v>2269</v>
      </c>
      <c r="B52" s="13" t="s">
        <v>288</v>
      </c>
      <c r="C52" s="14">
        <v>101741000</v>
      </c>
      <c r="D52" s="15" t="s">
        <v>289</v>
      </c>
      <c r="E52" s="19" t="s">
        <v>290</v>
      </c>
      <c r="F52" s="16" t="s">
        <v>291</v>
      </c>
      <c r="G52" s="10" t="s">
        <v>87</v>
      </c>
      <c r="H52" s="16" t="s">
        <v>292</v>
      </c>
      <c r="I52" s="16" t="s">
        <v>293</v>
      </c>
      <c r="J52" s="10"/>
      <c r="K52" s="10">
        <v>920</v>
      </c>
      <c r="L52" s="10">
        <f t="shared" si="6"/>
        <v>920</v>
      </c>
      <c r="M52" s="12" t="s">
        <v>91</v>
      </c>
      <c r="N52" s="12" t="s">
        <v>90</v>
      </c>
      <c r="O52" s="12" t="s">
        <v>91</v>
      </c>
      <c r="P52" s="12" t="s">
        <v>90</v>
      </c>
      <c r="Q52" s="12" t="s">
        <v>111</v>
      </c>
      <c r="R52" s="12"/>
      <c r="S52" s="12">
        <v>18</v>
      </c>
      <c r="T52" s="12"/>
      <c r="U52" s="12"/>
      <c r="V52" s="12"/>
      <c r="W52" s="12"/>
      <c r="X52" s="10">
        <f t="shared" si="7"/>
        <v>18</v>
      </c>
      <c r="Y52" s="10">
        <f t="shared" si="2"/>
        <v>18</v>
      </c>
      <c r="Z52" s="10"/>
      <c r="AA52" s="10"/>
      <c r="AB52" s="10">
        <f t="shared" si="8"/>
        <v>18</v>
      </c>
      <c r="AC52" s="10">
        <f t="shared" si="9"/>
        <v>18</v>
      </c>
      <c r="AD52" s="10"/>
      <c r="AE52" s="10"/>
      <c r="AF52" s="10"/>
      <c r="AG52" s="10"/>
      <c r="AH52" s="10">
        <f t="shared" si="10"/>
        <v>18</v>
      </c>
      <c r="AI52" s="12" t="s">
        <v>93</v>
      </c>
      <c r="AJ52" s="12">
        <v>3</v>
      </c>
      <c r="AK52" s="10"/>
      <c r="AL52" s="17"/>
      <c r="AM52" s="17"/>
      <c r="AN52" s="17"/>
      <c r="AO52" s="17"/>
      <c r="AP52" s="17"/>
      <c r="AQ52" s="17"/>
      <c r="AR52" s="17"/>
      <c r="AS52" s="17"/>
      <c r="AT52" s="17"/>
      <c r="AU52" s="17"/>
    </row>
    <row r="53" spans="1:47" ht="42.75" customHeight="1" x14ac:dyDescent="0.25">
      <c r="A53" s="12">
        <v>2270</v>
      </c>
      <c r="B53" s="13" t="s">
        <v>294</v>
      </c>
      <c r="C53" s="14">
        <v>101715000</v>
      </c>
      <c r="D53" s="15" t="s">
        <v>295</v>
      </c>
      <c r="E53" s="19" t="s">
        <v>296</v>
      </c>
      <c r="F53" s="16" t="s">
        <v>297</v>
      </c>
      <c r="G53" s="10" t="s">
        <v>87</v>
      </c>
      <c r="H53" s="16" t="s">
        <v>298</v>
      </c>
      <c r="I53" s="16" t="s">
        <v>299</v>
      </c>
      <c r="J53" s="10"/>
      <c r="K53" s="10">
        <v>350</v>
      </c>
      <c r="L53" s="10">
        <f t="shared" si="6"/>
        <v>350</v>
      </c>
      <c r="M53" s="12" t="s">
        <v>91</v>
      </c>
      <c r="N53" s="12" t="s">
        <v>90</v>
      </c>
      <c r="O53" s="12" t="s">
        <v>91</v>
      </c>
      <c r="P53" s="12" t="s">
        <v>90</v>
      </c>
      <c r="Q53" s="12" t="s">
        <v>111</v>
      </c>
      <c r="R53" s="12"/>
      <c r="S53" s="12"/>
      <c r="T53" s="12"/>
      <c r="U53" s="12"/>
      <c r="V53" s="12">
        <v>7</v>
      </c>
      <c r="W53" s="12"/>
      <c r="X53" s="10">
        <f t="shared" si="7"/>
        <v>7</v>
      </c>
      <c r="Y53" s="10">
        <f t="shared" si="2"/>
        <v>7</v>
      </c>
      <c r="Z53" s="10"/>
      <c r="AA53" s="10"/>
      <c r="AB53" s="10">
        <f t="shared" si="8"/>
        <v>7</v>
      </c>
      <c r="AC53" s="10">
        <f t="shared" si="9"/>
        <v>7</v>
      </c>
      <c r="AD53" s="10"/>
      <c r="AE53" s="10"/>
      <c r="AF53" s="10"/>
      <c r="AG53" s="10"/>
      <c r="AH53" s="10">
        <f t="shared" si="10"/>
        <v>7</v>
      </c>
      <c r="AI53" s="12" t="s">
        <v>93</v>
      </c>
      <c r="AJ53" s="12">
        <v>3</v>
      </c>
      <c r="AK53" s="10"/>
      <c r="AL53" s="17"/>
      <c r="AM53" s="17"/>
      <c r="AN53" s="17"/>
      <c r="AO53" s="17"/>
      <c r="AP53" s="17"/>
      <c r="AQ53" s="17"/>
      <c r="AR53" s="17"/>
      <c r="AS53" s="17"/>
      <c r="AT53" s="17"/>
      <c r="AU53" s="17"/>
    </row>
    <row r="54" spans="1:47" ht="30" customHeight="1" x14ac:dyDescent="0.25">
      <c r="A54" s="12">
        <v>2270</v>
      </c>
      <c r="B54" s="13"/>
      <c r="C54" s="14"/>
      <c r="D54" s="15"/>
      <c r="E54" s="18"/>
      <c r="F54" s="16" t="s">
        <v>297</v>
      </c>
      <c r="G54" s="10" t="s">
        <v>87</v>
      </c>
      <c r="H54" s="16"/>
      <c r="I54" s="16" t="s">
        <v>300</v>
      </c>
      <c r="J54" s="10"/>
      <c r="K54" s="10">
        <v>400</v>
      </c>
      <c r="L54" s="10">
        <f t="shared" si="6"/>
        <v>400</v>
      </c>
      <c r="M54" s="12"/>
      <c r="N54" s="12"/>
      <c r="O54" s="12"/>
      <c r="P54" s="12"/>
      <c r="Q54" s="12"/>
      <c r="R54" s="12"/>
      <c r="S54" s="12">
        <v>10</v>
      </c>
      <c r="T54" s="12"/>
      <c r="U54" s="12"/>
      <c r="V54" s="12"/>
      <c r="W54" s="12"/>
      <c r="X54" s="10">
        <f t="shared" si="7"/>
        <v>10</v>
      </c>
      <c r="Y54" s="10">
        <f t="shared" si="2"/>
        <v>10</v>
      </c>
      <c r="Z54" s="10"/>
      <c r="AA54" s="10"/>
      <c r="AB54" s="10">
        <f t="shared" si="8"/>
        <v>10</v>
      </c>
      <c r="AC54" s="10">
        <f t="shared" si="9"/>
        <v>10</v>
      </c>
      <c r="AD54" s="10"/>
      <c r="AE54" s="10"/>
      <c r="AF54" s="10"/>
      <c r="AG54" s="10"/>
      <c r="AH54" s="10">
        <f t="shared" si="10"/>
        <v>10</v>
      </c>
      <c r="AI54" s="12" t="s">
        <v>93</v>
      </c>
      <c r="AJ54" s="12">
        <v>3</v>
      </c>
      <c r="AK54" s="10" t="s">
        <v>301</v>
      </c>
      <c r="AL54" s="17"/>
      <c r="AM54" s="17"/>
      <c r="AN54" s="17"/>
      <c r="AO54" s="17"/>
      <c r="AP54" s="17"/>
      <c r="AQ54" s="17"/>
      <c r="AR54" s="17"/>
      <c r="AS54" s="17"/>
      <c r="AT54" s="17"/>
      <c r="AU54" s="17"/>
    </row>
    <row r="55" spans="1:47" ht="43.5" customHeight="1" x14ac:dyDescent="0.25">
      <c r="A55" s="12">
        <v>2271</v>
      </c>
      <c r="B55" s="20"/>
      <c r="C55" s="14"/>
      <c r="D55" s="21"/>
      <c r="E55" s="18"/>
      <c r="F55" s="22" t="s">
        <v>302</v>
      </c>
      <c r="G55" s="10" t="s">
        <v>87</v>
      </c>
      <c r="H55" s="23"/>
      <c r="I55" s="24" t="s">
        <v>303</v>
      </c>
      <c r="J55" s="23"/>
      <c r="K55" s="10">
        <v>200</v>
      </c>
      <c r="L55" s="10">
        <f t="shared" si="6"/>
        <v>200</v>
      </c>
      <c r="M55" s="10"/>
      <c r="N55" s="10"/>
      <c r="O55" s="10"/>
      <c r="P55" s="10"/>
      <c r="Q55" s="10"/>
      <c r="R55" s="10"/>
      <c r="S55" s="10">
        <v>4</v>
      </c>
      <c r="T55" s="10"/>
      <c r="U55" s="10"/>
      <c r="V55" s="10"/>
      <c r="W55" s="10"/>
      <c r="X55" s="10">
        <f t="shared" si="7"/>
        <v>4</v>
      </c>
      <c r="Y55" s="10">
        <v>3</v>
      </c>
      <c r="Z55" s="10"/>
      <c r="AA55" s="10"/>
      <c r="AB55" s="10">
        <f t="shared" si="8"/>
        <v>3</v>
      </c>
      <c r="AC55" s="10">
        <f t="shared" si="9"/>
        <v>4</v>
      </c>
      <c r="AD55" s="10"/>
      <c r="AE55" s="10"/>
      <c r="AF55" s="10"/>
      <c r="AG55" s="10"/>
      <c r="AH55" s="10">
        <f t="shared" si="10"/>
        <v>4</v>
      </c>
      <c r="AI55" s="12"/>
      <c r="AJ55" s="12"/>
      <c r="AK55" s="10" t="s">
        <v>304</v>
      </c>
      <c r="AL55" s="17"/>
      <c r="AM55" s="17"/>
      <c r="AN55" s="17"/>
      <c r="AO55" s="17"/>
      <c r="AP55" s="17"/>
      <c r="AQ55" s="17"/>
      <c r="AR55" s="17"/>
      <c r="AS55" s="17"/>
      <c r="AT55" s="17"/>
      <c r="AU55" s="17"/>
    </row>
    <row r="56" spans="1:47" ht="45.75" customHeight="1" x14ac:dyDescent="0.25">
      <c r="A56" s="25">
        <v>2272</v>
      </c>
      <c r="B56" s="26" t="s">
        <v>305</v>
      </c>
      <c r="C56" s="14">
        <v>101737000</v>
      </c>
      <c r="D56" s="27" t="s">
        <v>306</v>
      </c>
      <c r="E56" s="19" t="s">
        <v>307</v>
      </c>
      <c r="F56" s="22" t="s">
        <v>308</v>
      </c>
      <c r="G56" s="10" t="s">
        <v>87</v>
      </c>
      <c r="H56" s="28" t="s">
        <v>309</v>
      </c>
      <c r="I56" s="28" t="s">
        <v>310</v>
      </c>
      <c r="J56" s="17"/>
      <c r="K56" s="10">
        <v>702</v>
      </c>
      <c r="L56" s="10">
        <f t="shared" si="6"/>
        <v>702</v>
      </c>
      <c r="M56" s="12" t="s">
        <v>91</v>
      </c>
      <c r="N56" s="12" t="s">
        <v>90</v>
      </c>
      <c r="O56" s="12" t="s">
        <v>91</v>
      </c>
      <c r="P56" s="12" t="s">
        <v>90</v>
      </c>
      <c r="Q56" s="12" t="s">
        <v>111</v>
      </c>
      <c r="R56" s="12"/>
      <c r="S56" s="12">
        <v>5</v>
      </c>
      <c r="T56" s="12"/>
      <c r="U56" s="12"/>
      <c r="V56" s="12">
        <v>13</v>
      </c>
      <c r="W56" s="12"/>
      <c r="X56" s="10">
        <f t="shared" si="7"/>
        <v>18</v>
      </c>
      <c r="Y56" s="10">
        <f t="shared" ref="Y56:Y95" si="11">X56</f>
        <v>18</v>
      </c>
      <c r="Z56" s="10"/>
      <c r="AA56" s="10"/>
      <c r="AB56" s="10">
        <f t="shared" si="8"/>
        <v>18</v>
      </c>
      <c r="AC56" s="10">
        <f t="shared" si="9"/>
        <v>18</v>
      </c>
      <c r="AD56" s="10"/>
      <c r="AE56" s="10"/>
      <c r="AF56" s="10"/>
      <c r="AG56" s="10"/>
      <c r="AH56" s="10">
        <f t="shared" si="10"/>
        <v>18</v>
      </c>
      <c r="AI56" s="12" t="s">
        <v>93</v>
      </c>
      <c r="AJ56" s="12">
        <v>2</v>
      </c>
      <c r="AK56" s="10"/>
      <c r="AL56" s="17"/>
      <c r="AM56" s="17"/>
      <c r="AN56" s="17"/>
      <c r="AO56" s="17"/>
      <c r="AP56" s="17"/>
      <c r="AQ56" s="17"/>
      <c r="AR56" s="17"/>
      <c r="AS56" s="17"/>
      <c r="AT56" s="17"/>
      <c r="AU56" s="17"/>
    </row>
    <row r="57" spans="1:47" ht="30" customHeight="1" x14ac:dyDescent="0.25">
      <c r="A57" s="12">
        <v>2273</v>
      </c>
      <c r="B57" s="29" t="s">
        <v>311</v>
      </c>
      <c r="C57" s="14">
        <v>101736000</v>
      </c>
      <c r="D57" s="30" t="s">
        <v>312</v>
      </c>
      <c r="E57" s="19" t="s">
        <v>313</v>
      </c>
      <c r="F57" s="22" t="s">
        <v>314</v>
      </c>
      <c r="G57" s="10" t="s">
        <v>87</v>
      </c>
      <c r="H57" s="16" t="s">
        <v>315</v>
      </c>
      <c r="I57" s="16" t="s">
        <v>316</v>
      </c>
      <c r="J57" s="10"/>
      <c r="K57" s="10">
        <v>808</v>
      </c>
      <c r="L57" s="10">
        <f t="shared" si="6"/>
        <v>808</v>
      </c>
      <c r="M57" s="12" t="s">
        <v>91</v>
      </c>
      <c r="N57" s="12" t="s">
        <v>90</v>
      </c>
      <c r="O57" s="12" t="s">
        <v>91</v>
      </c>
      <c r="P57" s="12" t="s">
        <v>90</v>
      </c>
      <c r="Q57" s="12" t="s">
        <v>111</v>
      </c>
      <c r="R57" s="12"/>
      <c r="S57" s="12">
        <v>2</v>
      </c>
      <c r="T57" s="12"/>
      <c r="U57" s="12"/>
      <c r="V57" s="12">
        <v>18</v>
      </c>
      <c r="W57" s="12"/>
      <c r="X57" s="10">
        <f t="shared" si="7"/>
        <v>20</v>
      </c>
      <c r="Y57" s="10">
        <f t="shared" si="11"/>
        <v>20</v>
      </c>
      <c r="Z57" s="10"/>
      <c r="AA57" s="10"/>
      <c r="AB57" s="10">
        <f t="shared" si="8"/>
        <v>20</v>
      </c>
      <c r="AC57" s="10">
        <f t="shared" si="9"/>
        <v>20</v>
      </c>
      <c r="AD57" s="10"/>
      <c r="AE57" s="10"/>
      <c r="AF57" s="10"/>
      <c r="AG57" s="10"/>
      <c r="AH57" s="10">
        <f t="shared" si="10"/>
        <v>20</v>
      </c>
      <c r="AI57" s="12" t="s">
        <v>93</v>
      </c>
      <c r="AJ57" s="12">
        <v>2</v>
      </c>
      <c r="AK57" s="10"/>
      <c r="AL57" s="17"/>
      <c r="AM57" s="17"/>
      <c r="AN57" s="17"/>
      <c r="AO57" s="17"/>
      <c r="AP57" s="17"/>
      <c r="AQ57" s="17"/>
      <c r="AR57" s="17"/>
      <c r="AS57" s="17"/>
      <c r="AT57" s="17"/>
      <c r="AU57" s="17"/>
    </row>
    <row r="58" spans="1:47" ht="30" customHeight="1" x14ac:dyDescent="0.25">
      <c r="A58" s="12">
        <v>2274</v>
      </c>
      <c r="B58" s="13"/>
      <c r="C58" s="14"/>
      <c r="D58" s="31"/>
      <c r="E58" s="18"/>
      <c r="F58" s="22" t="s">
        <v>317</v>
      </c>
      <c r="G58" s="10" t="s">
        <v>87</v>
      </c>
      <c r="H58" s="16" t="s">
        <v>315</v>
      </c>
      <c r="I58" s="16" t="s">
        <v>318</v>
      </c>
      <c r="J58" s="10"/>
      <c r="K58" s="10">
        <v>374</v>
      </c>
      <c r="L58" s="10">
        <f t="shared" si="6"/>
        <v>374</v>
      </c>
      <c r="M58" s="12"/>
      <c r="N58" s="12"/>
      <c r="O58" s="12"/>
      <c r="P58" s="12"/>
      <c r="Q58" s="12"/>
      <c r="R58" s="12"/>
      <c r="S58" s="12"/>
      <c r="T58" s="12"/>
      <c r="U58" s="12"/>
      <c r="V58" s="12">
        <v>9</v>
      </c>
      <c r="W58" s="12"/>
      <c r="X58" s="10">
        <f t="shared" si="7"/>
        <v>9</v>
      </c>
      <c r="Y58" s="10">
        <f t="shared" si="11"/>
        <v>9</v>
      </c>
      <c r="Z58" s="10"/>
      <c r="AA58" s="10"/>
      <c r="AB58" s="10">
        <f t="shared" si="8"/>
        <v>9</v>
      </c>
      <c r="AC58" s="10">
        <f t="shared" si="9"/>
        <v>9</v>
      </c>
      <c r="AD58" s="10"/>
      <c r="AE58" s="10"/>
      <c r="AF58" s="10"/>
      <c r="AG58" s="10"/>
      <c r="AH58" s="10">
        <f t="shared" si="10"/>
        <v>9</v>
      </c>
      <c r="AI58" s="12" t="s">
        <v>93</v>
      </c>
      <c r="AJ58" s="12">
        <v>2</v>
      </c>
      <c r="AK58" s="10" t="s">
        <v>319</v>
      </c>
      <c r="AL58" s="17"/>
      <c r="AM58" s="17"/>
      <c r="AN58" s="17"/>
      <c r="AO58" s="17"/>
      <c r="AP58" s="17"/>
      <c r="AQ58" s="17"/>
      <c r="AR58" s="17"/>
      <c r="AS58" s="17"/>
      <c r="AT58" s="17"/>
      <c r="AU58" s="17"/>
    </row>
    <row r="59" spans="1:47" ht="53.25" customHeight="1" x14ac:dyDescent="0.25">
      <c r="A59" s="12">
        <v>2274</v>
      </c>
      <c r="B59" s="13"/>
      <c r="C59" s="14"/>
      <c r="D59" s="31"/>
      <c r="E59" s="18"/>
      <c r="F59" s="22" t="s">
        <v>317</v>
      </c>
      <c r="G59" s="10" t="s">
        <v>87</v>
      </c>
      <c r="H59" s="16" t="s">
        <v>309</v>
      </c>
      <c r="I59" s="16" t="s">
        <v>320</v>
      </c>
      <c r="J59" s="10"/>
      <c r="K59" s="10">
        <v>211</v>
      </c>
      <c r="L59" s="10">
        <f t="shared" si="6"/>
        <v>211</v>
      </c>
      <c r="M59" s="12"/>
      <c r="N59" s="12"/>
      <c r="O59" s="12"/>
      <c r="P59" s="12"/>
      <c r="Q59" s="12"/>
      <c r="R59" s="12"/>
      <c r="S59" s="12"/>
      <c r="T59" s="12"/>
      <c r="U59" s="12"/>
      <c r="V59" s="12">
        <v>5</v>
      </c>
      <c r="W59" s="12"/>
      <c r="X59" s="10">
        <f t="shared" si="7"/>
        <v>5</v>
      </c>
      <c r="Y59" s="10">
        <f t="shared" si="11"/>
        <v>5</v>
      </c>
      <c r="Z59" s="10"/>
      <c r="AA59" s="10"/>
      <c r="AB59" s="10">
        <f t="shared" si="8"/>
        <v>5</v>
      </c>
      <c r="AC59" s="10">
        <f t="shared" si="9"/>
        <v>5</v>
      </c>
      <c r="AD59" s="10"/>
      <c r="AE59" s="10"/>
      <c r="AF59" s="10"/>
      <c r="AG59" s="10"/>
      <c r="AH59" s="10">
        <f t="shared" si="10"/>
        <v>5</v>
      </c>
      <c r="AI59" s="12" t="s">
        <v>93</v>
      </c>
      <c r="AJ59" s="12">
        <v>2</v>
      </c>
      <c r="AK59" s="10" t="s">
        <v>321</v>
      </c>
      <c r="AL59" s="17"/>
      <c r="AM59" s="17"/>
      <c r="AN59" s="17"/>
      <c r="AO59" s="17"/>
      <c r="AP59" s="17"/>
      <c r="AQ59" s="17"/>
      <c r="AR59" s="17"/>
      <c r="AS59" s="17"/>
      <c r="AT59" s="17"/>
      <c r="AU59" s="17"/>
    </row>
    <row r="60" spans="1:47" ht="46.5" customHeight="1" x14ac:dyDescent="0.25">
      <c r="A60" s="12">
        <v>2275</v>
      </c>
      <c r="B60" s="13" t="s">
        <v>322</v>
      </c>
      <c r="C60" s="14">
        <v>101735000</v>
      </c>
      <c r="D60" s="31" t="s">
        <v>323</v>
      </c>
      <c r="E60" s="19" t="s">
        <v>324</v>
      </c>
      <c r="F60" s="22" t="s">
        <v>325</v>
      </c>
      <c r="G60" s="10" t="s">
        <v>87</v>
      </c>
      <c r="H60" s="16" t="s">
        <v>326</v>
      </c>
      <c r="I60" s="16" t="s">
        <v>327</v>
      </c>
      <c r="J60" s="10"/>
      <c r="K60" s="10">
        <v>200</v>
      </c>
      <c r="L60" s="10">
        <f t="shared" si="6"/>
        <v>200</v>
      </c>
      <c r="M60" s="12" t="s">
        <v>91</v>
      </c>
      <c r="N60" s="12" t="s">
        <v>90</v>
      </c>
      <c r="O60" s="12" t="s">
        <v>91</v>
      </c>
      <c r="P60" s="12" t="s">
        <v>90</v>
      </c>
      <c r="Q60" s="12" t="s">
        <v>111</v>
      </c>
      <c r="R60" s="12"/>
      <c r="S60" s="12">
        <v>3</v>
      </c>
      <c r="T60" s="12"/>
      <c r="U60" s="12"/>
      <c r="V60" s="12"/>
      <c r="W60" s="12"/>
      <c r="X60" s="10">
        <f t="shared" si="7"/>
        <v>3</v>
      </c>
      <c r="Y60" s="10">
        <f t="shared" si="11"/>
        <v>3</v>
      </c>
      <c r="Z60" s="10"/>
      <c r="AA60" s="10"/>
      <c r="AB60" s="10">
        <f t="shared" si="8"/>
        <v>3</v>
      </c>
      <c r="AC60" s="10">
        <f t="shared" si="9"/>
        <v>3</v>
      </c>
      <c r="AD60" s="10"/>
      <c r="AE60" s="10"/>
      <c r="AF60" s="10"/>
      <c r="AG60" s="10"/>
      <c r="AH60" s="10">
        <f t="shared" si="10"/>
        <v>3</v>
      </c>
      <c r="AI60" s="12" t="s">
        <v>93</v>
      </c>
      <c r="AJ60" s="12">
        <v>3</v>
      </c>
      <c r="AK60" s="10"/>
      <c r="AL60" s="17"/>
      <c r="AM60" s="17"/>
      <c r="AN60" s="17"/>
      <c r="AO60" s="17"/>
      <c r="AP60" s="17"/>
      <c r="AQ60" s="17"/>
      <c r="AR60" s="17"/>
      <c r="AS60" s="17"/>
      <c r="AT60" s="17"/>
      <c r="AU60" s="17"/>
    </row>
    <row r="61" spans="1:47" ht="30" customHeight="1" x14ac:dyDescent="0.25">
      <c r="A61" s="12">
        <v>2276</v>
      </c>
      <c r="B61" s="13" t="s">
        <v>328</v>
      </c>
      <c r="C61" s="14">
        <v>101267000</v>
      </c>
      <c r="D61" s="31" t="s">
        <v>329</v>
      </c>
      <c r="E61" s="19" t="s">
        <v>330</v>
      </c>
      <c r="F61" s="22" t="s">
        <v>331</v>
      </c>
      <c r="G61" s="10" t="s">
        <v>87</v>
      </c>
      <c r="H61" s="16" t="s">
        <v>332</v>
      </c>
      <c r="I61" s="16" t="s">
        <v>333</v>
      </c>
      <c r="J61" s="10"/>
      <c r="K61" s="10">
        <v>750</v>
      </c>
      <c r="L61" s="10">
        <f t="shared" si="6"/>
        <v>750</v>
      </c>
      <c r="M61" s="12" t="s">
        <v>91</v>
      </c>
      <c r="N61" s="12" t="s">
        <v>90</v>
      </c>
      <c r="O61" s="12" t="s">
        <v>91</v>
      </c>
      <c r="P61" s="12" t="s">
        <v>90</v>
      </c>
      <c r="Q61" s="12" t="s">
        <v>111</v>
      </c>
      <c r="R61" s="12"/>
      <c r="S61" s="12"/>
      <c r="T61" s="12"/>
      <c r="U61" s="12"/>
      <c r="V61" s="12">
        <v>21</v>
      </c>
      <c r="W61" s="12"/>
      <c r="X61" s="10">
        <f t="shared" si="7"/>
        <v>21</v>
      </c>
      <c r="Y61" s="10">
        <f t="shared" si="11"/>
        <v>21</v>
      </c>
      <c r="Z61" s="10"/>
      <c r="AA61" s="10"/>
      <c r="AB61" s="10">
        <f t="shared" si="8"/>
        <v>21</v>
      </c>
      <c r="AC61" s="10">
        <f t="shared" si="9"/>
        <v>21</v>
      </c>
      <c r="AD61" s="10"/>
      <c r="AE61" s="10"/>
      <c r="AF61" s="10"/>
      <c r="AG61" s="10"/>
      <c r="AH61" s="10">
        <f t="shared" si="10"/>
        <v>21</v>
      </c>
      <c r="AI61" s="12" t="s">
        <v>93</v>
      </c>
      <c r="AJ61" s="12">
        <v>2</v>
      </c>
      <c r="AK61" s="10"/>
      <c r="AL61" s="17"/>
      <c r="AM61" s="17"/>
      <c r="AN61" s="17"/>
      <c r="AO61" s="17"/>
      <c r="AP61" s="17"/>
      <c r="AQ61" s="17"/>
      <c r="AR61" s="17"/>
      <c r="AS61" s="17"/>
      <c r="AT61" s="17"/>
      <c r="AU61" s="17"/>
    </row>
    <row r="62" spans="1:47" ht="30" customHeight="1" x14ac:dyDescent="0.25">
      <c r="A62" s="12">
        <v>2276</v>
      </c>
      <c r="B62" s="13" t="s">
        <v>334</v>
      </c>
      <c r="C62" s="14">
        <v>101268000</v>
      </c>
      <c r="D62" s="31" t="s">
        <v>335</v>
      </c>
      <c r="E62" s="19" t="s">
        <v>336</v>
      </c>
      <c r="F62" s="22" t="s">
        <v>331</v>
      </c>
      <c r="G62" s="10" t="s">
        <v>87</v>
      </c>
      <c r="H62" s="16" t="s">
        <v>337</v>
      </c>
      <c r="I62" s="16" t="s">
        <v>338</v>
      </c>
      <c r="J62" s="10"/>
      <c r="K62" s="10">
        <v>550</v>
      </c>
      <c r="L62" s="10">
        <f t="shared" si="6"/>
        <v>550</v>
      </c>
      <c r="M62" s="12" t="s">
        <v>91</v>
      </c>
      <c r="N62" s="12" t="s">
        <v>90</v>
      </c>
      <c r="O62" s="12" t="s">
        <v>91</v>
      </c>
      <c r="P62" s="12" t="s">
        <v>90</v>
      </c>
      <c r="Q62" s="12" t="s">
        <v>111</v>
      </c>
      <c r="R62" s="12"/>
      <c r="S62" s="12"/>
      <c r="T62" s="12"/>
      <c r="U62" s="12"/>
      <c r="V62" s="12">
        <v>18</v>
      </c>
      <c r="W62" s="12"/>
      <c r="X62" s="10">
        <f t="shared" si="7"/>
        <v>18</v>
      </c>
      <c r="Y62" s="10">
        <f t="shared" si="11"/>
        <v>18</v>
      </c>
      <c r="Z62" s="10"/>
      <c r="AA62" s="10"/>
      <c r="AB62" s="10">
        <f t="shared" si="8"/>
        <v>18</v>
      </c>
      <c r="AC62" s="10">
        <f t="shared" si="9"/>
        <v>18</v>
      </c>
      <c r="AD62" s="10"/>
      <c r="AE62" s="10"/>
      <c r="AF62" s="10"/>
      <c r="AG62" s="10"/>
      <c r="AH62" s="10">
        <f t="shared" si="10"/>
        <v>18</v>
      </c>
      <c r="AI62" s="12" t="s">
        <v>93</v>
      </c>
      <c r="AJ62" s="12">
        <v>3</v>
      </c>
      <c r="AK62" s="10"/>
      <c r="AL62" s="17"/>
      <c r="AM62" s="17"/>
      <c r="AN62" s="17"/>
      <c r="AO62" s="17"/>
      <c r="AP62" s="17"/>
      <c r="AQ62" s="17"/>
      <c r="AR62" s="17"/>
      <c r="AS62" s="17"/>
      <c r="AT62" s="17"/>
      <c r="AU62" s="17"/>
    </row>
    <row r="63" spans="1:47" ht="30" customHeight="1" x14ac:dyDescent="0.25">
      <c r="A63" s="12">
        <v>2277</v>
      </c>
      <c r="B63" s="13" t="s">
        <v>322</v>
      </c>
      <c r="C63" s="14">
        <v>101735000</v>
      </c>
      <c r="D63" s="31"/>
      <c r="E63" s="18"/>
      <c r="F63" s="22" t="s">
        <v>339</v>
      </c>
      <c r="G63" s="10" t="s">
        <v>87</v>
      </c>
      <c r="H63" s="16" t="s">
        <v>326</v>
      </c>
      <c r="I63" s="16" t="s">
        <v>340</v>
      </c>
      <c r="J63" s="10"/>
      <c r="K63" s="10">
        <v>189</v>
      </c>
      <c r="L63" s="10">
        <f t="shared" si="6"/>
        <v>189</v>
      </c>
      <c r="M63" s="12" t="s">
        <v>91</v>
      </c>
      <c r="N63" s="12" t="s">
        <v>90</v>
      </c>
      <c r="O63" s="12" t="s">
        <v>91</v>
      </c>
      <c r="P63" s="12" t="s">
        <v>90</v>
      </c>
      <c r="Q63" s="12" t="s">
        <v>111</v>
      </c>
      <c r="R63" s="12"/>
      <c r="S63" s="12">
        <v>3</v>
      </c>
      <c r="T63" s="12"/>
      <c r="U63" s="12"/>
      <c r="V63" s="12"/>
      <c r="W63" s="12"/>
      <c r="X63" s="10">
        <f t="shared" si="7"/>
        <v>3</v>
      </c>
      <c r="Y63" s="10">
        <f t="shared" si="11"/>
        <v>3</v>
      </c>
      <c r="Z63" s="10"/>
      <c r="AA63" s="10"/>
      <c r="AB63" s="10">
        <f t="shared" si="8"/>
        <v>3</v>
      </c>
      <c r="AC63" s="10">
        <f t="shared" si="9"/>
        <v>3</v>
      </c>
      <c r="AD63" s="10"/>
      <c r="AE63" s="10"/>
      <c r="AF63" s="10"/>
      <c r="AG63" s="10"/>
      <c r="AH63" s="10">
        <f t="shared" si="10"/>
        <v>3</v>
      </c>
      <c r="AI63" s="12" t="s">
        <v>93</v>
      </c>
      <c r="AJ63" s="12">
        <v>3</v>
      </c>
      <c r="AK63" s="10"/>
      <c r="AL63" s="17"/>
      <c r="AM63" s="17"/>
      <c r="AN63" s="17"/>
      <c r="AO63" s="17"/>
      <c r="AP63" s="17"/>
      <c r="AQ63" s="17"/>
      <c r="AR63" s="17"/>
      <c r="AS63" s="17"/>
      <c r="AT63" s="17"/>
      <c r="AU63" s="17"/>
    </row>
    <row r="64" spans="1:47" ht="30" customHeight="1" x14ac:dyDescent="0.25">
      <c r="A64" s="12">
        <v>2278</v>
      </c>
      <c r="B64" s="13" t="s">
        <v>322</v>
      </c>
      <c r="C64" s="14">
        <v>101735000</v>
      </c>
      <c r="D64" s="31"/>
      <c r="E64" s="18"/>
      <c r="F64" s="22" t="s">
        <v>341</v>
      </c>
      <c r="G64" s="10" t="s">
        <v>87</v>
      </c>
      <c r="H64" s="16" t="s">
        <v>326</v>
      </c>
      <c r="I64" s="16" t="s">
        <v>342</v>
      </c>
      <c r="J64" s="10"/>
      <c r="K64" s="10">
        <v>940</v>
      </c>
      <c r="L64" s="10">
        <f t="shared" si="6"/>
        <v>940</v>
      </c>
      <c r="M64" s="12" t="s">
        <v>91</v>
      </c>
      <c r="N64" s="12" t="s">
        <v>90</v>
      </c>
      <c r="O64" s="12" t="s">
        <v>91</v>
      </c>
      <c r="P64" s="12" t="s">
        <v>90</v>
      </c>
      <c r="Q64" s="12" t="s">
        <v>111</v>
      </c>
      <c r="R64" s="12"/>
      <c r="S64" s="12">
        <v>13</v>
      </c>
      <c r="T64" s="12"/>
      <c r="U64" s="12"/>
      <c r="V64" s="12"/>
      <c r="W64" s="12"/>
      <c r="X64" s="10">
        <f t="shared" si="7"/>
        <v>13</v>
      </c>
      <c r="Y64" s="10">
        <f t="shared" si="11"/>
        <v>13</v>
      </c>
      <c r="Z64" s="10"/>
      <c r="AA64" s="10"/>
      <c r="AB64" s="10">
        <f t="shared" si="8"/>
        <v>13</v>
      </c>
      <c r="AC64" s="10">
        <f t="shared" si="9"/>
        <v>13</v>
      </c>
      <c r="AD64" s="10"/>
      <c r="AE64" s="10"/>
      <c r="AF64" s="10"/>
      <c r="AG64" s="10"/>
      <c r="AH64" s="10">
        <f t="shared" si="10"/>
        <v>13</v>
      </c>
      <c r="AI64" s="12" t="s">
        <v>93</v>
      </c>
      <c r="AJ64" s="12">
        <v>3</v>
      </c>
      <c r="AK64" s="10"/>
      <c r="AL64" s="17"/>
      <c r="AM64" s="17"/>
      <c r="AN64" s="17"/>
      <c r="AO64" s="17"/>
      <c r="AP64" s="17"/>
      <c r="AQ64" s="17"/>
      <c r="AR64" s="17"/>
      <c r="AS64" s="17"/>
      <c r="AT64" s="17"/>
      <c r="AU64" s="17"/>
    </row>
    <row r="65" spans="1:47" ht="30" customHeight="1" x14ac:dyDescent="0.25">
      <c r="A65" s="12">
        <v>2279</v>
      </c>
      <c r="B65" s="13" t="s">
        <v>343</v>
      </c>
      <c r="C65" s="14">
        <v>101705000</v>
      </c>
      <c r="D65" s="31" t="s">
        <v>344</v>
      </c>
      <c r="E65" s="19" t="s">
        <v>345</v>
      </c>
      <c r="F65" s="22" t="s">
        <v>346</v>
      </c>
      <c r="G65" s="10" t="s">
        <v>87</v>
      </c>
      <c r="H65" s="16" t="s">
        <v>347</v>
      </c>
      <c r="I65" s="16" t="s">
        <v>348</v>
      </c>
      <c r="J65" s="10"/>
      <c r="K65" s="10">
        <v>850</v>
      </c>
      <c r="L65" s="10">
        <f t="shared" si="6"/>
        <v>850</v>
      </c>
      <c r="M65" s="12" t="s">
        <v>91</v>
      </c>
      <c r="N65" s="12" t="s">
        <v>90</v>
      </c>
      <c r="O65" s="12" t="s">
        <v>91</v>
      </c>
      <c r="P65" s="12" t="s">
        <v>90</v>
      </c>
      <c r="Q65" s="12" t="s">
        <v>111</v>
      </c>
      <c r="R65" s="12"/>
      <c r="S65" s="12"/>
      <c r="T65" s="12"/>
      <c r="U65" s="12"/>
      <c r="V65" s="12">
        <v>22</v>
      </c>
      <c r="W65" s="12"/>
      <c r="X65" s="10">
        <f t="shared" si="7"/>
        <v>22</v>
      </c>
      <c r="Y65" s="10">
        <f t="shared" si="11"/>
        <v>22</v>
      </c>
      <c r="Z65" s="10"/>
      <c r="AA65" s="10"/>
      <c r="AB65" s="10">
        <f t="shared" si="8"/>
        <v>22</v>
      </c>
      <c r="AC65" s="10">
        <f t="shared" si="9"/>
        <v>22</v>
      </c>
      <c r="AD65" s="10"/>
      <c r="AE65" s="10"/>
      <c r="AF65" s="10"/>
      <c r="AG65" s="10"/>
      <c r="AH65" s="10">
        <f t="shared" si="10"/>
        <v>22</v>
      </c>
      <c r="AI65" s="12" t="s">
        <v>93</v>
      </c>
      <c r="AJ65" s="12">
        <v>3</v>
      </c>
      <c r="AK65" s="10"/>
      <c r="AL65" s="17"/>
      <c r="AM65" s="17"/>
      <c r="AN65" s="17"/>
      <c r="AO65" s="17"/>
      <c r="AP65" s="17"/>
      <c r="AQ65" s="17"/>
      <c r="AR65" s="17"/>
      <c r="AS65" s="17"/>
      <c r="AT65" s="17"/>
      <c r="AU65" s="17"/>
    </row>
    <row r="66" spans="1:47" ht="30" customHeight="1" x14ac:dyDescent="0.25">
      <c r="A66" s="12">
        <v>2279</v>
      </c>
      <c r="B66" s="13" t="s">
        <v>349</v>
      </c>
      <c r="C66" s="14">
        <v>101704000</v>
      </c>
      <c r="D66" s="15" t="s">
        <v>350</v>
      </c>
      <c r="E66" s="32" t="s">
        <v>351</v>
      </c>
      <c r="F66" s="16" t="s">
        <v>346</v>
      </c>
      <c r="G66" s="10" t="s">
        <v>87</v>
      </c>
      <c r="H66" s="16" t="s">
        <v>352</v>
      </c>
      <c r="I66" s="16" t="s">
        <v>353</v>
      </c>
      <c r="J66" s="10"/>
      <c r="K66" s="10">
        <v>570</v>
      </c>
      <c r="L66" s="10">
        <f t="shared" si="6"/>
        <v>570</v>
      </c>
      <c r="M66" s="12" t="s">
        <v>91</v>
      </c>
      <c r="N66" s="12" t="s">
        <v>90</v>
      </c>
      <c r="O66" s="12" t="s">
        <v>91</v>
      </c>
      <c r="P66" s="12" t="s">
        <v>90</v>
      </c>
      <c r="Q66" s="12" t="s">
        <v>111</v>
      </c>
      <c r="R66" s="12"/>
      <c r="S66" s="12">
        <v>4</v>
      </c>
      <c r="T66" s="12"/>
      <c r="U66" s="12"/>
      <c r="V66" s="12">
        <v>10</v>
      </c>
      <c r="W66" s="12"/>
      <c r="X66" s="10">
        <f t="shared" si="7"/>
        <v>14</v>
      </c>
      <c r="Y66" s="10">
        <f t="shared" si="11"/>
        <v>14</v>
      </c>
      <c r="Z66" s="10"/>
      <c r="AA66" s="10"/>
      <c r="AB66" s="10">
        <f t="shared" si="8"/>
        <v>14</v>
      </c>
      <c r="AC66" s="10">
        <f t="shared" si="9"/>
        <v>14</v>
      </c>
      <c r="AD66" s="10"/>
      <c r="AE66" s="10"/>
      <c r="AF66" s="10"/>
      <c r="AG66" s="10"/>
      <c r="AH66" s="10">
        <f t="shared" si="10"/>
        <v>14</v>
      </c>
      <c r="AI66" s="12" t="s">
        <v>93</v>
      </c>
      <c r="AJ66" s="12">
        <v>3</v>
      </c>
      <c r="AK66" s="10"/>
      <c r="AL66" s="17"/>
      <c r="AM66" s="17"/>
      <c r="AN66" s="17"/>
      <c r="AO66" s="17"/>
      <c r="AP66" s="17"/>
      <c r="AQ66" s="17"/>
      <c r="AR66" s="17"/>
      <c r="AS66" s="17"/>
      <c r="AT66" s="17"/>
      <c r="AU66" s="17"/>
    </row>
    <row r="67" spans="1:47" ht="30" customHeight="1" x14ac:dyDescent="0.25">
      <c r="A67" s="12">
        <v>2280</v>
      </c>
      <c r="B67" s="13" t="s">
        <v>354</v>
      </c>
      <c r="C67" s="14">
        <v>102273000</v>
      </c>
      <c r="D67" s="15" t="s">
        <v>355</v>
      </c>
      <c r="E67" s="33" t="s">
        <v>356</v>
      </c>
      <c r="F67" s="16" t="s">
        <v>357</v>
      </c>
      <c r="G67" s="10" t="s">
        <v>87</v>
      </c>
      <c r="H67" s="16" t="s">
        <v>358</v>
      </c>
      <c r="I67" s="16" t="s">
        <v>359</v>
      </c>
      <c r="J67" s="10"/>
      <c r="K67" s="10">
        <v>320</v>
      </c>
      <c r="L67" s="10">
        <f t="shared" si="6"/>
        <v>320</v>
      </c>
      <c r="M67" s="12" t="s">
        <v>90</v>
      </c>
      <c r="N67" s="12" t="s">
        <v>91</v>
      </c>
      <c r="O67" s="12" t="s">
        <v>91</v>
      </c>
      <c r="P67" s="12" t="s">
        <v>90</v>
      </c>
      <c r="Q67" s="12" t="s">
        <v>111</v>
      </c>
      <c r="R67" s="12"/>
      <c r="S67" s="12"/>
      <c r="T67" s="12"/>
      <c r="U67" s="12"/>
      <c r="V67" s="12">
        <v>9</v>
      </c>
      <c r="W67" s="12"/>
      <c r="X67" s="10">
        <f t="shared" si="7"/>
        <v>9</v>
      </c>
      <c r="Y67" s="10">
        <f t="shared" si="11"/>
        <v>9</v>
      </c>
      <c r="Z67" s="10"/>
      <c r="AA67" s="10"/>
      <c r="AB67" s="10">
        <f t="shared" si="8"/>
        <v>9</v>
      </c>
      <c r="AC67" s="10">
        <f t="shared" si="9"/>
        <v>9</v>
      </c>
      <c r="AD67" s="10"/>
      <c r="AE67" s="10"/>
      <c r="AF67" s="10"/>
      <c r="AG67" s="10"/>
      <c r="AH67" s="10">
        <f t="shared" si="10"/>
        <v>9</v>
      </c>
      <c r="AI67" s="12" t="s">
        <v>93</v>
      </c>
      <c r="AJ67" s="12">
        <v>3</v>
      </c>
      <c r="AK67" s="10"/>
      <c r="AL67" s="17"/>
      <c r="AM67" s="17"/>
      <c r="AN67" s="17"/>
      <c r="AO67" s="17"/>
      <c r="AP67" s="17"/>
      <c r="AQ67" s="17"/>
      <c r="AR67" s="17"/>
      <c r="AS67" s="17"/>
      <c r="AT67" s="17"/>
      <c r="AU67" s="17"/>
    </row>
    <row r="68" spans="1:47" ht="30" customHeight="1" x14ac:dyDescent="0.25">
      <c r="A68" s="12">
        <v>2280</v>
      </c>
      <c r="B68" s="13" t="s">
        <v>360</v>
      </c>
      <c r="C68" s="14">
        <v>102274000</v>
      </c>
      <c r="D68" s="15" t="s">
        <v>361</v>
      </c>
      <c r="E68" s="33" t="s">
        <v>362</v>
      </c>
      <c r="F68" s="16" t="s">
        <v>357</v>
      </c>
      <c r="G68" s="10" t="s">
        <v>87</v>
      </c>
      <c r="H68" s="16" t="s">
        <v>363</v>
      </c>
      <c r="I68" s="16" t="s">
        <v>364</v>
      </c>
      <c r="J68" s="10"/>
      <c r="K68" s="10">
        <v>220</v>
      </c>
      <c r="L68" s="10">
        <f t="shared" si="6"/>
        <v>220</v>
      </c>
      <c r="M68" s="12" t="s">
        <v>91</v>
      </c>
      <c r="N68" s="12" t="s">
        <v>90</v>
      </c>
      <c r="O68" s="12" t="s">
        <v>91</v>
      </c>
      <c r="P68" s="12" t="s">
        <v>90</v>
      </c>
      <c r="Q68" s="12" t="s">
        <v>92</v>
      </c>
      <c r="R68" s="12"/>
      <c r="S68" s="12"/>
      <c r="T68" s="12"/>
      <c r="U68" s="12"/>
      <c r="V68" s="12">
        <v>8</v>
      </c>
      <c r="W68" s="12"/>
      <c r="X68" s="10">
        <f t="shared" si="7"/>
        <v>8</v>
      </c>
      <c r="Y68" s="10">
        <f t="shared" si="11"/>
        <v>8</v>
      </c>
      <c r="Z68" s="10"/>
      <c r="AA68" s="10"/>
      <c r="AB68" s="10">
        <f t="shared" si="8"/>
        <v>8</v>
      </c>
      <c r="AC68" s="10">
        <f t="shared" si="9"/>
        <v>8</v>
      </c>
      <c r="AD68" s="10"/>
      <c r="AE68" s="10"/>
      <c r="AF68" s="10"/>
      <c r="AG68" s="10"/>
      <c r="AH68" s="10">
        <f t="shared" si="10"/>
        <v>8</v>
      </c>
      <c r="AI68" s="12" t="s">
        <v>93</v>
      </c>
      <c r="AJ68" s="12">
        <v>3</v>
      </c>
      <c r="AK68" s="10"/>
      <c r="AL68" s="17"/>
      <c r="AM68" s="17"/>
      <c r="AN68" s="17"/>
      <c r="AO68" s="17"/>
      <c r="AP68" s="17"/>
      <c r="AQ68" s="17"/>
      <c r="AR68" s="17"/>
      <c r="AS68" s="17"/>
      <c r="AT68" s="17"/>
      <c r="AU68" s="17"/>
    </row>
    <row r="69" spans="1:47" ht="39" customHeight="1" x14ac:dyDescent="0.25">
      <c r="A69" s="12">
        <v>2280</v>
      </c>
      <c r="B69" s="13" t="s">
        <v>365</v>
      </c>
      <c r="C69" s="14">
        <v>102275000</v>
      </c>
      <c r="D69" s="15" t="s">
        <v>366</v>
      </c>
      <c r="E69" s="15" t="s">
        <v>367</v>
      </c>
      <c r="F69" s="16" t="s">
        <v>357</v>
      </c>
      <c r="G69" s="10" t="s">
        <v>87</v>
      </c>
      <c r="H69" s="16" t="s">
        <v>368</v>
      </c>
      <c r="I69" s="16" t="s">
        <v>369</v>
      </c>
      <c r="J69" s="10"/>
      <c r="K69" s="10">
        <v>600</v>
      </c>
      <c r="L69" s="10">
        <f t="shared" si="6"/>
        <v>600</v>
      </c>
      <c r="M69" s="12" t="s">
        <v>91</v>
      </c>
      <c r="N69" s="12" t="s">
        <v>90</v>
      </c>
      <c r="O69" s="12" t="s">
        <v>91</v>
      </c>
      <c r="P69" s="12" t="s">
        <v>90</v>
      </c>
      <c r="Q69" s="12" t="s">
        <v>111</v>
      </c>
      <c r="R69" s="12"/>
      <c r="S69" s="12"/>
      <c r="T69" s="12"/>
      <c r="U69" s="12"/>
      <c r="V69" s="12">
        <v>16</v>
      </c>
      <c r="W69" s="12"/>
      <c r="X69" s="10">
        <f t="shared" si="7"/>
        <v>16</v>
      </c>
      <c r="Y69" s="10">
        <f t="shared" si="11"/>
        <v>16</v>
      </c>
      <c r="Z69" s="10"/>
      <c r="AA69" s="10"/>
      <c r="AB69" s="10">
        <f t="shared" si="8"/>
        <v>16</v>
      </c>
      <c r="AC69" s="10">
        <f t="shared" si="9"/>
        <v>16</v>
      </c>
      <c r="AD69" s="10"/>
      <c r="AE69" s="10"/>
      <c r="AF69" s="10"/>
      <c r="AG69" s="10"/>
      <c r="AH69" s="10">
        <f t="shared" si="10"/>
        <v>16</v>
      </c>
      <c r="AI69" s="12" t="s">
        <v>93</v>
      </c>
      <c r="AJ69" s="12">
        <v>2</v>
      </c>
      <c r="AK69" s="10"/>
      <c r="AL69" s="17"/>
      <c r="AM69" s="17"/>
      <c r="AN69" s="17"/>
      <c r="AO69" s="17"/>
      <c r="AP69" s="17"/>
      <c r="AQ69" s="17"/>
      <c r="AR69" s="17"/>
      <c r="AS69" s="17"/>
      <c r="AT69" s="17"/>
      <c r="AU69" s="17"/>
    </row>
    <row r="70" spans="1:47" ht="44.25" customHeight="1" x14ac:dyDescent="0.25">
      <c r="A70" s="12">
        <v>2280</v>
      </c>
      <c r="B70" s="13" t="s">
        <v>370</v>
      </c>
      <c r="C70" s="14">
        <v>102270000</v>
      </c>
      <c r="D70" s="15" t="s">
        <v>371</v>
      </c>
      <c r="E70" s="33" t="s">
        <v>372</v>
      </c>
      <c r="F70" s="16" t="s">
        <v>357</v>
      </c>
      <c r="G70" s="10" t="s">
        <v>87</v>
      </c>
      <c r="H70" s="16" t="s">
        <v>373</v>
      </c>
      <c r="I70" s="16" t="s">
        <v>374</v>
      </c>
      <c r="J70" s="10"/>
      <c r="K70" s="10">
        <v>380</v>
      </c>
      <c r="L70" s="10">
        <f t="shared" si="6"/>
        <v>380</v>
      </c>
      <c r="M70" s="12" t="s">
        <v>91</v>
      </c>
      <c r="N70" s="12" t="s">
        <v>90</v>
      </c>
      <c r="O70" s="12" t="s">
        <v>91</v>
      </c>
      <c r="P70" s="12" t="s">
        <v>90</v>
      </c>
      <c r="Q70" s="12" t="s">
        <v>111</v>
      </c>
      <c r="R70" s="12"/>
      <c r="S70" s="12"/>
      <c r="T70" s="12"/>
      <c r="U70" s="12"/>
      <c r="V70" s="12">
        <v>12</v>
      </c>
      <c r="W70" s="12"/>
      <c r="X70" s="10">
        <f t="shared" si="7"/>
        <v>12</v>
      </c>
      <c r="Y70" s="10">
        <f t="shared" si="11"/>
        <v>12</v>
      </c>
      <c r="Z70" s="10"/>
      <c r="AA70" s="10"/>
      <c r="AB70" s="10">
        <f t="shared" si="8"/>
        <v>12</v>
      </c>
      <c r="AC70" s="10">
        <f t="shared" si="9"/>
        <v>12</v>
      </c>
      <c r="AD70" s="10"/>
      <c r="AE70" s="10"/>
      <c r="AF70" s="10"/>
      <c r="AG70" s="10"/>
      <c r="AH70" s="10">
        <f t="shared" si="10"/>
        <v>12</v>
      </c>
      <c r="AI70" s="12" t="s">
        <v>93</v>
      </c>
      <c r="AJ70" s="12">
        <v>2</v>
      </c>
      <c r="AK70" s="10"/>
      <c r="AL70" s="17"/>
      <c r="AM70" s="17"/>
      <c r="AN70" s="17"/>
      <c r="AO70" s="17"/>
      <c r="AP70" s="17"/>
      <c r="AQ70" s="17"/>
      <c r="AR70" s="17"/>
      <c r="AS70" s="17"/>
      <c r="AT70" s="17"/>
      <c r="AU70" s="17"/>
    </row>
    <row r="71" spans="1:47" ht="30" customHeight="1" x14ac:dyDescent="0.25">
      <c r="A71" s="12">
        <v>2280</v>
      </c>
      <c r="B71" s="13" t="s">
        <v>375</v>
      </c>
      <c r="C71" s="14">
        <v>102271000</v>
      </c>
      <c r="D71" s="15" t="s">
        <v>376</v>
      </c>
      <c r="E71" s="33" t="s">
        <v>377</v>
      </c>
      <c r="F71" s="16" t="s">
        <v>357</v>
      </c>
      <c r="G71" s="10" t="s">
        <v>87</v>
      </c>
      <c r="H71" s="16" t="s">
        <v>378</v>
      </c>
      <c r="I71" s="16" t="s">
        <v>379</v>
      </c>
      <c r="J71" s="10"/>
      <c r="K71" s="10">
        <v>159</v>
      </c>
      <c r="L71" s="10">
        <f t="shared" si="6"/>
        <v>159</v>
      </c>
      <c r="M71" s="12" t="s">
        <v>91</v>
      </c>
      <c r="N71" s="12" t="s">
        <v>90</v>
      </c>
      <c r="O71" s="12" t="s">
        <v>91</v>
      </c>
      <c r="P71" s="12" t="s">
        <v>90</v>
      </c>
      <c r="Q71" s="12" t="s">
        <v>111</v>
      </c>
      <c r="R71" s="12"/>
      <c r="S71" s="12"/>
      <c r="T71" s="12"/>
      <c r="U71" s="12"/>
      <c r="V71" s="12">
        <v>5</v>
      </c>
      <c r="W71" s="12"/>
      <c r="X71" s="10">
        <f t="shared" si="7"/>
        <v>5</v>
      </c>
      <c r="Y71" s="10">
        <f t="shared" si="11"/>
        <v>5</v>
      </c>
      <c r="Z71" s="10"/>
      <c r="AA71" s="10"/>
      <c r="AB71" s="10">
        <f t="shared" si="8"/>
        <v>5</v>
      </c>
      <c r="AC71" s="10">
        <f t="shared" si="9"/>
        <v>5</v>
      </c>
      <c r="AD71" s="10"/>
      <c r="AE71" s="10"/>
      <c r="AF71" s="10"/>
      <c r="AG71" s="10"/>
      <c r="AH71" s="10">
        <f t="shared" si="10"/>
        <v>5</v>
      </c>
      <c r="AI71" s="12" t="s">
        <v>93</v>
      </c>
      <c r="AJ71" s="12">
        <v>2</v>
      </c>
      <c r="AK71" s="10"/>
      <c r="AL71" s="17"/>
      <c r="AM71" s="17"/>
      <c r="AN71" s="17"/>
      <c r="AO71" s="17"/>
      <c r="AP71" s="17"/>
      <c r="AQ71" s="17"/>
      <c r="AR71" s="17"/>
      <c r="AS71" s="17"/>
      <c r="AT71" s="17"/>
      <c r="AU71" s="17"/>
    </row>
    <row r="72" spans="1:47" ht="30" customHeight="1" x14ac:dyDescent="0.25">
      <c r="A72" s="12">
        <v>2280</v>
      </c>
      <c r="B72" s="13" t="s">
        <v>380</v>
      </c>
      <c r="C72" s="14">
        <v>101712000</v>
      </c>
      <c r="D72" s="15" t="s">
        <v>381</v>
      </c>
      <c r="E72" s="33" t="s">
        <v>382</v>
      </c>
      <c r="F72" s="16" t="s">
        <v>383</v>
      </c>
      <c r="G72" s="10" t="s">
        <v>87</v>
      </c>
      <c r="H72" s="16" t="s">
        <v>384</v>
      </c>
      <c r="I72" s="16" t="s">
        <v>385</v>
      </c>
      <c r="J72" s="10"/>
      <c r="K72" s="10">
        <v>1060</v>
      </c>
      <c r="L72" s="10">
        <f t="shared" ref="L72:L96" si="12">SUM(J72:K72)</f>
        <v>1060</v>
      </c>
      <c r="M72" s="12" t="s">
        <v>90</v>
      </c>
      <c r="N72" s="12" t="s">
        <v>91</v>
      </c>
      <c r="O72" s="12" t="s">
        <v>91</v>
      </c>
      <c r="P72" s="12" t="s">
        <v>90</v>
      </c>
      <c r="Q72" s="12" t="s">
        <v>92</v>
      </c>
      <c r="R72" s="12"/>
      <c r="S72" s="12">
        <v>22</v>
      </c>
      <c r="T72" s="12"/>
      <c r="U72" s="12"/>
      <c r="V72" s="12"/>
      <c r="W72" s="12"/>
      <c r="X72" s="10">
        <f t="shared" ref="X72:X96" si="13">R72+S72+T72+U72+V72+W72</f>
        <v>22</v>
      </c>
      <c r="Y72" s="10">
        <f t="shared" si="11"/>
        <v>22</v>
      </c>
      <c r="Z72" s="10"/>
      <c r="AA72" s="10"/>
      <c r="AB72" s="10">
        <f t="shared" ref="AB72:AB96" si="14">AA72+Z72+Y72</f>
        <v>22</v>
      </c>
      <c r="AC72" s="10">
        <f t="shared" ref="AC72:AC91" si="15">X72</f>
        <v>22</v>
      </c>
      <c r="AD72" s="10"/>
      <c r="AE72" s="10"/>
      <c r="AF72" s="10"/>
      <c r="AG72" s="10"/>
      <c r="AH72" s="10">
        <f t="shared" ref="AH72:AH96" si="16">SUM(AC72:AG72)</f>
        <v>22</v>
      </c>
      <c r="AI72" s="12" t="s">
        <v>93</v>
      </c>
      <c r="AJ72" s="12">
        <v>3</v>
      </c>
      <c r="AK72" s="10"/>
      <c r="AL72" s="17"/>
      <c r="AM72" s="17"/>
      <c r="AN72" s="17"/>
      <c r="AO72" s="17"/>
      <c r="AP72" s="17"/>
      <c r="AQ72" s="17"/>
      <c r="AR72" s="17"/>
      <c r="AS72" s="17"/>
      <c r="AT72" s="17"/>
      <c r="AU72" s="17"/>
    </row>
    <row r="73" spans="1:47" ht="30" customHeight="1" x14ac:dyDescent="0.25">
      <c r="A73" s="12">
        <v>2281</v>
      </c>
      <c r="B73" s="13" t="s">
        <v>386</v>
      </c>
      <c r="C73" s="14">
        <v>101708000</v>
      </c>
      <c r="D73" s="15" t="s">
        <v>387</v>
      </c>
      <c r="E73" s="33" t="s">
        <v>388</v>
      </c>
      <c r="F73" s="16" t="s">
        <v>389</v>
      </c>
      <c r="G73" s="10" t="s">
        <v>87</v>
      </c>
      <c r="H73" s="16" t="s">
        <v>390</v>
      </c>
      <c r="I73" s="16" t="s">
        <v>391</v>
      </c>
      <c r="J73" s="10"/>
      <c r="K73" s="10">
        <v>1320</v>
      </c>
      <c r="L73" s="10">
        <f t="shared" si="12"/>
        <v>1320</v>
      </c>
      <c r="M73" s="12" t="s">
        <v>91</v>
      </c>
      <c r="N73" s="12" t="s">
        <v>90</v>
      </c>
      <c r="O73" s="12" t="s">
        <v>91</v>
      </c>
      <c r="P73" s="12" t="s">
        <v>90</v>
      </c>
      <c r="Q73" s="12" t="s">
        <v>111</v>
      </c>
      <c r="R73" s="12"/>
      <c r="S73" s="12">
        <v>4</v>
      </c>
      <c r="T73" s="12"/>
      <c r="U73" s="12"/>
      <c r="V73" s="12">
        <v>16</v>
      </c>
      <c r="W73" s="12"/>
      <c r="X73" s="10">
        <f t="shared" si="13"/>
        <v>20</v>
      </c>
      <c r="Y73" s="10">
        <f t="shared" si="11"/>
        <v>20</v>
      </c>
      <c r="Z73" s="10"/>
      <c r="AA73" s="10"/>
      <c r="AB73" s="10">
        <f t="shared" si="14"/>
        <v>20</v>
      </c>
      <c r="AC73" s="10">
        <f t="shared" si="15"/>
        <v>20</v>
      </c>
      <c r="AD73" s="10"/>
      <c r="AE73" s="10"/>
      <c r="AF73" s="10"/>
      <c r="AG73" s="10"/>
      <c r="AH73" s="10">
        <f t="shared" si="16"/>
        <v>20</v>
      </c>
      <c r="AI73" s="12" t="s">
        <v>93</v>
      </c>
      <c r="AJ73" s="12">
        <v>2</v>
      </c>
      <c r="AK73" s="10" t="s">
        <v>392</v>
      </c>
      <c r="AL73" s="17"/>
      <c r="AM73" s="17"/>
      <c r="AN73" s="17"/>
      <c r="AO73" s="17"/>
      <c r="AP73" s="17"/>
      <c r="AQ73" s="17"/>
      <c r="AR73" s="17"/>
      <c r="AS73" s="17"/>
      <c r="AT73" s="17"/>
      <c r="AU73" s="17"/>
    </row>
    <row r="74" spans="1:47" ht="56.25" customHeight="1" x14ac:dyDescent="0.25">
      <c r="A74" s="12">
        <v>2281</v>
      </c>
      <c r="B74" s="13" t="s">
        <v>393</v>
      </c>
      <c r="C74" s="14">
        <v>101709000</v>
      </c>
      <c r="D74" s="15" t="s">
        <v>394</v>
      </c>
      <c r="E74" s="33" t="s">
        <v>395</v>
      </c>
      <c r="F74" s="16" t="s">
        <v>396</v>
      </c>
      <c r="G74" s="10" t="s">
        <v>87</v>
      </c>
      <c r="H74" s="16" t="s">
        <v>397</v>
      </c>
      <c r="I74" s="16" t="s">
        <v>398</v>
      </c>
      <c r="J74" s="10"/>
      <c r="K74" s="10">
        <v>460</v>
      </c>
      <c r="L74" s="10">
        <f t="shared" si="12"/>
        <v>460</v>
      </c>
      <c r="M74" s="12" t="s">
        <v>91</v>
      </c>
      <c r="N74" s="12" t="s">
        <v>90</v>
      </c>
      <c r="O74" s="12" t="s">
        <v>91</v>
      </c>
      <c r="P74" s="12" t="s">
        <v>90</v>
      </c>
      <c r="Q74" s="12" t="s">
        <v>92</v>
      </c>
      <c r="R74" s="12"/>
      <c r="S74" s="12"/>
      <c r="T74" s="12"/>
      <c r="U74" s="12"/>
      <c r="V74" s="12">
        <v>9</v>
      </c>
      <c r="W74" s="12"/>
      <c r="X74" s="10">
        <f t="shared" si="13"/>
        <v>9</v>
      </c>
      <c r="Y74" s="10">
        <f t="shared" si="11"/>
        <v>9</v>
      </c>
      <c r="Z74" s="10"/>
      <c r="AA74" s="10"/>
      <c r="AB74" s="10">
        <f t="shared" si="14"/>
        <v>9</v>
      </c>
      <c r="AC74" s="10">
        <f t="shared" si="15"/>
        <v>9</v>
      </c>
      <c r="AD74" s="10"/>
      <c r="AE74" s="10"/>
      <c r="AF74" s="10"/>
      <c r="AG74" s="10"/>
      <c r="AH74" s="10">
        <f t="shared" si="16"/>
        <v>9</v>
      </c>
      <c r="AI74" s="12" t="s">
        <v>93</v>
      </c>
      <c r="AJ74" s="12">
        <v>2</v>
      </c>
      <c r="AK74" s="10" t="s">
        <v>392</v>
      </c>
      <c r="AL74" s="17"/>
      <c r="AM74" s="17"/>
      <c r="AN74" s="17"/>
      <c r="AO74" s="17"/>
      <c r="AP74" s="17"/>
      <c r="AQ74" s="17"/>
      <c r="AR74" s="17"/>
      <c r="AS74" s="17"/>
      <c r="AT74" s="17"/>
      <c r="AU74" s="17"/>
    </row>
    <row r="75" spans="1:47" ht="56.25" customHeight="1" x14ac:dyDescent="0.25">
      <c r="A75" s="12">
        <v>2281</v>
      </c>
      <c r="B75" s="13" t="s">
        <v>399</v>
      </c>
      <c r="C75" s="14">
        <v>101710000</v>
      </c>
      <c r="D75" s="15" t="s">
        <v>400</v>
      </c>
      <c r="E75" s="33" t="s">
        <v>401</v>
      </c>
      <c r="F75" s="16" t="s">
        <v>396</v>
      </c>
      <c r="G75" s="10" t="s">
        <v>87</v>
      </c>
      <c r="H75" s="16" t="s">
        <v>402</v>
      </c>
      <c r="I75" s="16" t="s">
        <v>403</v>
      </c>
      <c r="J75" s="10"/>
      <c r="K75" s="10">
        <v>920</v>
      </c>
      <c r="L75" s="10">
        <f t="shared" si="12"/>
        <v>920</v>
      </c>
      <c r="M75" s="12" t="s">
        <v>91</v>
      </c>
      <c r="N75" s="12" t="s">
        <v>90</v>
      </c>
      <c r="O75" s="12" t="s">
        <v>91</v>
      </c>
      <c r="P75" s="12" t="s">
        <v>90</v>
      </c>
      <c r="Q75" s="12" t="s">
        <v>92</v>
      </c>
      <c r="R75" s="12"/>
      <c r="S75" s="12"/>
      <c r="T75" s="12"/>
      <c r="U75" s="12"/>
      <c r="V75" s="12">
        <v>21</v>
      </c>
      <c r="W75" s="12"/>
      <c r="X75" s="10">
        <f t="shared" si="13"/>
        <v>21</v>
      </c>
      <c r="Y75" s="10">
        <f t="shared" si="11"/>
        <v>21</v>
      </c>
      <c r="Z75" s="10"/>
      <c r="AA75" s="10"/>
      <c r="AB75" s="10">
        <f t="shared" si="14"/>
        <v>21</v>
      </c>
      <c r="AC75" s="10">
        <f t="shared" si="15"/>
        <v>21</v>
      </c>
      <c r="AD75" s="10"/>
      <c r="AE75" s="10"/>
      <c r="AF75" s="10"/>
      <c r="AG75" s="10"/>
      <c r="AH75" s="10">
        <f t="shared" si="16"/>
        <v>21</v>
      </c>
      <c r="AI75" s="12" t="s">
        <v>93</v>
      </c>
      <c r="AJ75" s="12">
        <v>2</v>
      </c>
      <c r="AK75" s="10" t="s">
        <v>392</v>
      </c>
      <c r="AL75" s="17"/>
      <c r="AM75" s="17"/>
      <c r="AN75" s="17"/>
      <c r="AO75" s="17"/>
      <c r="AP75" s="17"/>
      <c r="AQ75" s="17"/>
      <c r="AR75" s="17"/>
      <c r="AS75" s="17"/>
      <c r="AT75" s="17"/>
      <c r="AU75" s="17"/>
    </row>
    <row r="76" spans="1:47" ht="56.25" customHeight="1" x14ac:dyDescent="0.25">
      <c r="A76" s="12">
        <v>2281</v>
      </c>
      <c r="B76" s="13" t="s">
        <v>404</v>
      </c>
      <c r="C76" s="14">
        <v>101707000</v>
      </c>
      <c r="D76" s="15" t="s">
        <v>405</v>
      </c>
      <c r="E76" s="33" t="s">
        <v>406</v>
      </c>
      <c r="F76" s="16" t="s">
        <v>396</v>
      </c>
      <c r="G76" s="10" t="s">
        <v>87</v>
      </c>
      <c r="H76" s="16" t="s">
        <v>407</v>
      </c>
      <c r="I76" s="16" t="s">
        <v>408</v>
      </c>
      <c r="J76" s="10"/>
      <c r="K76" s="10">
        <v>850</v>
      </c>
      <c r="L76" s="10">
        <f t="shared" si="12"/>
        <v>850</v>
      </c>
      <c r="M76" s="12" t="s">
        <v>91</v>
      </c>
      <c r="N76" s="12" t="s">
        <v>90</v>
      </c>
      <c r="O76" s="12" t="s">
        <v>91</v>
      </c>
      <c r="P76" s="12" t="s">
        <v>90</v>
      </c>
      <c r="Q76" s="12" t="s">
        <v>92</v>
      </c>
      <c r="R76" s="12"/>
      <c r="S76" s="12"/>
      <c r="T76" s="12"/>
      <c r="U76" s="12"/>
      <c r="V76" s="12">
        <v>18</v>
      </c>
      <c r="W76" s="12"/>
      <c r="X76" s="10">
        <f t="shared" si="13"/>
        <v>18</v>
      </c>
      <c r="Y76" s="10">
        <f t="shared" si="11"/>
        <v>18</v>
      </c>
      <c r="Z76" s="10"/>
      <c r="AA76" s="10"/>
      <c r="AB76" s="10">
        <f t="shared" si="14"/>
        <v>18</v>
      </c>
      <c r="AC76" s="10">
        <f t="shared" si="15"/>
        <v>18</v>
      </c>
      <c r="AD76" s="10"/>
      <c r="AE76" s="10"/>
      <c r="AF76" s="10"/>
      <c r="AG76" s="10"/>
      <c r="AH76" s="10">
        <f t="shared" si="16"/>
        <v>18</v>
      </c>
      <c r="AI76" s="12" t="s">
        <v>93</v>
      </c>
      <c r="AJ76" s="12">
        <v>2</v>
      </c>
      <c r="AK76" s="10" t="s">
        <v>392</v>
      </c>
      <c r="AL76" s="17"/>
      <c r="AM76" s="17"/>
      <c r="AN76" s="17"/>
      <c r="AO76" s="17"/>
      <c r="AP76" s="17"/>
      <c r="AQ76" s="17"/>
      <c r="AR76" s="17"/>
      <c r="AS76" s="17"/>
      <c r="AT76" s="17"/>
      <c r="AU76" s="17"/>
    </row>
    <row r="77" spans="1:47" ht="56.25" customHeight="1" x14ac:dyDescent="0.25">
      <c r="A77" s="12">
        <v>2281</v>
      </c>
      <c r="B77" s="13" t="s">
        <v>409</v>
      </c>
      <c r="C77" s="14">
        <v>101706000</v>
      </c>
      <c r="D77" s="15" t="s">
        <v>410</v>
      </c>
      <c r="E77" s="33" t="s">
        <v>411</v>
      </c>
      <c r="F77" s="16" t="s">
        <v>412</v>
      </c>
      <c r="G77" s="10" t="s">
        <v>87</v>
      </c>
      <c r="H77" s="16" t="s">
        <v>413</v>
      </c>
      <c r="I77" s="16" t="s">
        <v>414</v>
      </c>
      <c r="J77" s="10"/>
      <c r="K77" s="10">
        <v>2000</v>
      </c>
      <c r="L77" s="10">
        <f t="shared" si="12"/>
        <v>2000</v>
      </c>
      <c r="M77" s="12" t="s">
        <v>91</v>
      </c>
      <c r="N77" s="12" t="s">
        <v>90</v>
      </c>
      <c r="O77" s="12" t="s">
        <v>91</v>
      </c>
      <c r="P77" s="12" t="s">
        <v>90</v>
      </c>
      <c r="Q77" s="12" t="s">
        <v>111</v>
      </c>
      <c r="R77" s="12"/>
      <c r="S77" s="12">
        <v>28</v>
      </c>
      <c r="T77" s="12"/>
      <c r="U77" s="12"/>
      <c r="V77" s="12">
        <v>1</v>
      </c>
      <c r="W77" s="12"/>
      <c r="X77" s="10">
        <f t="shared" si="13"/>
        <v>29</v>
      </c>
      <c r="Y77" s="10">
        <f t="shared" si="11"/>
        <v>29</v>
      </c>
      <c r="Z77" s="10"/>
      <c r="AA77" s="10"/>
      <c r="AB77" s="10">
        <f t="shared" si="14"/>
        <v>29</v>
      </c>
      <c r="AC77" s="10">
        <f t="shared" si="15"/>
        <v>29</v>
      </c>
      <c r="AD77" s="10"/>
      <c r="AE77" s="10"/>
      <c r="AF77" s="10"/>
      <c r="AG77" s="10"/>
      <c r="AH77" s="10">
        <f t="shared" si="16"/>
        <v>29</v>
      </c>
      <c r="AI77" s="12" t="s">
        <v>93</v>
      </c>
      <c r="AJ77" s="12">
        <v>2</v>
      </c>
      <c r="AK77" s="10" t="s">
        <v>392</v>
      </c>
      <c r="AL77" s="17"/>
      <c r="AM77" s="17"/>
      <c r="AN77" s="17"/>
      <c r="AO77" s="17"/>
      <c r="AP77" s="17"/>
      <c r="AQ77" s="17"/>
      <c r="AR77" s="17"/>
      <c r="AS77" s="17"/>
      <c r="AT77" s="17"/>
      <c r="AU77" s="17"/>
    </row>
    <row r="78" spans="1:47" ht="56.25" customHeight="1" x14ac:dyDescent="0.25">
      <c r="A78" s="12">
        <v>2281</v>
      </c>
      <c r="B78" s="13" t="s">
        <v>415</v>
      </c>
      <c r="C78" s="14">
        <v>101713000</v>
      </c>
      <c r="D78" s="15" t="s">
        <v>416</v>
      </c>
      <c r="E78" s="33" t="s">
        <v>417</v>
      </c>
      <c r="F78" s="16" t="s">
        <v>302</v>
      </c>
      <c r="G78" s="10" t="s">
        <v>87</v>
      </c>
      <c r="H78" s="16" t="s">
        <v>418</v>
      </c>
      <c r="I78" s="16" t="s">
        <v>419</v>
      </c>
      <c r="J78" s="10"/>
      <c r="K78" s="10">
        <v>1310</v>
      </c>
      <c r="L78" s="10">
        <f t="shared" si="12"/>
        <v>1310</v>
      </c>
      <c r="M78" s="12" t="s">
        <v>90</v>
      </c>
      <c r="N78" s="12" t="s">
        <v>91</v>
      </c>
      <c r="O78" s="12" t="s">
        <v>91</v>
      </c>
      <c r="P78" s="12" t="s">
        <v>90</v>
      </c>
      <c r="Q78" s="12" t="s">
        <v>111</v>
      </c>
      <c r="R78" s="12"/>
      <c r="S78" s="12"/>
      <c r="T78" s="12"/>
      <c r="U78" s="12"/>
      <c r="V78" s="12">
        <v>28</v>
      </c>
      <c r="W78" s="12"/>
      <c r="X78" s="10">
        <f t="shared" si="13"/>
        <v>28</v>
      </c>
      <c r="Y78" s="10">
        <f t="shared" si="11"/>
        <v>28</v>
      </c>
      <c r="Z78" s="10"/>
      <c r="AA78" s="10"/>
      <c r="AB78" s="10">
        <f t="shared" si="14"/>
        <v>28</v>
      </c>
      <c r="AC78" s="10">
        <f t="shared" si="15"/>
        <v>28</v>
      </c>
      <c r="AD78" s="10"/>
      <c r="AE78" s="10"/>
      <c r="AF78" s="10"/>
      <c r="AG78" s="10"/>
      <c r="AH78" s="10">
        <f t="shared" si="16"/>
        <v>28</v>
      </c>
      <c r="AI78" s="12" t="s">
        <v>93</v>
      </c>
      <c r="AJ78" s="12">
        <v>3</v>
      </c>
      <c r="AK78" s="10"/>
      <c r="AL78" s="17"/>
      <c r="AM78" s="17"/>
      <c r="AN78" s="17"/>
      <c r="AO78" s="17"/>
      <c r="AP78" s="17"/>
      <c r="AQ78" s="17"/>
      <c r="AR78" s="17"/>
      <c r="AS78" s="17"/>
      <c r="AT78" s="17"/>
      <c r="AU78" s="17"/>
    </row>
    <row r="79" spans="1:47" ht="46.5" customHeight="1" x14ac:dyDescent="0.25">
      <c r="A79" s="12">
        <v>2282</v>
      </c>
      <c r="B79" s="13" t="s">
        <v>420</v>
      </c>
      <c r="C79" s="14">
        <v>102269000</v>
      </c>
      <c r="D79" s="15" t="s">
        <v>421</v>
      </c>
      <c r="E79" s="33" t="s">
        <v>422</v>
      </c>
      <c r="F79" s="16" t="s">
        <v>423</v>
      </c>
      <c r="G79" s="10" t="s">
        <v>87</v>
      </c>
      <c r="H79" s="16" t="s">
        <v>424</v>
      </c>
      <c r="I79" s="16" t="s">
        <v>110</v>
      </c>
      <c r="J79" s="10"/>
      <c r="K79" s="10">
        <v>550</v>
      </c>
      <c r="L79" s="10">
        <f t="shared" si="12"/>
        <v>550</v>
      </c>
      <c r="M79" s="12" t="s">
        <v>91</v>
      </c>
      <c r="N79" s="12" t="s">
        <v>90</v>
      </c>
      <c r="O79" s="12" t="s">
        <v>91</v>
      </c>
      <c r="P79" s="12" t="s">
        <v>90</v>
      </c>
      <c r="Q79" s="12" t="s">
        <v>111</v>
      </c>
      <c r="R79" s="12"/>
      <c r="S79" s="12"/>
      <c r="T79" s="12"/>
      <c r="U79" s="12"/>
      <c r="V79" s="12">
        <v>13</v>
      </c>
      <c r="W79" s="12"/>
      <c r="X79" s="10">
        <f t="shared" si="13"/>
        <v>13</v>
      </c>
      <c r="Y79" s="10">
        <f t="shared" si="11"/>
        <v>13</v>
      </c>
      <c r="Z79" s="10"/>
      <c r="AA79" s="10"/>
      <c r="AB79" s="10">
        <f t="shared" si="14"/>
        <v>13</v>
      </c>
      <c r="AC79" s="10">
        <f t="shared" si="15"/>
        <v>13</v>
      </c>
      <c r="AD79" s="10"/>
      <c r="AE79" s="10"/>
      <c r="AF79" s="10"/>
      <c r="AG79" s="10"/>
      <c r="AH79" s="10">
        <f t="shared" si="16"/>
        <v>13</v>
      </c>
      <c r="AI79" s="12" t="s">
        <v>93</v>
      </c>
      <c r="AJ79" s="12">
        <v>3</v>
      </c>
      <c r="AK79" s="10"/>
      <c r="AL79" s="17"/>
      <c r="AM79" s="17"/>
      <c r="AN79" s="17"/>
      <c r="AO79" s="17"/>
      <c r="AP79" s="17"/>
      <c r="AQ79" s="17"/>
      <c r="AR79" s="17"/>
      <c r="AS79" s="17"/>
      <c r="AT79" s="17"/>
      <c r="AU79" s="17"/>
    </row>
    <row r="80" spans="1:47" ht="45" customHeight="1" x14ac:dyDescent="0.25">
      <c r="A80" s="12">
        <v>2282</v>
      </c>
      <c r="B80" s="13" t="s">
        <v>425</v>
      </c>
      <c r="C80" s="14">
        <v>102266000</v>
      </c>
      <c r="D80" s="15"/>
      <c r="E80" s="33" t="s">
        <v>426</v>
      </c>
      <c r="F80" s="16" t="s">
        <v>427</v>
      </c>
      <c r="G80" s="10" t="s">
        <v>87</v>
      </c>
      <c r="H80" s="16" t="s">
        <v>428</v>
      </c>
      <c r="I80" s="16" t="s">
        <v>429</v>
      </c>
      <c r="J80" s="10"/>
      <c r="K80" s="10">
        <v>790</v>
      </c>
      <c r="L80" s="10">
        <f t="shared" si="12"/>
        <v>790</v>
      </c>
      <c r="M80" s="12" t="s">
        <v>91</v>
      </c>
      <c r="N80" s="12" t="s">
        <v>90</v>
      </c>
      <c r="O80" s="12" t="s">
        <v>91</v>
      </c>
      <c r="P80" s="12" t="s">
        <v>90</v>
      </c>
      <c r="Q80" s="12" t="s">
        <v>111</v>
      </c>
      <c r="R80" s="12"/>
      <c r="S80" s="12"/>
      <c r="T80" s="12"/>
      <c r="U80" s="12"/>
      <c r="V80" s="12">
        <v>19</v>
      </c>
      <c r="W80" s="12"/>
      <c r="X80" s="10">
        <f t="shared" si="13"/>
        <v>19</v>
      </c>
      <c r="Y80" s="10">
        <f t="shared" si="11"/>
        <v>19</v>
      </c>
      <c r="Z80" s="10"/>
      <c r="AA80" s="10"/>
      <c r="AB80" s="10">
        <f t="shared" si="14"/>
        <v>19</v>
      </c>
      <c r="AC80" s="10">
        <f t="shared" si="15"/>
        <v>19</v>
      </c>
      <c r="AD80" s="10"/>
      <c r="AE80" s="10"/>
      <c r="AF80" s="10"/>
      <c r="AG80" s="10"/>
      <c r="AH80" s="10">
        <f t="shared" si="16"/>
        <v>19</v>
      </c>
      <c r="AI80" s="12" t="s">
        <v>93</v>
      </c>
      <c r="AJ80" s="12">
        <v>3</v>
      </c>
      <c r="AK80" s="10"/>
      <c r="AL80" s="17"/>
      <c r="AM80" s="17"/>
      <c r="AN80" s="17"/>
      <c r="AO80" s="17"/>
      <c r="AP80" s="17"/>
      <c r="AQ80" s="17"/>
      <c r="AR80" s="17"/>
      <c r="AS80" s="17"/>
      <c r="AT80" s="17"/>
      <c r="AU80" s="17"/>
    </row>
    <row r="81" spans="1:47" ht="30" customHeight="1" x14ac:dyDescent="0.25">
      <c r="A81" s="12">
        <v>2282</v>
      </c>
      <c r="B81" s="13" t="s">
        <v>430</v>
      </c>
      <c r="C81" s="14">
        <v>101703000</v>
      </c>
      <c r="D81" s="15" t="s">
        <v>431</v>
      </c>
      <c r="E81" s="33" t="s">
        <v>432</v>
      </c>
      <c r="F81" s="16" t="s">
        <v>433</v>
      </c>
      <c r="G81" s="10" t="s">
        <v>87</v>
      </c>
      <c r="H81" s="16" t="s">
        <v>434</v>
      </c>
      <c r="I81" s="16" t="s">
        <v>435</v>
      </c>
      <c r="J81" s="10"/>
      <c r="K81" s="10">
        <v>955</v>
      </c>
      <c r="L81" s="10">
        <f t="shared" si="12"/>
        <v>955</v>
      </c>
      <c r="M81" s="12" t="s">
        <v>91</v>
      </c>
      <c r="N81" s="12" t="s">
        <v>90</v>
      </c>
      <c r="O81" s="12" t="s">
        <v>91</v>
      </c>
      <c r="P81" s="12" t="s">
        <v>90</v>
      </c>
      <c r="Q81" s="12" t="s">
        <v>111</v>
      </c>
      <c r="R81" s="12"/>
      <c r="S81" s="12">
        <v>11</v>
      </c>
      <c r="T81" s="12"/>
      <c r="U81" s="12"/>
      <c r="V81" s="12"/>
      <c r="W81" s="12"/>
      <c r="X81" s="10">
        <f t="shared" si="13"/>
        <v>11</v>
      </c>
      <c r="Y81" s="10">
        <f t="shared" si="11"/>
        <v>11</v>
      </c>
      <c r="Z81" s="10"/>
      <c r="AA81" s="10"/>
      <c r="AB81" s="10">
        <f t="shared" si="14"/>
        <v>11</v>
      </c>
      <c r="AC81" s="10">
        <f t="shared" si="15"/>
        <v>11</v>
      </c>
      <c r="AD81" s="10"/>
      <c r="AE81" s="10"/>
      <c r="AF81" s="10"/>
      <c r="AG81" s="10"/>
      <c r="AH81" s="10">
        <f t="shared" si="16"/>
        <v>11</v>
      </c>
      <c r="AI81" s="12" t="s">
        <v>93</v>
      </c>
      <c r="AJ81" s="12">
        <v>3</v>
      </c>
      <c r="AK81" s="10"/>
      <c r="AL81" s="17"/>
      <c r="AM81" s="17"/>
      <c r="AN81" s="17"/>
      <c r="AO81" s="17"/>
      <c r="AP81" s="17"/>
      <c r="AQ81" s="17"/>
      <c r="AR81" s="17"/>
      <c r="AS81" s="17"/>
      <c r="AT81" s="17"/>
      <c r="AU81" s="17"/>
    </row>
    <row r="82" spans="1:47" ht="47.25" customHeight="1" x14ac:dyDescent="0.25">
      <c r="A82" s="12">
        <v>2282</v>
      </c>
      <c r="B82" s="13" t="s">
        <v>436</v>
      </c>
      <c r="C82" s="14">
        <v>101702000</v>
      </c>
      <c r="D82" s="15" t="s">
        <v>437</v>
      </c>
      <c r="E82" s="33" t="s">
        <v>438</v>
      </c>
      <c r="F82" s="16" t="s">
        <v>439</v>
      </c>
      <c r="G82" s="10" t="s">
        <v>87</v>
      </c>
      <c r="H82" s="16" t="s">
        <v>440</v>
      </c>
      <c r="I82" s="16" t="s">
        <v>441</v>
      </c>
      <c r="J82" s="10"/>
      <c r="K82" s="10">
        <v>550</v>
      </c>
      <c r="L82" s="10">
        <f t="shared" si="12"/>
        <v>550</v>
      </c>
      <c r="M82" s="12" t="s">
        <v>91</v>
      </c>
      <c r="N82" s="12" t="s">
        <v>90</v>
      </c>
      <c r="O82" s="12" t="s">
        <v>91</v>
      </c>
      <c r="P82" s="12" t="s">
        <v>90</v>
      </c>
      <c r="Q82" s="12" t="s">
        <v>111</v>
      </c>
      <c r="R82" s="12"/>
      <c r="S82" s="12">
        <v>6</v>
      </c>
      <c r="T82" s="12"/>
      <c r="U82" s="12"/>
      <c r="V82" s="12">
        <v>6</v>
      </c>
      <c r="W82" s="12"/>
      <c r="X82" s="10">
        <f t="shared" si="13"/>
        <v>12</v>
      </c>
      <c r="Y82" s="10">
        <f t="shared" si="11"/>
        <v>12</v>
      </c>
      <c r="Z82" s="10"/>
      <c r="AA82" s="10"/>
      <c r="AB82" s="10">
        <f t="shared" si="14"/>
        <v>12</v>
      </c>
      <c r="AC82" s="10">
        <f t="shared" si="15"/>
        <v>12</v>
      </c>
      <c r="AD82" s="10"/>
      <c r="AE82" s="10"/>
      <c r="AF82" s="10"/>
      <c r="AG82" s="10"/>
      <c r="AH82" s="10">
        <f t="shared" si="16"/>
        <v>12</v>
      </c>
      <c r="AI82" s="12" t="s">
        <v>93</v>
      </c>
      <c r="AJ82" s="12">
        <v>3</v>
      </c>
      <c r="AK82" s="10"/>
      <c r="AL82" s="17"/>
      <c r="AM82" s="17"/>
      <c r="AN82" s="17"/>
      <c r="AO82" s="17"/>
      <c r="AP82" s="17"/>
      <c r="AQ82" s="17"/>
      <c r="AR82" s="17"/>
      <c r="AS82" s="17"/>
      <c r="AT82" s="17"/>
      <c r="AU82" s="17"/>
    </row>
    <row r="83" spans="1:47" ht="38.25" customHeight="1" x14ac:dyDescent="0.25">
      <c r="A83" s="12">
        <v>2282</v>
      </c>
      <c r="B83" s="13" t="s">
        <v>442</v>
      </c>
      <c r="C83" s="14">
        <v>102265000</v>
      </c>
      <c r="D83" s="15" t="s">
        <v>443</v>
      </c>
      <c r="E83" s="33" t="s">
        <v>444</v>
      </c>
      <c r="F83" s="16" t="s">
        <v>445</v>
      </c>
      <c r="G83" s="10" t="s">
        <v>87</v>
      </c>
      <c r="H83" s="16" t="s">
        <v>446</v>
      </c>
      <c r="I83" s="16" t="s">
        <v>447</v>
      </c>
      <c r="J83" s="10"/>
      <c r="K83" s="10">
        <v>900</v>
      </c>
      <c r="L83" s="10">
        <f t="shared" si="12"/>
        <v>900</v>
      </c>
      <c r="M83" s="12" t="s">
        <v>91</v>
      </c>
      <c r="N83" s="12" t="s">
        <v>90</v>
      </c>
      <c r="O83" s="12" t="s">
        <v>91</v>
      </c>
      <c r="P83" s="12" t="s">
        <v>90</v>
      </c>
      <c r="Q83" s="12" t="s">
        <v>111</v>
      </c>
      <c r="R83" s="12"/>
      <c r="S83" s="12">
        <v>8</v>
      </c>
      <c r="T83" s="12"/>
      <c r="U83" s="12"/>
      <c r="V83" s="12">
        <v>11</v>
      </c>
      <c r="W83" s="12"/>
      <c r="X83" s="10">
        <f t="shared" si="13"/>
        <v>19</v>
      </c>
      <c r="Y83" s="10">
        <f t="shared" si="11"/>
        <v>19</v>
      </c>
      <c r="Z83" s="10"/>
      <c r="AA83" s="10"/>
      <c r="AB83" s="10">
        <f t="shared" si="14"/>
        <v>19</v>
      </c>
      <c r="AC83" s="10">
        <f t="shared" si="15"/>
        <v>19</v>
      </c>
      <c r="AD83" s="10"/>
      <c r="AE83" s="10"/>
      <c r="AF83" s="10"/>
      <c r="AG83" s="10"/>
      <c r="AH83" s="10">
        <f t="shared" si="16"/>
        <v>19</v>
      </c>
      <c r="AI83" s="12" t="s">
        <v>93</v>
      </c>
      <c r="AJ83" s="12">
        <v>3</v>
      </c>
      <c r="AK83" s="10"/>
      <c r="AL83" s="17"/>
      <c r="AM83" s="17"/>
      <c r="AN83" s="17"/>
      <c r="AO83" s="17"/>
      <c r="AP83" s="17"/>
      <c r="AQ83" s="17"/>
      <c r="AR83" s="17"/>
      <c r="AS83" s="17"/>
      <c r="AT83" s="17"/>
      <c r="AU83" s="17"/>
    </row>
    <row r="84" spans="1:47" ht="30" customHeight="1" x14ac:dyDescent="0.25">
      <c r="A84" s="12">
        <v>2282</v>
      </c>
      <c r="B84" s="13" t="s">
        <v>448</v>
      </c>
      <c r="C84" s="14">
        <v>102264000</v>
      </c>
      <c r="D84" s="15" t="s">
        <v>449</v>
      </c>
      <c r="E84" s="33" t="s">
        <v>450</v>
      </c>
      <c r="F84" s="16" t="s">
        <v>451</v>
      </c>
      <c r="G84" s="10" t="s">
        <v>87</v>
      </c>
      <c r="H84" s="16" t="s">
        <v>452</v>
      </c>
      <c r="I84" s="16" t="s">
        <v>453</v>
      </c>
      <c r="J84" s="10"/>
      <c r="K84" s="10">
        <v>200</v>
      </c>
      <c r="L84" s="10">
        <f t="shared" si="12"/>
        <v>200</v>
      </c>
      <c r="M84" s="12" t="s">
        <v>91</v>
      </c>
      <c r="N84" s="12" t="s">
        <v>90</v>
      </c>
      <c r="O84" s="12" t="s">
        <v>91</v>
      </c>
      <c r="P84" s="12" t="s">
        <v>90</v>
      </c>
      <c r="Q84" s="12" t="s">
        <v>111</v>
      </c>
      <c r="R84" s="12"/>
      <c r="S84" s="12"/>
      <c r="T84" s="12"/>
      <c r="U84" s="12"/>
      <c r="V84" s="12">
        <v>6</v>
      </c>
      <c r="W84" s="12"/>
      <c r="X84" s="10">
        <f t="shared" si="13"/>
        <v>6</v>
      </c>
      <c r="Y84" s="10">
        <f t="shared" si="11"/>
        <v>6</v>
      </c>
      <c r="Z84" s="10"/>
      <c r="AA84" s="10"/>
      <c r="AB84" s="10">
        <f t="shared" si="14"/>
        <v>6</v>
      </c>
      <c r="AC84" s="10">
        <f t="shared" si="15"/>
        <v>6</v>
      </c>
      <c r="AD84" s="10"/>
      <c r="AE84" s="10"/>
      <c r="AF84" s="10"/>
      <c r="AG84" s="10"/>
      <c r="AH84" s="10">
        <f t="shared" si="16"/>
        <v>6</v>
      </c>
      <c r="AI84" s="12" t="s">
        <v>93</v>
      </c>
      <c r="AJ84" s="12">
        <v>3</v>
      </c>
      <c r="AK84" s="10"/>
      <c r="AL84" s="17"/>
      <c r="AM84" s="17"/>
      <c r="AN84" s="17"/>
      <c r="AO84" s="17"/>
      <c r="AP84" s="17"/>
      <c r="AQ84" s="17"/>
      <c r="AR84" s="17"/>
      <c r="AS84" s="17"/>
      <c r="AT84" s="17"/>
      <c r="AU84" s="17"/>
    </row>
    <row r="85" spans="1:47" ht="30" customHeight="1" x14ac:dyDescent="0.25">
      <c r="A85" s="12">
        <v>2282</v>
      </c>
      <c r="B85" s="13" t="s">
        <v>454</v>
      </c>
      <c r="C85" s="14">
        <v>101701000</v>
      </c>
      <c r="D85" s="15" t="s">
        <v>455</v>
      </c>
      <c r="E85" s="33" t="s">
        <v>456</v>
      </c>
      <c r="F85" s="16" t="s">
        <v>457</v>
      </c>
      <c r="G85" s="10" t="s">
        <v>87</v>
      </c>
      <c r="H85" s="16" t="s">
        <v>458</v>
      </c>
      <c r="I85" s="16" t="s">
        <v>459</v>
      </c>
      <c r="J85" s="10"/>
      <c r="K85" s="10">
        <v>1430</v>
      </c>
      <c r="L85" s="10">
        <f t="shared" si="12"/>
        <v>1430</v>
      </c>
      <c r="M85" s="12" t="s">
        <v>91</v>
      </c>
      <c r="N85" s="12" t="s">
        <v>90</v>
      </c>
      <c r="O85" s="12" t="s">
        <v>91</v>
      </c>
      <c r="P85" s="12" t="s">
        <v>90</v>
      </c>
      <c r="Q85" s="12" t="s">
        <v>111</v>
      </c>
      <c r="R85" s="12"/>
      <c r="S85" s="12"/>
      <c r="T85" s="12"/>
      <c r="U85" s="12"/>
      <c r="V85" s="12">
        <v>33</v>
      </c>
      <c r="W85" s="12"/>
      <c r="X85" s="10">
        <f t="shared" si="13"/>
        <v>33</v>
      </c>
      <c r="Y85" s="10">
        <f t="shared" si="11"/>
        <v>33</v>
      </c>
      <c r="Z85" s="10"/>
      <c r="AA85" s="10"/>
      <c r="AB85" s="10">
        <f t="shared" si="14"/>
        <v>33</v>
      </c>
      <c r="AC85" s="10">
        <f t="shared" si="15"/>
        <v>33</v>
      </c>
      <c r="AD85" s="10"/>
      <c r="AE85" s="10"/>
      <c r="AF85" s="10"/>
      <c r="AG85" s="10"/>
      <c r="AH85" s="10">
        <f t="shared" si="16"/>
        <v>33</v>
      </c>
      <c r="AI85" s="12" t="s">
        <v>93</v>
      </c>
      <c r="AJ85" s="12">
        <v>3</v>
      </c>
      <c r="AK85" s="10"/>
      <c r="AL85" s="17"/>
      <c r="AM85" s="17"/>
      <c r="AN85" s="17"/>
      <c r="AO85" s="17"/>
      <c r="AP85" s="17"/>
      <c r="AQ85" s="17"/>
      <c r="AR85" s="17"/>
      <c r="AS85" s="17"/>
      <c r="AT85" s="17"/>
      <c r="AU85" s="17"/>
    </row>
    <row r="86" spans="1:47" ht="30" customHeight="1" x14ac:dyDescent="0.25">
      <c r="A86" s="12">
        <v>2282</v>
      </c>
      <c r="B86" s="13" t="s">
        <v>460</v>
      </c>
      <c r="C86" s="14">
        <v>101696000</v>
      </c>
      <c r="D86" s="15" t="s">
        <v>461</v>
      </c>
      <c r="E86" s="33" t="s">
        <v>462</v>
      </c>
      <c r="F86" s="16" t="s">
        <v>463</v>
      </c>
      <c r="G86" s="10" t="s">
        <v>87</v>
      </c>
      <c r="H86" s="16" t="s">
        <v>464</v>
      </c>
      <c r="I86" s="16" t="s">
        <v>465</v>
      </c>
      <c r="J86" s="10"/>
      <c r="K86" s="10">
        <v>910</v>
      </c>
      <c r="L86" s="10">
        <f t="shared" si="12"/>
        <v>910</v>
      </c>
      <c r="M86" s="12" t="s">
        <v>91</v>
      </c>
      <c r="N86" s="12" t="s">
        <v>90</v>
      </c>
      <c r="O86" s="12" t="s">
        <v>91</v>
      </c>
      <c r="P86" s="12" t="s">
        <v>90</v>
      </c>
      <c r="Q86" s="12" t="s">
        <v>111</v>
      </c>
      <c r="R86" s="12"/>
      <c r="S86" s="12"/>
      <c r="T86" s="12"/>
      <c r="U86" s="12"/>
      <c r="V86" s="12">
        <v>20</v>
      </c>
      <c r="W86" s="12"/>
      <c r="X86" s="10">
        <f t="shared" si="13"/>
        <v>20</v>
      </c>
      <c r="Y86" s="10">
        <f t="shared" si="11"/>
        <v>20</v>
      </c>
      <c r="Z86" s="10"/>
      <c r="AA86" s="10"/>
      <c r="AB86" s="10">
        <f t="shared" si="14"/>
        <v>20</v>
      </c>
      <c r="AC86" s="10">
        <f t="shared" si="15"/>
        <v>20</v>
      </c>
      <c r="AD86" s="10"/>
      <c r="AE86" s="10"/>
      <c r="AF86" s="10"/>
      <c r="AG86" s="10"/>
      <c r="AH86" s="10">
        <f t="shared" si="16"/>
        <v>20</v>
      </c>
      <c r="AI86" s="12" t="s">
        <v>93</v>
      </c>
      <c r="AJ86" s="12">
        <v>3</v>
      </c>
      <c r="AK86" s="10"/>
      <c r="AL86" s="17"/>
      <c r="AM86" s="17"/>
      <c r="AN86" s="17"/>
      <c r="AO86" s="17"/>
      <c r="AP86" s="17"/>
      <c r="AQ86" s="17"/>
      <c r="AR86" s="17"/>
      <c r="AS86" s="17"/>
      <c r="AT86" s="17"/>
      <c r="AU86" s="17"/>
    </row>
    <row r="87" spans="1:47" ht="52.5" customHeight="1" x14ac:dyDescent="0.25">
      <c r="A87" s="12">
        <v>2282</v>
      </c>
      <c r="B87" s="13" t="s">
        <v>466</v>
      </c>
      <c r="C87" s="14">
        <v>101700000</v>
      </c>
      <c r="D87" s="15" t="s">
        <v>467</v>
      </c>
      <c r="E87" s="33" t="s">
        <v>468</v>
      </c>
      <c r="F87" s="16" t="s">
        <v>469</v>
      </c>
      <c r="G87" s="10" t="s">
        <v>87</v>
      </c>
      <c r="H87" s="16" t="s">
        <v>470</v>
      </c>
      <c r="I87" s="16" t="s">
        <v>471</v>
      </c>
      <c r="J87" s="10"/>
      <c r="K87" s="10">
        <v>810</v>
      </c>
      <c r="L87" s="10">
        <f t="shared" si="12"/>
        <v>810</v>
      </c>
      <c r="M87" s="12" t="s">
        <v>91</v>
      </c>
      <c r="N87" s="12" t="s">
        <v>90</v>
      </c>
      <c r="O87" s="12" t="s">
        <v>91</v>
      </c>
      <c r="P87" s="12" t="s">
        <v>90</v>
      </c>
      <c r="Q87" s="12" t="s">
        <v>111</v>
      </c>
      <c r="R87" s="12"/>
      <c r="S87" s="12"/>
      <c r="T87" s="12"/>
      <c r="U87" s="12"/>
      <c r="V87" s="12">
        <v>13</v>
      </c>
      <c r="W87" s="12"/>
      <c r="X87" s="10">
        <f t="shared" si="13"/>
        <v>13</v>
      </c>
      <c r="Y87" s="10">
        <f t="shared" si="11"/>
        <v>13</v>
      </c>
      <c r="Z87" s="10"/>
      <c r="AA87" s="10"/>
      <c r="AB87" s="10">
        <f t="shared" si="14"/>
        <v>13</v>
      </c>
      <c r="AC87" s="10">
        <f t="shared" si="15"/>
        <v>13</v>
      </c>
      <c r="AD87" s="10"/>
      <c r="AE87" s="10"/>
      <c r="AF87" s="10"/>
      <c r="AG87" s="10"/>
      <c r="AH87" s="10">
        <f t="shared" si="16"/>
        <v>13</v>
      </c>
      <c r="AI87" s="12" t="s">
        <v>93</v>
      </c>
      <c r="AJ87" s="12">
        <v>3</v>
      </c>
      <c r="AK87" s="10"/>
      <c r="AL87" s="17"/>
      <c r="AM87" s="17"/>
      <c r="AN87" s="17"/>
      <c r="AO87" s="17"/>
      <c r="AP87" s="17"/>
      <c r="AQ87" s="17"/>
      <c r="AR87" s="17"/>
      <c r="AS87" s="17"/>
      <c r="AT87" s="17"/>
      <c r="AU87" s="17"/>
    </row>
    <row r="88" spans="1:47" ht="30" customHeight="1" x14ac:dyDescent="0.25">
      <c r="A88" s="12">
        <v>2282</v>
      </c>
      <c r="B88" s="13" t="s">
        <v>472</v>
      </c>
      <c r="C88" s="14">
        <v>101699000</v>
      </c>
      <c r="D88" s="15" t="s">
        <v>473</v>
      </c>
      <c r="E88" s="33" t="s">
        <v>474</v>
      </c>
      <c r="F88" s="16" t="s">
        <v>475</v>
      </c>
      <c r="G88" s="10" t="s">
        <v>87</v>
      </c>
      <c r="H88" s="16" t="s">
        <v>476</v>
      </c>
      <c r="I88" s="16" t="s">
        <v>477</v>
      </c>
      <c r="J88" s="10"/>
      <c r="K88" s="10">
        <v>710</v>
      </c>
      <c r="L88" s="10">
        <f t="shared" si="12"/>
        <v>710</v>
      </c>
      <c r="M88" s="12" t="s">
        <v>91</v>
      </c>
      <c r="N88" s="12" t="s">
        <v>90</v>
      </c>
      <c r="O88" s="12" t="s">
        <v>91</v>
      </c>
      <c r="P88" s="12" t="s">
        <v>90</v>
      </c>
      <c r="Q88" s="12" t="s">
        <v>111</v>
      </c>
      <c r="R88" s="12"/>
      <c r="S88" s="12">
        <v>14</v>
      </c>
      <c r="T88" s="12"/>
      <c r="U88" s="12"/>
      <c r="V88" s="12"/>
      <c r="W88" s="12"/>
      <c r="X88" s="10">
        <f t="shared" si="13"/>
        <v>14</v>
      </c>
      <c r="Y88" s="10">
        <f t="shared" si="11"/>
        <v>14</v>
      </c>
      <c r="Z88" s="10"/>
      <c r="AA88" s="10"/>
      <c r="AB88" s="10">
        <f t="shared" si="14"/>
        <v>14</v>
      </c>
      <c r="AC88" s="10">
        <f t="shared" si="15"/>
        <v>14</v>
      </c>
      <c r="AD88" s="10"/>
      <c r="AE88" s="10"/>
      <c r="AF88" s="10"/>
      <c r="AG88" s="10"/>
      <c r="AH88" s="10">
        <f t="shared" si="16"/>
        <v>14</v>
      </c>
      <c r="AI88" s="12" t="s">
        <v>93</v>
      </c>
      <c r="AJ88" s="12">
        <v>3</v>
      </c>
      <c r="AK88" s="10"/>
      <c r="AL88" s="17"/>
      <c r="AM88" s="17"/>
      <c r="AN88" s="17"/>
      <c r="AO88" s="17"/>
      <c r="AP88" s="17"/>
      <c r="AQ88" s="17"/>
      <c r="AR88" s="17"/>
      <c r="AS88" s="17"/>
      <c r="AT88" s="17"/>
      <c r="AU88" s="17"/>
    </row>
    <row r="89" spans="1:47" ht="30" customHeight="1" x14ac:dyDescent="0.25">
      <c r="A89" s="12">
        <v>2282</v>
      </c>
      <c r="B89" s="13" t="s">
        <v>478</v>
      </c>
      <c r="C89" s="14">
        <v>101698000</v>
      </c>
      <c r="D89" s="15" t="s">
        <v>479</v>
      </c>
      <c r="E89" s="33" t="s">
        <v>480</v>
      </c>
      <c r="F89" s="16" t="s">
        <v>481</v>
      </c>
      <c r="G89" s="10" t="s">
        <v>87</v>
      </c>
      <c r="H89" s="16" t="s">
        <v>482</v>
      </c>
      <c r="I89" s="16" t="s">
        <v>483</v>
      </c>
      <c r="J89" s="10"/>
      <c r="K89" s="10">
        <v>265</v>
      </c>
      <c r="L89" s="10">
        <f t="shared" si="12"/>
        <v>265</v>
      </c>
      <c r="M89" s="12" t="s">
        <v>91</v>
      </c>
      <c r="N89" s="12" t="s">
        <v>90</v>
      </c>
      <c r="O89" s="12" t="s">
        <v>91</v>
      </c>
      <c r="P89" s="12" t="s">
        <v>90</v>
      </c>
      <c r="Q89" s="12" t="s">
        <v>111</v>
      </c>
      <c r="R89" s="12"/>
      <c r="S89" s="12"/>
      <c r="T89" s="12"/>
      <c r="U89" s="12"/>
      <c r="V89" s="12">
        <v>8</v>
      </c>
      <c r="W89" s="12"/>
      <c r="X89" s="10">
        <f t="shared" si="13"/>
        <v>8</v>
      </c>
      <c r="Y89" s="10">
        <f t="shared" si="11"/>
        <v>8</v>
      </c>
      <c r="Z89" s="10"/>
      <c r="AA89" s="10"/>
      <c r="AB89" s="10">
        <f t="shared" si="14"/>
        <v>8</v>
      </c>
      <c r="AC89" s="10">
        <f t="shared" si="15"/>
        <v>8</v>
      </c>
      <c r="AD89" s="10"/>
      <c r="AE89" s="10"/>
      <c r="AF89" s="10"/>
      <c r="AG89" s="10"/>
      <c r="AH89" s="10">
        <f t="shared" si="16"/>
        <v>8</v>
      </c>
      <c r="AI89" s="12" t="s">
        <v>93</v>
      </c>
      <c r="AJ89" s="12">
        <v>3</v>
      </c>
      <c r="AK89" s="10"/>
      <c r="AL89" s="17"/>
      <c r="AM89" s="17"/>
      <c r="AN89" s="17"/>
      <c r="AO89" s="17"/>
      <c r="AP89" s="17"/>
      <c r="AQ89" s="17"/>
      <c r="AR89" s="17"/>
      <c r="AS89" s="17"/>
      <c r="AT89" s="17"/>
      <c r="AU89" s="17"/>
    </row>
    <row r="90" spans="1:47" ht="30" customHeight="1" x14ac:dyDescent="0.25">
      <c r="A90" s="12">
        <v>2282</v>
      </c>
      <c r="B90" s="13" t="s">
        <v>484</v>
      </c>
      <c r="C90" s="14">
        <v>101697000</v>
      </c>
      <c r="D90" s="15" t="s">
        <v>485</v>
      </c>
      <c r="E90" s="33" t="s">
        <v>486</v>
      </c>
      <c r="F90" s="16" t="s">
        <v>487</v>
      </c>
      <c r="G90" s="10" t="s">
        <v>87</v>
      </c>
      <c r="H90" s="16" t="s">
        <v>488</v>
      </c>
      <c r="I90" s="16" t="s">
        <v>489</v>
      </c>
      <c r="J90" s="10"/>
      <c r="K90" s="10">
        <v>950</v>
      </c>
      <c r="L90" s="10">
        <f t="shared" si="12"/>
        <v>950</v>
      </c>
      <c r="M90" s="12" t="s">
        <v>91</v>
      </c>
      <c r="N90" s="12" t="s">
        <v>90</v>
      </c>
      <c r="O90" s="12" t="s">
        <v>91</v>
      </c>
      <c r="P90" s="12" t="s">
        <v>90</v>
      </c>
      <c r="Q90" s="12" t="s">
        <v>111</v>
      </c>
      <c r="R90" s="12"/>
      <c r="S90" s="12"/>
      <c r="T90" s="12"/>
      <c r="U90" s="12"/>
      <c r="V90" s="12">
        <v>24</v>
      </c>
      <c r="W90" s="12"/>
      <c r="X90" s="10">
        <f t="shared" si="13"/>
        <v>24</v>
      </c>
      <c r="Y90" s="10">
        <f t="shared" si="11"/>
        <v>24</v>
      </c>
      <c r="Z90" s="10"/>
      <c r="AA90" s="10"/>
      <c r="AB90" s="10">
        <f t="shared" si="14"/>
        <v>24</v>
      </c>
      <c r="AC90" s="10">
        <f t="shared" si="15"/>
        <v>24</v>
      </c>
      <c r="AD90" s="10"/>
      <c r="AE90" s="10"/>
      <c r="AF90" s="10"/>
      <c r="AG90" s="10"/>
      <c r="AH90" s="10">
        <f t="shared" si="16"/>
        <v>24</v>
      </c>
      <c r="AI90" s="12" t="s">
        <v>93</v>
      </c>
      <c r="AJ90" s="12">
        <v>3</v>
      </c>
      <c r="AK90" s="10"/>
      <c r="AL90" s="17"/>
      <c r="AM90" s="17"/>
      <c r="AN90" s="17"/>
      <c r="AO90" s="17"/>
      <c r="AP90" s="17"/>
      <c r="AQ90" s="17"/>
      <c r="AR90" s="17"/>
      <c r="AS90" s="17"/>
      <c r="AT90" s="17"/>
      <c r="AU90" s="17"/>
    </row>
    <row r="91" spans="1:47" ht="54" customHeight="1" x14ac:dyDescent="0.25">
      <c r="A91" s="12">
        <v>2283</v>
      </c>
      <c r="B91" s="13" t="s">
        <v>490</v>
      </c>
      <c r="C91" s="14">
        <v>102001000</v>
      </c>
      <c r="D91" s="15" t="s">
        <v>491</v>
      </c>
      <c r="E91" s="33" t="s">
        <v>492</v>
      </c>
      <c r="F91" s="16" t="s">
        <v>493</v>
      </c>
      <c r="G91" s="10" t="s">
        <v>87</v>
      </c>
      <c r="H91" s="16" t="s">
        <v>494</v>
      </c>
      <c r="I91" s="16" t="s">
        <v>495</v>
      </c>
      <c r="J91" s="10"/>
      <c r="K91" s="10">
        <v>848</v>
      </c>
      <c r="L91" s="10">
        <f t="shared" si="12"/>
        <v>848</v>
      </c>
      <c r="M91" s="12" t="s">
        <v>90</v>
      </c>
      <c r="N91" s="12" t="s">
        <v>91</v>
      </c>
      <c r="O91" s="12" t="s">
        <v>91</v>
      </c>
      <c r="P91" s="12" t="s">
        <v>90</v>
      </c>
      <c r="Q91" s="12" t="s">
        <v>111</v>
      </c>
      <c r="R91" s="12"/>
      <c r="S91" s="12"/>
      <c r="T91" s="12"/>
      <c r="U91" s="12"/>
      <c r="V91" s="12">
        <v>12</v>
      </c>
      <c r="W91" s="12"/>
      <c r="X91" s="10">
        <f t="shared" si="13"/>
        <v>12</v>
      </c>
      <c r="Y91" s="10">
        <f t="shared" si="11"/>
        <v>12</v>
      </c>
      <c r="Z91" s="10"/>
      <c r="AA91" s="10"/>
      <c r="AB91" s="10">
        <f t="shared" si="14"/>
        <v>12</v>
      </c>
      <c r="AC91" s="10">
        <f t="shared" si="15"/>
        <v>12</v>
      </c>
      <c r="AD91" s="10"/>
      <c r="AE91" s="10"/>
      <c r="AF91" s="10"/>
      <c r="AG91" s="10"/>
      <c r="AH91" s="10">
        <f t="shared" si="16"/>
        <v>12</v>
      </c>
      <c r="AI91" s="12" t="s">
        <v>93</v>
      </c>
      <c r="AJ91" s="12">
        <v>2</v>
      </c>
      <c r="AK91" s="10"/>
      <c r="AL91" s="17"/>
      <c r="AM91" s="17"/>
      <c r="AN91" s="17"/>
      <c r="AO91" s="17"/>
      <c r="AP91" s="17"/>
      <c r="AQ91" s="17"/>
      <c r="AR91" s="17"/>
      <c r="AS91" s="17"/>
      <c r="AT91" s="17"/>
      <c r="AU91" s="17"/>
    </row>
    <row r="92" spans="1:47" ht="30" customHeight="1" x14ac:dyDescent="0.25">
      <c r="A92" s="12">
        <v>2283</v>
      </c>
      <c r="B92" s="13" t="s">
        <v>496</v>
      </c>
      <c r="C92" s="14">
        <v>101734000</v>
      </c>
      <c r="D92" s="15" t="s">
        <v>497</v>
      </c>
      <c r="E92" s="33" t="s">
        <v>498</v>
      </c>
      <c r="F92" s="16" t="s">
        <v>493</v>
      </c>
      <c r="G92" s="10" t="s">
        <v>87</v>
      </c>
      <c r="H92" s="16" t="s">
        <v>499</v>
      </c>
      <c r="I92" s="16" t="s">
        <v>500</v>
      </c>
      <c r="J92" s="10"/>
      <c r="K92" s="10">
        <v>2264</v>
      </c>
      <c r="L92" s="10">
        <f t="shared" si="12"/>
        <v>2264</v>
      </c>
      <c r="M92" s="12" t="s">
        <v>91</v>
      </c>
      <c r="N92" s="12" t="s">
        <v>90</v>
      </c>
      <c r="O92" s="12" t="s">
        <v>91</v>
      </c>
      <c r="P92" s="12" t="s">
        <v>90</v>
      </c>
      <c r="Q92" s="12" t="s">
        <v>111</v>
      </c>
      <c r="R92" s="12"/>
      <c r="S92" s="12"/>
      <c r="T92" s="12"/>
      <c r="U92" s="12"/>
      <c r="V92" s="12">
        <v>26</v>
      </c>
      <c r="W92" s="12">
        <v>13</v>
      </c>
      <c r="X92" s="10">
        <f t="shared" si="13"/>
        <v>39</v>
      </c>
      <c r="Y92" s="10">
        <f t="shared" si="11"/>
        <v>39</v>
      </c>
      <c r="Z92" s="10"/>
      <c r="AA92" s="10"/>
      <c r="AB92" s="10">
        <f t="shared" si="14"/>
        <v>39</v>
      </c>
      <c r="AC92" s="10">
        <v>26</v>
      </c>
      <c r="AD92" s="10"/>
      <c r="AE92" s="10"/>
      <c r="AF92" s="10"/>
      <c r="AG92" s="10"/>
      <c r="AH92" s="10">
        <f t="shared" si="16"/>
        <v>26</v>
      </c>
      <c r="AI92" s="12" t="s">
        <v>185</v>
      </c>
      <c r="AJ92" s="12">
        <v>3</v>
      </c>
      <c r="AK92" s="10" t="s">
        <v>501</v>
      </c>
      <c r="AL92" s="17"/>
      <c r="AM92" s="17"/>
      <c r="AN92" s="17"/>
      <c r="AO92" s="17"/>
      <c r="AP92" s="17"/>
      <c r="AQ92" s="17"/>
      <c r="AR92" s="17"/>
      <c r="AS92" s="17"/>
      <c r="AT92" s="17"/>
      <c r="AU92" s="17"/>
    </row>
    <row r="93" spans="1:47" ht="30" customHeight="1" x14ac:dyDescent="0.25">
      <c r="A93" s="12">
        <v>2283</v>
      </c>
      <c r="B93" s="13" t="s">
        <v>502</v>
      </c>
      <c r="C93" s="14">
        <v>101730000</v>
      </c>
      <c r="D93" s="15" t="s">
        <v>503</v>
      </c>
      <c r="E93" s="33" t="s">
        <v>504</v>
      </c>
      <c r="F93" s="16" t="s">
        <v>493</v>
      </c>
      <c r="G93" s="10" t="s">
        <v>87</v>
      </c>
      <c r="H93" s="16" t="s">
        <v>505</v>
      </c>
      <c r="I93" s="16" t="s">
        <v>506</v>
      </c>
      <c r="J93" s="10"/>
      <c r="K93" s="10">
        <v>2064</v>
      </c>
      <c r="L93" s="10">
        <f t="shared" si="12"/>
        <v>2064</v>
      </c>
      <c r="M93" s="12" t="s">
        <v>90</v>
      </c>
      <c r="N93" s="12" t="s">
        <v>91</v>
      </c>
      <c r="O93" s="12" t="s">
        <v>91</v>
      </c>
      <c r="P93" s="12" t="s">
        <v>90</v>
      </c>
      <c r="Q93" s="12" t="s">
        <v>111</v>
      </c>
      <c r="R93" s="12"/>
      <c r="S93" s="12"/>
      <c r="T93" s="12"/>
      <c r="U93" s="12"/>
      <c r="V93" s="12">
        <v>30</v>
      </c>
      <c r="W93" s="12"/>
      <c r="X93" s="10">
        <f t="shared" si="13"/>
        <v>30</v>
      </c>
      <c r="Y93" s="10">
        <f t="shared" si="11"/>
        <v>30</v>
      </c>
      <c r="Z93" s="10"/>
      <c r="AA93" s="10"/>
      <c r="AB93" s="10">
        <f t="shared" si="14"/>
        <v>30</v>
      </c>
      <c r="AC93" s="10">
        <f>X93</f>
        <v>30</v>
      </c>
      <c r="AD93" s="10"/>
      <c r="AE93" s="10"/>
      <c r="AF93" s="10"/>
      <c r="AG93" s="10"/>
      <c r="AH93" s="10">
        <f t="shared" si="16"/>
        <v>30</v>
      </c>
      <c r="AI93" s="12" t="s">
        <v>185</v>
      </c>
      <c r="AJ93" s="12">
        <v>3</v>
      </c>
      <c r="AK93" s="10"/>
      <c r="AL93" s="17"/>
      <c r="AM93" s="17"/>
      <c r="AN93" s="17"/>
      <c r="AO93" s="17"/>
      <c r="AP93" s="17"/>
      <c r="AQ93" s="17"/>
      <c r="AR93" s="17"/>
      <c r="AS93" s="17"/>
      <c r="AT93" s="17"/>
      <c r="AU93" s="17"/>
    </row>
    <row r="94" spans="1:47" ht="45" customHeight="1" x14ac:dyDescent="0.25">
      <c r="A94" s="12">
        <v>2283</v>
      </c>
      <c r="B94" s="13" t="s">
        <v>507</v>
      </c>
      <c r="C94" s="14">
        <v>101733000</v>
      </c>
      <c r="D94" s="15" t="s">
        <v>508</v>
      </c>
      <c r="E94" s="33" t="s">
        <v>509</v>
      </c>
      <c r="F94" s="16" t="s">
        <v>493</v>
      </c>
      <c r="G94" s="10" t="s">
        <v>87</v>
      </c>
      <c r="H94" s="16" t="s">
        <v>510</v>
      </c>
      <c r="I94" s="16" t="s">
        <v>511</v>
      </c>
      <c r="J94" s="10"/>
      <c r="K94" s="10">
        <v>3511</v>
      </c>
      <c r="L94" s="10">
        <f t="shared" si="12"/>
        <v>3511</v>
      </c>
      <c r="M94" s="12" t="s">
        <v>91</v>
      </c>
      <c r="N94" s="12" t="s">
        <v>90</v>
      </c>
      <c r="O94" s="12" t="s">
        <v>91</v>
      </c>
      <c r="P94" s="12" t="s">
        <v>90</v>
      </c>
      <c r="Q94" s="12" t="s">
        <v>111</v>
      </c>
      <c r="R94" s="12"/>
      <c r="S94" s="12">
        <v>7</v>
      </c>
      <c r="T94" s="12"/>
      <c r="U94" s="12"/>
      <c r="V94" s="12">
        <v>46</v>
      </c>
      <c r="W94" s="12">
        <v>8</v>
      </c>
      <c r="X94" s="10">
        <f t="shared" si="13"/>
        <v>61</v>
      </c>
      <c r="Y94" s="10">
        <f t="shared" si="11"/>
        <v>61</v>
      </c>
      <c r="Z94" s="10"/>
      <c r="AA94" s="10"/>
      <c r="AB94" s="10">
        <f t="shared" si="14"/>
        <v>61</v>
      </c>
      <c r="AC94" s="10">
        <v>55</v>
      </c>
      <c r="AD94" s="10"/>
      <c r="AE94" s="10"/>
      <c r="AF94" s="10"/>
      <c r="AG94" s="10"/>
      <c r="AH94" s="10">
        <f t="shared" si="16"/>
        <v>55</v>
      </c>
      <c r="AI94" s="12" t="s">
        <v>185</v>
      </c>
      <c r="AJ94" s="12">
        <v>3</v>
      </c>
      <c r="AK94" s="10" t="s">
        <v>512</v>
      </c>
      <c r="AL94" s="17"/>
      <c r="AM94" s="17"/>
      <c r="AN94" s="17"/>
      <c r="AO94" s="17"/>
      <c r="AP94" s="17"/>
      <c r="AQ94" s="17"/>
      <c r="AR94" s="17"/>
      <c r="AS94" s="17"/>
      <c r="AT94" s="17"/>
      <c r="AU94" s="17"/>
    </row>
    <row r="95" spans="1:47" ht="46.5" customHeight="1" x14ac:dyDescent="0.25">
      <c r="A95" s="12">
        <v>2283</v>
      </c>
      <c r="B95" s="13" t="s">
        <v>513</v>
      </c>
      <c r="C95" s="14">
        <v>101718000</v>
      </c>
      <c r="D95" s="15" t="s">
        <v>514</v>
      </c>
      <c r="E95" s="33" t="s">
        <v>515</v>
      </c>
      <c r="F95" s="16" t="s">
        <v>493</v>
      </c>
      <c r="G95" s="10" t="s">
        <v>87</v>
      </c>
      <c r="H95" s="16" t="s">
        <v>516</v>
      </c>
      <c r="I95" s="16" t="s">
        <v>517</v>
      </c>
      <c r="J95" s="10"/>
      <c r="K95" s="10">
        <v>2450</v>
      </c>
      <c r="L95" s="10">
        <f t="shared" si="12"/>
        <v>2450</v>
      </c>
      <c r="M95" s="12" t="s">
        <v>91</v>
      </c>
      <c r="N95" s="12" t="s">
        <v>90</v>
      </c>
      <c r="O95" s="12" t="s">
        <v>91</v>
      </c>
      <c r="P95" s="12" t="s">
        <v>90</v>
      </c>
      <c r="Q95" s="12" t="s">
        <v>111</v>
      </c>
      <c r="R95" s="12"/>
      <c r="S95" s="12"/>
      <c r="T95" s="12"/>
      <c r="U95" s="12"/>
      <c r="V95" s="12">
        <v>39</v>
      </c>
      <c r="W95" s="12"/>
      <c r="X95" s="10">
        <f t="shared" si="13"/>
        <v>39</v>
      </c>
      <c r="Y95" s="10">
        <f t="shared" si="11"/>
        <v>39</v>
      </c>
      <c r="Z95" s="10"/>
      <c r="AA95" s="10"/>
      <c r="AB95" s="10">
        <f t="shared" si="14"/>
        <v>39</v>
      </c>
      <c r="AC95" s="10">
        <f>X95</f>
        <v>39</v>
      </c>
      <c r="AD95" s="10"/>
      <c r="AE95" s="10"/>
      <c r="AF95" s="10"/>
      <c r="AG95" s="10"/>
      <c r="AH95" s="10">
        <f t="shared" si="16"/>
        <v>39</v>
      </c>
      <c r="AI95" s="12" t="s">
        <v>93</v>
      </c>
      <c r="AJ95" s="12">
        <v>3</v>
      </c>
      <c r="AK95" s="10"/>
      <c r="AL95" s="17"/>
      <c r="AM95" s="17"/>
      <c r="AN95" s="17"/>
      <c r="AO95" s="17"/>
      <c r="AP95" s="17"/>
      <c r="AQ95" s="17"/>
      <c r="AR95" s="17"/>
      <c r="AS95" s="17"/>
      <c r="AT95" s="17"/>
      <c r="AU95" s="17"/>
    </row>
    <row r="96" spans="1:47" ht="30" customHeight="1" x14ac:dyDescent="0.25">
      <c r="A96" s="12">
        <v>2283</v>
      </c>
      <c r="B96" s="13" t="s">
        <v>322</v>
      </c>
      <c r="C96" s="14">
        <v>101735000</v>
      </c>
      <c r="D96" s="15"/>
      <c r="E96" s="15"/>
      <c r="F96" s="16" t="s">
        <v>493</v>
      </c>
      <c r="G96" s="10" t="s">
        <v>87</v>
      </c>
      <c r="H96" s="16" t="s">
        <v>518</v>
      </c>
      <c r="I96" s="16" t="s">
        <v>519</v>
      </c>
      <c r="J96" s="10"/>
      <c r="K96" s="10">
        <v>494</v>
      </c>
      <c r="L96" s="10">
        <f t="shared" si="12"/>
        <v>494</v>
      </c>
      <c r="M96" s="12" t="s">
        <v>91</v>
      </c>
      <c r="N96" s="12" t="s">
        <v>90</v>
      </c>
      <c r="O96" s="12" t="s">
        <v>91</v>
      </c>
      <c r="P96" s="12" t="s">
        <v>90</v>
      </c>
      <c r="Q96" s="12" t="s">
        <v>111</v>
      </c>
      <c r="R96" s="12"/>
      <c r="S96" s="12">
        <v>3</v>
      </c>
      <c r="T96" s="12"/>
      <c r="U96" s="12"/>
      <c r="V96" s="12">
        <v>6</v>
      </c>
      <c r="W96" s="12"/>
      <c r="X96" s="10">
        <f t="shared" si="13"/>
        <v>9</v>
      </c>
      <c r="Y96" s="10">
        <v>8</v>
      </c>
      <c r="Z96" s="10"/>
      <c r="AA96" s="10"/>
      <c r="AB96" s="10">
        <f t="shared" si="14"/>
        <v>8</v>
      </c>
      <c r="AC96" s="10">
        <f>X96</f>
        <v>9</v>
      </c>
      <c r="AD96" s="10"/>
      <c r="AE96" s="10"/>
      <c r="AF96" s="10"/>
      <c r="AG96" s="10"/>
      <c r="AH96" s="10">
        <f t="shared" si="16"/>
        <v>9</v>
      </c>
      <c r="AI96" s="12" t="s">
        <v>93</v>
      </c>
      <c r="AJ96" s="12">
        <v>3</v>
      </c>
      <c r="AK96" s="10" t="s">
        <v>520</v>
      </c>
      <c r="AL96" s="17"/>
      <c r="AM96" s="17"/>
      <c r="AN96" s="17"/>
      <c r="AO96" s="17"/>
      <c r="AP96" s="17"/>
      <c r="AQ96" s="17"/>
      <c r="AR96" s="17"/>
      <c r="AS96" s="17"/>
      <c r="AT96" s="17"/>
      <c r="AU96" s="17"/>
    </row>
    <row r="97" spans="1:47" ht="15.75" customHeight="1" x14ac:dyDescent="0.25">
      <c r="A97" s="34"/>
      <c r="B97" s="35"/>
      <c r="C97" s="36"/>
      <c r="D97" s="37"/>
      <c r="E97" s="38"/>
      <c r="F97" s="39"/>
      <c r="G97" s="17"/>
      <c r="H97" s="39"/>
      <c r="I97" s="34"/>
      <c r="J97" s="40"/>
      <c r="K97" s="34"/>
      <c r="L97" s="34"/>
      <c r="M97" s="40"/>
      <c r="N97" s="34"/>
      <c r="O97" s="40"/>
      <c r="P97" s="34"/>
      <c r="Q97" s="34"/>
      <c r="R97" s="40"/>
      <c r="S97" s="40"/>
      <c r="T97" s="34"/>
      <c r="U97" s="40"/>
      <c r="V97" s="34"/>
      <c r="W97" s="40"/>
      <c r="X97" s="34"/>
      <c r="Y97" s="34"/>
      <c r="Z97" s="40"/>
      <c r="AA97" s="40"/>
      <c r="AB97" s="34"/>
      <c r="AC97" s="34"/>
      <c r="AD97" s="40"/>
      <c r="AE97" s="40"/>
      <c r="AF97" s="40"/>
      <c r="AG97" s="40"/>
      <c r="AH97" s="34"/>
      <c r="AI97" s="34"/>
      <c r="AJ97" s="34"/>
      <c r="AK97" s="40"/>
      <c r="AL97" s="34"/>
      <c r="AM97" s="40"/>
      <c r="AN97" s="40"/>
      <c r="AO97" s="40"/>
      <c r="AP97" s="40"/>
      <c r="AQ97" s="40"/>
      <c r="AR97" s="40"/>
      <c r="AS97" s="40"/>
      <c r="AT97" s="40"/>
      <c r="AU97" s="40"/>
    </row>
    <row r="98" spans="1:47" ht="15.75" customHeight="1" x14ac:dyDescent="0.25">
      <c r="A98" s="34"/>
      <c r="B98" s="35"/>
      <c r="C98" s="36"/>
      <c r="D98" s="37"/>
      <c r="E98" s="38"/>
      <c r="F98" s="39"/>
      <c r="G98" s="17"/>
      <c r="H98" s="39"/>
      <c r="I98" s="34"/>
      <c r="J98" s="40"/>
      <c r="K98" s="34"/>
      <c r="L98" s="34"/>
      <c r="M98" s="40"/>
      <c r="N98" s="34"/>
      <c r="O98" s="40"/>
      <c r="P98" s="34"/>
      <c r="Q98" s="34"/>
      <c r="R98" s="40"/>
      <c r="S98" s="40"/>
      <c r="T98" s="34"/>
      <c r="U98" s="40"/>
      <c r="V98" s="34"/>
      <c r="W98" s="40"/>
      <c r="X98" s="34"/>
      <c r="Y98" s="34"/>
      <c r="Z98" s="40"/>
      <c r="AA98" s="40"/>
      <c r="AB98" s="34"/>
      <c r="AC98" s="34"/>
      <c r="AD98" s="40"/>
      <c r="AE98" s="40"/>
      <c r="AF98" s="40"/>
      <c r="AG98" s="40"/>
      <c r="AH98" s="34"/>
      <c r="AI98" s="34"/>
      <c r="AJ98" s="34"/>
      <c r="AK98" s="40"/>
      <c r="AL98" s="34"/>
      <c r="AM98" s="40"/>
      <c r="AN98" s="40"/>
      <c r="AO98" s="40"/>
      <c r="AP98" s="40"/>
      <c r="AQ98" s="40"/>
      <c r="AR98" s="40"/>
      <c r="AS98" s="40"/>
      <c r="AT98" s="40"/>
      <c r="AU98" s="40"/>
    </row>
    <row r="99" spans="1:47" ht="15.75" customHeight="1" x14ac:dyDescent="0.25">
      <c r="A99" s="34"/>
      <c r="B99" s="35"/>
      <c r="C99" s="36"/>
      <c r="D99" s="37"/>
      <c r="E99" s="38"/>
      <c r="F99" s="39"/>
      <c r="G99" s="17"/>
      <c r="H99" s="39"/>
      <c r="I99" s="34"/>
      <c r="J99" s="40"/>
      <c r="K99" s="34"/>
      <c r="L99" s="34"/>
      <c r="M99" s="40"/>
      <c r="N99" s="34"/>
      <c r="O99" s="40"/>
      <c r="P99" s="34"/>
      <c r="Q99" s="34"/>
      <c r="R99" s="40"/>
      <c r="S99" s="40"/>
      <c r="T99" s="34"/>
      <c r="U99" s="40"/>
      <c r="V99" s="34"/>
      <c r="W99" s="40"/>
      <c r="X99" s="34"/>
      <c r="Y99" s="34"/>
      <c r="Z99" s="40"/>
      <c r="AA99" s="40"/>
      <c r="AB99" s="34"/>
      <c r="AC99" s="34"/>
      <c r="AD99" s="40"/>
      <c r="AE99" s="40"/>
      <c r="AF99" s="40"/>
      <c r="AG99" s="40"/>
      <c r="AH99" s="34"/>
      <c r="AI99" s="34"/>
      <c r="AJ99" s="34"/>
      <c r="AK99" s="40"/>
      <c r="AL99" s="34"/>
      <c r="AM99" s="40"/>
      <c r="AN99" s="40"/>
      <c r="AO99" s="40"/>
      <c r="AP99" s="40"/>
      <c r="AQ99" s="40"/>
      <c r="AR99" s="40"/>
      <c r="AS99" s="40"/>
      <c r="AT99" s="40"/>
      <c r="AU99" s="40"/>
    </row>
    <row r="100" spans="1:47" ht="15.75" customHeight="1" x14ac:dyDescent="0.25">
      <c r="A100" s="34"/>
      <c r="B100" s="35"/>
      <c r="C100" s="36"/>
      <c r="D100" s="37"/>
      <c r="E100" s="38"/>
      <c r="F100" s="39"/>
      <c r="G100" s="17"/>
      <c r="H100" s="39"/>
      <c r="I100" s="34"/>
      <c r="J100" s="40"/>
      <c r="K100" s="34"/>
      <c r="L100" s="34"/>
      <c r="M100" s="40"/>
      <c r="N100" s="34"/>
      <c r="O100" s="40"/>
      <c r="P100" s="34"/>
      <c r="Q100" s="34"/>
      <c r="R100" s="40"/>
      <c r="S100" s="40"/>
      <c r="T100" s="34"/>
      <c r="U100" s="40"/>
      <c r="V100" s="34"/>
      <c r="W100" s="40"/>
      <c r="X100" s="34"/>
      <c r="Y100" s="34"/>
      <c r="Z100" s="40"/>
      <c r="AA100" s="40"/>
      <c r="AB100" s="34"/>
      <c r="AC100" s="34"/>
      <c r="AD100" s="40"/>
      <c r="AE100" s="40"/>
      <c r="AF100" s="40"/>
      <c r="AG100" s="40"/>
      <c r="AH100" s="34"/>
      <c r="AI100" s="34"/>
      <c r="AJ100" s="34"/>
      <c r="AK100" s="40"/>
      <c r="AL100" s="34"/>
      <c r="AM100" s="40"/>
      <c r="AN100" s="40"/>
      <c r="AO100" s="40"/>
      <c r="AP100" s="40"/>
      <c r="AQ100" s="40"/>
      <c r="AR100" s="40"/>
      <c r="AS100" s="40"/>
      <c r="AT100" s="40"/>
      <c r="AU100" s="40"/>
    </row>
    <row r="101" spans="1:47" ht="15.75" customHeight="1" x14ac:dyDescent="0.25">
      <c r="A101" s="34"/>
      <c r="B101" s="35"/>
      <c r="C101" s="36"/>
      <c r="D101" s="37"/>
      <c r="E101" s="38"/>
      <c r="F101" s="39"/>
      <c r="G101" s="17"/>
      <c r="H101" s="39"/>
      <c r="I101" s="34"/>
      <c r="J101" s="40"/>
      <c r="K101" s="34"/>
      <c r="L101" s="34"/>
      <c r="M101" s="40"/>
      <c r="N101" s="34"/>
      <c r="O101" s="40"/>
      <c r="P101" s="34"/>
      <c r="Q101" s="34"/>
      <c r="R101" s="40"/>
      <c r="S101" s="40"/>
      <c r="T101" s="34"/>
      <c r="U101" s="40"/>
      <c r="V101" s="34"/>
      <c r="W101" s="40"/>
      <c r="X101" s="34"/>
      <c r="Y101" s="34"/>
      <c r="Z101" s="40"/>
      <c r="AA101" s="40"/>
      <c r="AB101" s="34"/>
      <c r="AC101" s="34"/>
      <c r="AD101" s="40"/>
      <c r="AE101" s="40"/>
      <c r="AF101" s="40"/>
      <c r="AG101" s="40"/>
      <c r="AH101" s="34"/>
      <c r="AI101" s="34"/>
      <c r="AJ101" s="34"/>
      <c r="AK101" s="40"/>
      <c r="AL101" s="34"/>
      <c r="AM101" s="40"/>
      <c r="AN101" s="40"/>
      <c r="AO101" s="40"/>
      <c r="AP101" s="40"/>
      <c r="AQ101" s="40"/>
      <c r="AR101" s="40"/>
      <c r="AS101" s="40"/>
      <c r="AT101" s="40"/>
      <c r="AU101" s="40"/>
    </row>
    <row r="102" spans="1:47" ht="15.75" customHeight="1" x14ac:dyDescent="0.25">
      <c r="A102" s="34"/>
      <c r="B102" s="35"/>
      <c r="C102" s="36"/>
      <c r="D102" s="37"/>
      <c r="E102" s="38"/>
      <c r="F102" s="39"/>
      <c r="G102" s="17"/>
      <c r="H102" s="39"/>
      <c r="I102" s="34"/>
      <c r="J102" s="40"/>
      <c r="K102" s="34"/>
      <c r="L102" s="34"/>
      <c r="M102" s="40"/>
      <c r="N102" s="34"/>
      <c r="O102" s="40"/>
      <c r="P102" s="34"/>
      <c r="Q102" s="34"/>
      <c r="R102" s="40"/>
      <c r="S102" s="40"/>
      <c r="T102" s="34"/>
      <c r="U102" s="40"/>
      <c r="V102" s="34"/>
      <c r="W102" s="40"/>
      <c r="X102" s="34"/>
      <c r="Y102" s="34"/>
      <c r="Z102" s="40"/>
      <c r="AA102" s="40"/>
      <c r="AB102" s="34"/>
      <c r="AC102" s="34"/>
      <c r="AD102" s="40"/>
      <c r="AE102" s="40"/>
      <c r="AF102" s="40"/>
      <c r="AG102" s="40"/>
      <c r="AH102" s="34"/>
      <c r="AI102" s="34"/>
      <c r="AJ102" s="34"/>
      <c r="AK102" s="40"/>
      <c r="AL102" s="34"/>
      <c r="AM102" s="40"/>
      <c r="AN102" s="40"/>
      <c r="AO102" s="40"/>
      <c r="AP102" s="40"/>
      <c r="AQ102" s="40"/>
      <c r="AR102" s="40"/>
      <c r="AS102" s="40"/>
      <c r="AT102" s="40"/>
      <c r="AU102" s="40"/>
    </row>
    <row r="103" spans="1:47" ht="15.75" customHeight="1" x14ac:dyDescent="0.25">
      <c r="A103" s="34"/>
      <c r="B103" s="35"/>
      <c r="C103" s="36"/>
      <c r="D103" s="37"/>
      <c r="E103" s="38"/>
      <c r="F103" s="39"/>
      <c r="G103" s="17"/>
      <c r="H103" s="39"/>
      <c r="I103" s="34"/>
      <c r="J103" s="40"/>
      <c r="K103" s="34"/>
      <c r="L103" s="34"/>
      <c r="M103" s="40"/>
      <c r="N103" s="34"/>
      <c r="O103" s="40"/>
      <c r="P103" s="34"/>
      <c r="Q103" s="34"/>
      <c r="R103" s="40"/>
      <c r="S103" s="40"/>
      <c r="T103" s="34"/>
      <c r="U103" s="40"/>
      <c r="V103" s="34"/>
      <c r="W103" s="40"/>
      <c r="X103" s="34"/>
      <c r="Y103" s="34"/>
      <c r="Z103" s="40"/>
      <c r="AA103" s="40"/>
      <c r="AB103" s="34"/>
      <c r="AC103" s="34"/>
      <c r="AD103" s="40"/>
      <c r="AE103" s="40"/>
      <c r="AF103" s="40"/>
      <c r="AG103" s="40"/>
      <c r="AH103" s="34"/>
      <c r="AI103" s="34"/>
      <c r="AJ103" s="34"/>
      <c r="AK103" s="40"/>
      <c r="AL103" s="34"/>
      <c r="AM103" s="40"/>
      <c r="AN103" s="40"/>
      <c r="AO103" s="40"/>
      <c r="AP103" s="40"/>
      <c r="AQ103" s="40"/>
      <c r="AR103" s="40"/>
      <c r="AS103" s="40"/>
      <c r="AT103" s="40"/>
      <c r="AU103" s="40"/>
    </row>
    <row r="104" spans="1:47" ht="15.75" customHeight="1" x14ac:dyDescent="0.25">
      <c r="A104" s="34"/>
      <c r="B104" s="35"/>
      <c r="C104" s="36"/>
      <c r="D104" s="37"/>
      <c r="E104" s="38"/>
      <c r="F104" s="39"/>
      <c r="G104" s="17"/>
      <c r="H104" s="39"/>
      <c r="I104" s="34"/>
      <c r="J104" s="40"/>
      <c r="K104" s="34"/>
      <c r="L104" s="34"/>
      <c r="M104" s="40"/>
      <c r="N104" s="34"/>
      <c r="O104" s="40"/>
      <c r="P104" s="34"/>
      <c r="Q104" s="34"/>
      <c r="R104" s="40"/>
      <c r="S104" s="40"/>
      <c r="T104" s="34"/>
      <c r="U104" s="40"/>
      <c r="V104" s="34"/>
      <c r="W104" s="40"/>
      <c r="X104" s="34"/>
      <c r="Y104" s="34"/>
      <c r="Z104" s="40"/>
      <c r="AA104" s="40"/>
      <c r="AB104" s="34"/>
      <c r="AC104" s="34"/>
      <c r="AD104" s="40"/>
      <c r="AE104" s="40"/>
      <c r="AF104" s="40"/>
      <c r="AG104" s="40"/>
      <c r="AH104" s="34"/>
      <c r="AI104" s="34"/>
      <c r="AJ104" s="34"/>
      <c r="AK104" s="40"/>
      <c r="AL104" s="34"/>
      <c r="AM104" s="40"/>
      <c r="AN104" s="40"/>
      <c r="AO104" s="40"/>
      <c r="AP104" s="40"/>
      <c r="AQ104" s="40"/>
      <c r="AR104" s="40"/>
      <c r="AS104" s="40"/>
      <c r="AT104" s="40"/>
      <c r="AU104" s="40"/>
    </row>
    <row r="105" spans="1:47" ht="15.75" customHeight="1" x14ac:dyDescent="0.25">
      <c r="A105" s="34"/>
      <c r="B105" s="35"/>
      <c r="C105" s="36"/>
      <c r="D105" s="37"/>
      <c r="E105" s="38"/>
      <c r="F105" s="39"/>
      <c r="G105" s="17"/>
      <c r="H105" s="39"/>
      <c r="I105" s="34"/>
      <c r="J105" s="40"/>
      <c r="K105" s="34"/>
      <c r="L105" s="34"/>
      <c r="M105" s="40"/>
      <c r="N105" s="34"/>
      <c r="O105" s="40"/>
      <c r="P105" s="34"/>
      <c r="Q105" s="34"/>
      <c r="R105" s="40"/>
      <c r="S105" s="40"/>
      <c r="T105" s="34"/>
      <c r="U105" s="40"/>
      <c r="V105" s="34"/>
      <c r="W105" s="40"/>
      <c r="X105" s="34"/>
      <c r="Y105" s="34"/>
      <c r="Z105" s="40"/>
      <c r="AA105" s="40"/>
      <c r="AB105" s="34"/>
      <c r="AC105" s="34"/>
      <c r="AD105" s="40"/>
      <c r="AE105" s="40"/>
      <c r="AF105" s="40"/>
      <c r="AG105" s="40"/>
      <c r="AH105" s="34"/>
      <c r="AI105" s="34"/>
      <c r="AJ105" s="34"/>
      <c r="AK105" s="40"/>
      <c r="AL105" s="34"/>
      <c r="AM105" s="40"/>
      <c r="AN105" s="40"/>
      <c r="AO105" s="40"/>
      <c r="AP105" s="40"/>
      <c r="AQ105" s="40"/>
      <c r="AR105" s="40"/>
      <c r="AS105" s="40"/>
      <c r="AT105" s="40"/>
      <c r="AU105" s="40"/>
    </row>
    <row r="106" spans="1:47" ht="15.75" customHeight="1" x14ac:dyDescent="0.25">
      <c r="A106" s="34"/>
      <c r="B106" s="35"/>
      <c r="C106" s="36"/>
      <c r="D106" s="37"/>
      <c r="E106" s="38"/>
      <c r="F106" s="39"/>
      <c r="G106" s="17"/>
      <c r="H106" s="39"/>
      <c r="I106" s="34"/>
      <c r="J106" s="40"/>
      <c r="K106" s="34"/>
      <c r="L106" s="34"/>
      <c r="M106" s="40"/>
      <c r="N106" s="34"/>
      <c r="O106" s="40"/>
      <c r="P106" s="34"/>
      <c r="Q106" s="34"/>
      <c r="R106" s="40"/>
      <c r="S106" s="40"/>
      <c r="T106" s="34"/>
      <c r="U106" s="40"/>
      <c r="V106" s="34"/>
      <c r="W106" s="40"/>
      <c r="X106" s="34"/>
      <c r="Y106" s="34"/>
      <c r="Z106" s="40"/>
      <c r="AA106" s="40"/>
      <c r="AB106" s="34"/>
      <c r="AC106" s="34"/>
      <c r="AD106" s="40"/>
      <c r="AE106" s="40"/>
      <c r="AF106" s="40"/>
      <c r="AG106" s="40"/>
      <c r="AH106" s="34"/>
      <c r="AI106" s="34"/>
      <c r="AJ106" s="34"/>
      <c r="AK106" s="40"/>
      <c r="AL106" s="34"/>
      <c r="AM106" s="40"/>
      <c r="AN106" s="40"/>
      <c r="AO106" s="40"/>
      <c r="AP106" s="40"/>
      <c r="AQ106" s="40"/>
      <c r="AR106" s="40"/>
      <c r="AS106" s="40"/>
      <c r="AT106" s="40"/>
      <c r="AU106" s="40"/>
    </row>
    <row r="107" spans="1:47" ht="15.75" customHeight="1" x14ac:dyDescent="0.25">
      <c r="A107" s="34"/>
      <c r="B107" s="35"/>
      <c r="C107" s="36"/>
      <c r="D107" s="37"/>
      <c r="E107" s="38"/>
      <c r="F107" s="39"/>
      <c r="G107" s="17"/>
      <c r="H107" s="39"/>
      <c r="I107" s="34"/>
      <c r="J107" s="40"/>
      <c r="K107" s="34"/>
      <c r="L107" s="34"/>
      <c r="M107" s="40"/>
      <c r="N107" s="34"/>
      <c r="O107" s="40"/>
      <c r="P107" s="34"/>
      <c r="Q107" s="34"/>
      <c r="R107" s="40"/>
      <c r="S107" s="40"/>
      <c r="T107" s="34"/>
      <c r="U107" s="40"/>
      <c r="V107" s="34"/>
      <c r="W107" s="40"/>
      <c r="X107" s="34"/>
      <c r="Y107" s="34"/>
      <c r="Z107" s="40"/>
      <c r="AA107" s="40"/>
      <c r="AB107" s="34"/>
      <c r="AC107" s="34"/>
      <c r="AD107" s="40"/>
      <c r="AE107" s="40"/>
      <c r="AF107" s="40"/>
      <c r="AG107" s="40"/>
      <c r="AH107" s="34"/>
      <c r="AI107" s="34"/>
      <c r="AJ107" s="34"/>
      <c r="AK107" s="40"/>
      <c r="AL107" s="34"/>
      <c r="AM107" s="40"/>
      <c r="AN107" s="40"/>
      <c r="AO107" s="40"/>
      <c r="AP107" s="40"/>
      <c r="AQ107" s="40"/>
      <c r="AR107" s="40"/>
      <c r="AS107" s="40"/>
      <c r="AT107" s="40"/>
      <c r="AU107" s="40"/>
    </row>
    <row r="108" spans="1:47" ht="15.75" customHeight="1" x14ac:dyDescent="0.25">
      <c r="A108" s="34"/>
      <c r="B108" s="35"/>
      <c r="C108" s="36"/>
      <c r="D108" s="37"/>
      <c r="E108" s="38"/>
      <c r="F108" s="39"/>
      <c r="G108" s="17"/>
      <c r="H108" s="39"/>
      <c r="I108" s="34"/>
      <c r="J108" s="40"/>
      <c r="K108" s="34"/>
      <c r="L108" s="34"/>
      <c r="M108" s="40"/>
      <c r="N108" s="34"/>
      <c r="O108" s="40"/>
      <c r="P108" s="34"/>
      <c r="Q108" s="34"/>
      <c r="R108" s="40"/>
      <c r="S108" s="40"/>
      <c r="T108" s="34"/>
      <c r="U108" s="40"/>
      <c r="V108" s="34"/>
      <c r="W108" s="40"/>
      <c r="X108" s="34"/>
      <c r="Y108" s="34"/>
      <c r="Z108" s="40"/>
      <c r="AA108" s="40"/>
      <c r="AB108" s="34"/>
      <c r="AC108" s="34"/>
      <c r="AD108" s="40"/>
      <c r="AE108" s="40"/>
      <c r="AF108" s="40"/>
      <c r="AG108" s="40"/>
      <c r="AH108" s="34"/>
      <c r="AI108" s="34"/>
      <c r="AJ108" s="34"/>
      <c r="AK108" s="40"/>
      <c r="AL108" s="34"/>
      <c r="AM108" s="40"/>
      <c r="AN108" s="40"/>
      <c r="AO108" s="40"/>
      <c r="AP108" s="40"/>
      <c r="AQ108" s="40"/>
      <c r="AR108" s="40"/>
      <c r="AS108" s="40"/>
      <c r="AT108" s="40"/>
      <c r="AU108" s="40"/>
    </row>
    <row r="109" spans="1:47" ht="15.75" customHeight="1" x14ac:dyDescent="0.25">
      <c r="A109" s="34"/>
      <c r="B109" s="35"/>
      <c r="C109" s="36"/>
      <c r="D109" s="37"/>
      <c r="E109" s="38"/>
      <c r="F109" s="39"/>
      <c r="G109" s="17"/>
      <c r="H109" s="39"/>
      <c r="I109" s="34"/>
      <c r="J109" s="40"/>
      <c r="K109" s="34"/>
      <c r="L109" s="34"/>
      <c r="M109" s="40"/>
      <c r="N109" s="34"/>
      <c r="O109" s="40"/>
      <c r="P109" s="34"/>
      <c r="Q109" s="34"/>
      <c r="R109" s="40"/>
      <c r="S109" s="40"/>
      <c r="T109" s="34"/>
      <c r="U109" s="40"/>
      <c r="V109" s="34"/>
      <c r="W109" s="40"/>
      <c r="X109" s="34"/>
      <c r="Y109" s="34"/>
      <c r="Z109" s="40"/>
      <c r="AA109" s="40"/>
      <c r="AB109" s="34"/>
      <c r="AC109" s="34"/>
      <c r="AD109" s="40"/>
      <c r="AE109" s="40"/>
      <c r="AF109" s="40"/>
      <c r="AG109" s="40"/>
      <c r="AH109" s="34"/>
      <c r="AI109" s="34"/>
      <c r="AJ109" s="34"/>
      <c r="AK109" s="40"/>
      <c r="AL109" s="34"/>
      <c r="AM109" s="40"/>
      <c r="AN109" s="40"/>
      <c r="AO109" s="40"/>
      <c r="AP109" s="40"/>
      <c r="AQ109" s="40"/>
      <c r="AR109" s="40"/>
      <c r="AS109" s="40"/>
      <c r="AT109" s="40"/>
      <c r="AU109" s="40"/>
    </row>
    <row r="110" spans="1:47" ht="15.75" customHeight="1" x14ac:dyDescent="0.25">
      <c r="A110" s="34"/>
      <c r="B110" s="35"/>
      <c r="C110" s="36"/>
      <c r="D110" s="37"/>
      <c r="E110" s="38"/>
      <c r="F110" s="39"/>
      <c r="G110" s="17"/>
      <c r="H110" s="39"/>
      <c r="I110" s="34"/>
      <c r="J110" s="40"/>
      <c r="K110" s="34"/>
      <c r="L110" s="34"/>
      <c r="M110" s="40"/>
      <c r="N110" s="34"/>
      <c r="O110" s="40"/>
      <c r="P110" s="34"/>
      <c r="Q110" s="34"/>
      <c r="R110" s="40"/>
      <c r="S110" s="40"/>
      <c r="T110" s="34"/>
      <c r="U110" s="40"/>
      <c r="V110" s="34"/>
      <c r="W110" s="40"/>
      <c r="X110" s="34"/>
      <c r="Y110" s="34"/>
      <c r="Z110" s="40"/>
      <c r="AA110" s="40"/>
      <c r="AB110" s="34"/>
      <c r="AC110" s="34"/>
      <c r="AD110" s="40"/>
      <c r="AE110" s="40"/>
      <c r="AF110" s="40"/>
      <c r="AG110" s="40"/>
      <c r="AH110" s="34"/>
      <c r="AI110" s="34"/>
      <c r="AJ110" s="34"/>
      <c r="AK110" s="40"/>
      <c r="AL110" s="34"/>
      <c r="AM110" s="40"/>
      <c r="AN110" s="40"/>
      <c r="AO110" s="40"/>
      <c r="AP110" s="40"/>
      <c r="AQ110" s="40"/>
      <c r="AR110" s="40"/>
      <c r="AS110" s="40"/>
      <c r="AT110" s="40"/>
      <c r="AU110" s="40"/>
    </row>
    <row r="111" spans="1:47" ht="15.75" customHeight="1" x14ac:dyDescent="0.25">
      <c r="A111" s="34"/>
      <c r="B111" s="35"/>
      <c r="C111" s="36"/>
      <c r="D111" s="37"/>
      <c r="E111" s="38"/>
      <c r="F111" s="39"/>
      <c r="G111" s="17"/>
      <c r="H111" s="39"/>
      <c r="I111" s="34"/>
      <c r="J111" s="40"/>
      <c r="K111" s="34"/>
      <c r="L111" s="34"/>
      <c r="M111" s="40"/>
      <c r="N111" s="34"/>
      <c r="O111" s="40"/>
      <c r="P111" s="34"/>
      <c r="Q111" s="34"/>
      <c r="R111" s="40"/>
      <c r="S111" s="40"/>
      <c r="T111" s="34"/>
      <c r="U111" s="40"/>
      <c r="V111" s="34"/>
      <c r="W111" s="40"/>
      <c r="X111" s="34"/>
      <c r="Y111" s="34"/>
      <c r="Z111" s="40"/>
      <c r="AA111" s="40"/>
      <c r="AB111" s="34"/>
      <c r="AC111" s="34"/>
      <c r="AD111" s="40"/>
      <c r="AE111" s="40"/>
      <c r="AF111" s="40"/>
      <c r="AG111" s="40"/>
      <c r="AH111" s="34"/>
      <c r="AI111" s="34"/>
      <c r="AJ111" s="34"/>
      <c r="AK111" s="40"/>
      <c r="AL111" s="34"/>
      <c r="AM111" s="40"/>
      <c r="AN111" s="40"/>
      <c r="AO111" s="40"/>
      <c r="AP111" s="40"/>
      <c r="AQ111" s="40"/>
      <c r="AR111" s="40"/>
      <c r="AS111" s="40"/>
      <c r="AT111" s="40"/>
      <c r="AU111" s="40"/>
    </row>
    <row r="112" spans="1:47" ht="15.75" customHeight="1" x14ac:dyDescent="0.25">
      <c r="A112" s="34"/>
      <c r="B112" s="35"/>
      <c r="C112" s="36"/>
      <c r="D112" s="37"/>
      <c r="E112" s="38"/>
      <c r="F112" s="39"/>
      <c r="G112" s="17"/>
      <c r="H112" s="39"/>
      <c r="I112" s="34"/>
      <c r="J112" s="40"/>
      <c r="K112" s="34"/>
      <c r="L112" s="34"/>
      <c r="M112" s="40"/>
      <c r="N112" s="34"/>
      <c r="O112" s="40"/>
      <c r="P112" s="34"/>
      <c r="Q112" s="34"/>
      <c r="R112" s="40"/>
      <c r="S112" s="40"/>
      <c r="T112" s="34"/>
      <c r="U112" s="40"/>
      <c r="V112" s="34"/>
      <c r="W112" s="40"/>
      <c r="X112" s="34"/>
      <c r="Y112" s="34"/>
      <c r="Z112" s="40"/>
      <c r="AA112" s="40"/>
      <c r="AB112" s="34"/>
      <c r="AC112" s="34"/>
      <c r="AD112" s="40"/>
      <c r="AE112" s="40"/>
      <c r="AF112" s="40"/>
      <c r="AG112" s="40"/>
      <c r="AH112" s="34"/>
      <c r="AI112" s="34"/>
      <c r="AJ112" s="34"/>
      <c r="AK112" s="40"/>
      <c r="AL112" s="34"/>
      <c r="AM112" s="40"/>
      <c r="AN112" s="40"/>
      <c r="AO112" s="40"/>
      <c r="AP112" s="40"/>
      <c r="AQ112" s="40"/>
      <c r="AR112" s="40"/>
      <c r="AS112" s="40"/>
      <c r="AT112" s="40"/>
      <c r="AU112" s="40"/>
    </row>
    <row r="113" spans="1:47" ht="15.75" customHeight="1" x14ac:dyDescent="0.25">
      <c r="A113" s="34"/>
      <c r="B113" s="35"/>
      <c r="C113" s="36"/>
      <c r="D113" s="37"/>
      <c r="E113" s="38"/>
      <c r="F113" s="39"/>
      <c r="G113" s="17"/>
      <c r="H113" s="39"/>
      <c r="I113" s="34"/>
      <c r="J113" s="40"/>
      <c r="K113" s="34"/>
      <c r="L113" s="34"/>
      <c r="M113" s="40"/>
      <c r="N113" s="34"/>
      <c r="O113" s="40"/>
      <c r="P113" s="34"/>
      <c r="Q113" s="34"/>
      <c r="R113" s="40"/>
      <c r="S113" s="40"/>
      <c r="T113" s="34"/>
      <c r="U113" s="40"/>
      <c r="V113" s="34"/>
      <c r="W113" s="40"/>
      <c r="X113" s="34"/>
      <c r="Y113" s="34"/>
      <c r="Z113" s="40"/>
      <c r="AA113" s="40"/>
      <c r="AB113" s="34"/>
      <c r="AC113" s="34"/>
      <c r="AD113" s="40"/>
      <c r="AE113" s="40"/>
      <c r="AF113" s="40"/>
      <c r="AG113" s="40"/>
      <c r="AH113" s="34"/>
      <c r="AI113" s="34"/>
      <c r="AJ113" s="34"/>
      <c r="AK113" s="40"/>
      <c r="AL113" s="34"/>
      <c r="AM113" s="40"/>
      <c r="AN113" s="40"/>
      <c r="AO113" s="40"/>
      <c r="AP113" s="40"/>
      <c r="AQ113" s="40"/>
      <c r="AR113" s="40"/>
      <c r="AS113" s="40"/>
      <c r="AT113" s="40"/>
      <c r="AU113" s="40"/>
    </row>
    <row r="114" spans="1:47" ht="15.75" customHeight="1" x14ac:dyDescent="0.25">
      <c r="A114" s="34"/>
      <c r="B114" s="35"/>
      <c r="C114" s="36"/>
      <c r="D114" s="37"/>
      <c r="E114" s="38"/>
      <c r="F114" s="39"/>
      <c r="G114" s="17"/>
      <c r="H114" s="39"/>
      <c r="I114" s="34"/>
      <c r="J114" s="40"/>
      <c r="K114" s="34"/>
      <c r="L114" s="34"/>
      <c r="M114" s="40"/>
      <c r="N114" s="34"/>
      <c r="O114" s="40"/>
      <c r="P114" s="34"/>
      <c r="Q114" s="34"/>
      <c r="R114" s="40"/>
      <c r="S114" s="40"/>
      <c r="T114" s="34"/>
      <c r="U114" s="40"/>
      <c r="V114" s="34"/>
      <c r="W114" s="40"/>
      <c r="X114" s="34"/>
      <c r="Y114" s="34"/>
      <c r="Z114" s="40"/>
      <c r="AA114" s="40"/>
      <c r="AB114" s="34"/>
      <c r="AC114" s="34"/>
      <c r="AD114" s="40"/>
      <c r="AE114" s="40"/>
      <c r="AF114" s="40"/>
      <c r="AG114" s="40"/>
      <c r="AH114" s="34"/>
      <c r="AI114" s="34"/>
      <c r="AJ114" s="34"/>
      <c r="AK114" s="40"/>
      <c r="AL114" s="34"/>
      <c r="AM114" s="40"/>
      <c r="AN114" s="40"/>
      <c r="AO114" s="40"/>
      <c r="AP114" s="40"/>
      <c r="AQ114" s="40"/>
      <c r="AR114" s="40"/>
      <c r="AS114" s="40"/>
      <c r="AT114" s="40"/>
      <c r="AU114" s="40"/>
    </row>
    <row r="115" spans="1:47" ht="15.75" customHeight="1" x14ac:dyDescent="0.25">
      <c r="A115" s="34"/>
      <c r="B115" s="35"/>
      <c r="C115" s="36"/>
      <c r="D115" s="37"/>
      <c r="E115" s="38"/>
      <c r="F115" s="39"/>
      <c r="G115" s="17"/>
      <c r="H115" s="39"/>
      <c r="I115" s="34"/>
      <c r="J115" s="40"/>
      <c r="K115" s="34"/>
      <c r="L115" s="34"/>
      <c r="M115" s="40"/>
      <c r="N115" s="34"/>
      <c r="O115" s="40"/>
      <c r="P115" s="34"/>
      <c r="Q115" s="34"/>
      <c r="R115" s="40"/>
      <c r="S115" s="40"/>
      <c r="T115" s="34"/>
      <c r="U115" s="40"/>
      <c r="V115" s="34"/>
      <c r="W115" s="40"/>
      <c r="X115" s="34"/>
      <c r="Y115" s="34"/>
      <c r="Z115" s="40"/>
      <c r="AA115" s="40"/>
      <c r="AB115" s="34"/>
      <c r="AC115" s="34"/>
      <c r="AD115" s="40"/>
      <c r="AE115" s="40"/>
      <c r="AF115" s="40"/>
      <c r="AG115" s="40"/>
      <c r="AH115" s="34"/>
      <c r="AI115" s="34"/>
      <c r="AJ115" s="34"/>
      <c r="AK115" s="40"/>
      <c r="AL115" s="34"/>
      <c r="AM115" s="40"/>
      <c r="AN115" s="40"/>
      <c r="AO115" s="40"/>
      <c r="AP115" s="40"/>
      <c r="AQ115" s="40"/>
      <c r="AR115" s="40"/>
      <c r="AS115" s="40"/>
      <c r="AT115" s="40"/>
      <c r="AU115" s="40"/>
    </row>
    <row r="116" spans="1:47" ht="15.75" customHeight="1" x14ac:dyDescent="0.25">
      <c r="A116" s="34"/>
      <c r="B116" s="35"/>
      <c r="C116" s="36"/>
      <c r="D116" s="37"/>
      <c r="E116" s="38"/>
      <c r="F116" s="39"/>
      <c r="G116" s="17"/>
      <c r="H116" s="39"/>
      <c r="I116" s="34"/>
      <c r="J116" s="40"/>
      <c r="K116" s="34"/>
      <c r="L116" s="34"/>
      <c r="M116" s="40"/>
      <c r="N116" s="34"/>
      <c r="O116" s="40"/>
      <c r="P116" s="34"/>
      <c r="Q116" s="34"/>
      <c r="R116" s="40"/>
      <c r="S116" s="40"/>
      <c r="T116" s="34"/>
      <c r="U116" s="40"/>
      <c r="V116" s="34"/>
      <c r="W116" s="40"/>
      <c r="X116" s="34"/>
      <c r="Y116" s="34"/>
      <c r="Z116" s="40"/>
      <c r="AA116" s="40"/>
      <c r="AB116" s="34"/>
      <c r="AC116" s="34"/>
      <c r="AD116" s="40"/>
      <c r="AE116" s="40"/>
      <c r="AF116" s="40"/>
      <c r="AG116" s="40"/>
      <c r="AH116" s="34"/>
      <c r="AI116" s="34"/>
      <c r="AJ116" s="34"/>
      <c r="AK116" s="40"/>
      <c r="AL116" s="34"/>
      <c r="AM116" s="40"/>
      <c r="AN116" s="40"/>
      <c r="AO116" s="40"/>
      <c r="AP116" s="40"/>
      <c r="AQ116" s="40"/>
      <c r="AR116" s="40"/>
      <c r="AS116" s="40"/>
      <c r="AT116" s="40"/>
      <c r="AU116" s="40"/>
    </row>
    <row r="117" spans="1:47" ht="15.75" customHeight="1" x14ac:dyDescent="0.25">
      <c r="A117" s="34"/>
      <c r="B117" s="35"/>
      <c r="C117" s="36"/>
      <c r="D117" s="37"/>
      <c r="E117" s="38"/>
      <c r="F117" s="39"/>
      <c r="G117" s="17"/>
      <c r="H117" s="39"/>
      <c r="I117" s="34"/>
      <c r="J117" s="40"/>
      <c r="K117" s="34"/>
      <c r="L117" s="34"/>
      <c r="M117" s="40"/>
      <c r="N117" s="34"/>
      <c r="O117" s="40"/>
      <c r="P117" s="34"/>
      <c r="Q117" s="34"/>
      <c r="R117" s="40"/>
      <c r="S117" s="40"/>
      <c r="T117" s="34"/>
      <c r="U117" s="40"/>
      <c r="V117" s="34"/>
      <c r="W117" s="40"/>
      <c r="X117" s="34"/>
      <c r="Y117" s="34"/>
      <c r="Z117" s="40"/>
      <c r="AA117" s="40"/>
      <c r="AB117" s="34"/>
      <c r="AC117" s="34"/>
      <c r="AD117" s="40"/>
      <c r="AE117" s="40"/>
      <c r="AF117" s="40"/>
      <c r="AG117" s="40"/>
      <c r="AH117" s="34"/>
      <c r="AI117" s="34"/>
      <c r="AJ117" s="34"/>
      <c r="AK117" s="40"/>
      <c r="AL117" s="34"/>
      <c r="AM117" s="40"/>
      <c r="AN117" s="40"/>
      <c r="AO117" s="40"/>
      <c r="AP117" s="40"/>
      <c r="AQ117" s="40"/>
      <c r="AR117" s="40"/>
      <c r="AS117" s="40"/>
      <c r="AT117" s="40"/>
      <c r="AU117" s="40"/>
    </row>
    <row r="118" spans="1:47" ht="15.75" customHeight="1" x14ac:dyDescent="0.25">
      <c r="A118" s="34"/>
      <c r="B118" s="35"/>
      <c r="C118" s="36"/>
      <c r="D118" s="37"/>
      <c r="E118" s="38"/>
      <c r="F118" s="39"/>
      <c r="G118" s="17"/>
      <c r="H118" s="39"/>
      <c r="I118" s="34"/>
      <c r="J118" s="40"/>
      <c r="K118" s="34"/>
      <c r="L118" s="34"/>
      <c r="M118" s="40"/>
      <c r="N118" s="34"/>
      <c r="O118" s="40"/>
      <c r="P118" s="34"/>
      <c r="Q118" s="34"/>
      <c r="R118" s="40"/>
      <c r="S118" s="40"/>
      <c r="T118" s="34"/>
      <c r="U118" s="40"/>
      <c r="V118" s="34"/>
      <c r="W118" s="40"/>
      <c r="X118" s="34"/>
      <c r="Y118" s="34"/>
      <c r="Z118" s="40"/>
      <c r="AA118" s="40"/>
      <c r="AB118" s="34"/>
      <c r="AC118" s="34"/>
      <c r="AD118" s="40"/>
      <c r="AE118" s="40"/>
      <c r="AF118" s="40"/>
      <c r="AG118" s="40"/>
      <c r="AH118" s="34"/>
      <c r="AI118" s="34"/>
      <c r="AJ118" s="34"/>
      <c r="AK118" s="40"/>
      <c r="AL118" s="34"/>
      <c r="AM118" s="40"/>
      <c r="AN118" s="40"/>
      <c r="AO118" s="40"/>
      <c r="AP118" s="40"/>
      <c r="AQ118" s="40"/>
      <c r="AR118" s="40"/>
      <c r="AS118" s="40"/>
      <c r="AT118" s="40"/>
      <c r="AU118" s="40"/>
    </row>
    <row r="119" spans="1:47" ht="15.75" customHeight="1" x14ac:dyDescent="0.25">
      <c r="A119" s="34"/>
      <c r="B119" s="35"/>
      <c r="C119" s="36"/>
      <c r="D119" s="37"/>
      <c r="E119" s="38"/>
      <c r="F119" s="39"/>
      <c r="G119" s="17"/>
      <c r="H119" s="39"/>
      <c r="I119" s="34"/>
      <c r="J119" s="40"/>
      <c r="K119" s="34"/>
      <c r="L119" s="34"/>
      <c r="M119" s="40"/>
      <c r="N119" s="34"/>
      <c r="O119" s="40"/>
      <c r="P119" s="34"/>
      <c r="Q119" s="34"/>
      <c r="R119" s="40"/>
      <c r="S119" s="40"/>
      <c r="T119" s="34"/>
      <c r="U119" s="40"/>
      <c r="V119" s="34"/>
      <c r="W119" s="40"/>
      <c r="X119" s="34"/>
      <c r="Y119" s="34"/>
      <c r="Z119" s="40"/>
      <c r="AA119" s="40"/>
      <c r="AB119" s="34"/>
      <c r="AC119" s="34"/>
      <c r="AD119" s="40"/>
      <c r="AE119" s="40"/>
      <c r="AF119" s="40"/>
      <c r="AG119" s="40"/>
      <c r="AH119" s="34"/>
      <c r="AI119" s="34"/>
      <c r="AJ119" s="34"/>
      <c r="AK119" s="40"/>
      <c r="AL119" s="34"/>
      <c r="AM119" s="40"/>
      <c r="AN119" s="40"/>
      <c r="AO119" s="40"/>
      <c r="AP119" s="40"/>
      <c r="AQ119" s="40"/>
      <c r="AR119" s="40"/>
      <c r="AS119" s="40"/>
      <c r="AT119" s="40"/>
      <c r="AU119" s="40"/>
    </row>
    <row r="120" spans="1:47" ht="15.75" customHeight="1" x14ac:dyDescent="0.25">
      <c r="A120" s="34"/>
      <c r="B120" s="35"/>
      <c r="C120" s="36"/>
      <c r="D120" s="37"/>
      <c r="E120" s="38"/>
      <c r="F120" s="39"/>
      <c r="G120" s="17"/>
      <c r="H120" s="39"/>
      <c r="I120" s="34"/>
      <c r="J120" s="40"/>
      <c r="K120" s="34"/>
      <c r="L120" s="34"/>
      <c r="M120" s="40"/>
      <c r="N120" s="34"/>
      <c r="O120" s="40"/>
      <c r="P120" s="34"/>
      <c r="Q120" s="34"/>
      <c r="R120" s="40"/>
      <c r="S120" s="40"/>
      <c r="T120" s="34"/>
      <c r="U120" s="40"/>
      <c r="V120" s="34"/>
      <c r="W120" s="40"/>
      <c r="X120" s="34"/>
      <c r="Y120" s="34"/>
      <c r="Z120" s="40"/>
      <c r="AA120" s="40"/>
      <c r="AB120" s="34"/>
      <c r="AC120" s="34"/>
      <c r="AD120" s="40"/>
      <c r="AE120" s="40"/>
      <c r="AF120" s="40"/>
      <c r="AG120" s="40"/>
      <c r="AH120" s="34"/>
      <c r="AI120" s="34"/>
      <c r="AJ120" s="34"/>
      <c r="AK120" s="40"/>
      <c r="AL120" s="34"/>
      <c r="AM120" s="40"/>
      <c r="AN120" s="40"/>
      <c r="AO120" s="40"/>
      <c r="AP120" s="40"/>
      <c r="AQ120" s="40"/>
      <c r="AR120" s="40"/>
      <c r="AS120" s="40"/>
      <c r="AT120" s="40"/>
      <c r="AU120" s="40"/>
    </row>
    <row r="121" spans="1:47" ht="15.75" customHeight="1" x14ac:dyDescent="0.25">
      <c r="A121" s="34"/>
      <c r="B121" s="35"/>
      <c r="C121" s="36"/>
      <c r="D121" s="37"/>
      <c r="E121" s="38"/>
      <c r="F121" s="39"/>
      <c r="G121" s="17"/>
      <c r="H121" s="39"/>
      <c r="I121" s="34"/>
      <c r="J121" s="40"/>
      <c r="K121" s="34"/>
      <c r="L121" s="34"/>
      <c r="M121" s="40"/>
      <c r="N121" s="34"/>
      <c r="O121" s="40"/>
      <c r="P121" s="34"/>
      <c r="Q121" s="34"/>
      <c r="R121" s="40"/>
      <c r="S121" s="40"/>
      <c r="T121" s="34"/>
      <c r="U121" s="40"/>
      <c r="V121" s="34"/>
      <c r="W121" s="40"/>
      <c r="X121" s="34"/>
      <c r="Y121" s="34"/>
      <c r="Z121" s="40"/>
      <c r="AA121" s="40"/>
      <c r="AB121" s="34"/>
      <c r="AC121" s="34"/>
      <c r="AD121" s="40"/>
      <c r="AE121" s="40"/>
      <c r="AF121" s="40"/>
      <c r="AG121" s="40"/>
      <c r="AH121" s="34"/>
      <c r="AI121" s="34"/>
      <c r="AJ121" s="34"/>
      <c r="AK121" s="40"/>
      <c r="AL121" s="34"/>
      <c r="AM121" s="40"/>
      <c r="AN121" s="40"/>
      <c r="AO121" s="40"/>
      <c r="AP121" s="40"/>
      <c r="AQ121" s="40"/>
      <c r="AR121" s="40"/>
      <c r="AS121" s="40"/>
      <c r="AT121" s="40"/>
      <c r="AU121" s="40"/>
    </row>
    <row r="122" spans="1:47" ht="15.75" customHeight="1" x14ac:dyDescent="0.25">
      <c r="A122" s="34"/>
      <c r="B122" s="35"/>
      <c r="C122" s="36"/>
      <c r="D122" s="37"/>
      <c r="E122" s="38"/>
      <c r="F122" s="39"/>
      <c r="G122" s="17"/>
      <c r="H122" s="39"/>
      <c r="I122" s="34"/>
      <c r="J122" s="40"/>
      <c r="K122" s="34"/>
      <c r="L122" s="34"/>
      <c r="M122" s="40"/>
      <c r="N122" s="34"/>
      <c r="O122" s="40"/>
      <c r="P122" s="34"/>
      <c r="Q122" s="34"/>
      <c r="R122" s="40"/>
      <c r="S122" s="40"/>
      <c r="T122" s="34"/>
      <c r="U122" s="40"/>
      <c r="V122" s="34"/>
      <c r="W122" s="40"/>
      <c r="X122" s="34"/>
      <c r="Y122" s="34"/>
      <c r="Z122" s="40"/>
      <c r="AA122" s="40"/>
      <c r="AB122" s="34"/>
      <c r="AC122" s="34"/>
      <c r="AD122" s="40"/>
      <c r="AE122" s="40"/>
      <c r="AF122" s="40"/>
      <c r="AG122" s="40"/>
      <c r="AH122" s="34"/>
      <c r="AI122" s="34"/>
      <c r="AJ122" s="34"/>
      <c r="AK122" s="40"/>
      <c r="AL122" s="34"/>
      <c r="AM122" s="40"/>
      <c r="AN122" s="40"/>
      <c r="AO122" s="40"/>
      <c r="AP122" s="40"/>
      <c r="AQ122" s="40"/>
      <c r="AR122" s="40"/>
      <c r="AS122" s="40"/>
      <c r="AT122" s="40"/>
      <c r="AU122" s="40"/>
    </row>
    <row r="123" spans="1:47" ht="15.75" customHeight="1" x14ac:dyDescent="0.25">
      <c r="A123" s="34"/>
      <c r="B123" s="35"/>
      <c r="C123" s="36"/>
      <c r="D123" s="37"/>
      <c r="E123" s="38"/>
      <c r="F123" s="39"/>
      <c r="G123" s="17"/>
      <c r="H123" s="39"/>
      <c r="I123" s="34"/>
      <c r="J123" s="40"/>
      <c r="K123" s="34"/>
      <c r="L123" s="34"/>
      <c r="M123" s="40"/>
      <c r="N123" s="34"/>
      <c r="O123" s="40"/>
      <c r="P123" s="34"/>
      <c r="Q123" s="34"/>
      <c r="R123" s="40"/>
      <c r="S123" s="40"/>
      <c r="T123" s="34"/>
      <c r="U123" s="40"/>
      <c r="V123" s="34"/>
      <c r="W123" s="40"/>
      <c r="X123" s="34"/>
      <c r="Y123" s="34"/>
      <c r="Z123" s="40"/>
      <c r="AA123" s="40"/>
      <c r="AB123" s="34"/>
      <c r="AC123" s="34"/>
      <c r="AD123" s="40"/>
      <c r="AE123" s="40"/>
      <c r="AF123" s="40"/>
      <c r="AG123" s="40"/>
      <c r="AH123" s="34"/>
      <c r="AI123" s="34"/>
      <c r="AJ123" s="34"/>
      <c r="AK123" s="40"/>
      <c r="AL123" s="34"/>
      <c r="AM123" s="40"/>
      <c r="AN123" s="40"/>
      <c r="AO123" s="40"/>
      <c r="AP123" s="40"/>
      <c r="AQ123" s="40"/>
      <c r="AR123" s="40"/>
      <c r="AS123" s="40"/>
      <c r="AT123" s="40"/>
      <c r="AU123" s="40"/>
    </row>
    <row r="124" spans="1:47" ht="15.75" customHeight="1" x14ac:dyDescent="0.25">
      <c r="A124" s="34"/>
      <c r="B124" s="35"/>
      <c r="C124" s="36"/>
      <c r="D124" s="37"/>
      <c r="E124" s="38"/>
      <c r="F124" s="39"/>
      <c r="G124" s="17"/>
      <c r="H124" s="39"/>
      <c r="I124" s="34"/>
      <c r="J124" s="40"/>
      <c r="K124" s="34"/>
      <c r="L124" s="34"/>
      <c r="M124" s="40"/>
      <c r="N124" s="34"/>
      <c r="O124" s="40"/>
      <c r="P124" s="34"/>
      <c r="Q124" s="34"/>
      <c r="R124" s="40"/>
      <c r="S124" s="40"/>
      <c r="T124" s="34"/>
      <c r="U124" s="40"/>
      <c r="V124" s="34"/>
      <c r="W124" s="40"/>
      <c r="X124" s="34"/>
      <c r="Y124" s="34"/>
      <c r="Z124" s="40"/>
      <c r="AA124" s="40"/>
      <c r="AB124" s="34"/>
      <c r="AC124" s="34"/>
      <c r="AD124" s="40"/>
      <c r="AE124" s="40"/>
      <c r="AF124" s="40"/>
      <c r="AG124" s="40"/>
      <c r="AH124" s="34"/>
      <c r="AI124" s="34"/>
      <c r="AJ124" s="34"/>
      <c r="AK124" s="40"/>
      <c r="AL124" s="34"/>
      <c r="AM124" s="40"/>
      <c r="AN124" s="40"/>
      <c r="AO124" s="40"/>
      <c r="AP124" s="40"/>
      <c r="AQ124" s="40"/>
      <c r="AR124" s="40"/>
      <c r="AS124" s="40"/>
      <c r="AT124" s="40"/>
      <c r="AU124" s="40"/>
    </row>
    <row r="125" spans="1:47" ht="15.75" customHeight="1" x14ac:dyDescent="0.25">
      <c r="A125" s="34"/>
      <c r="B125" s="35"/>
      <c r="C125" s="36"/>
      <c r="D125" s="37"/>
      <c r="E125" s="38"/>
      <c r="F125" s="39"/>
      <c r="G125" s="17"/>
      <c r="H125" s="39"/>
      <c r="I125" s="34"/>
      <c r="J125" s="40"/>
      <c r="K125" s="34"/>
      <c r="L125" s="34"/>
      <c r="M125" s="40"/>
      <c r="N125" s="34"/>
      <c r="O125" s="40"/>
      <c r="P125" s="34"/>
      <c r="Q125" s="34"/>
      <c r="R125" s="40"/>
      <c r="S125" s="40"/>
      <c r="T125" s="34"/>
      <c r="U125" s="40"/>
      <c r="V125" s="34"/>
      <c r="W125" s="40"/>
      <c r="X125" s="34"/>
      <c r="Y125" s="34"/>
      <c r="Z125" s="40"/>
      <c r="AA125" s="40"/>
      <c r="AB125" s="34"/>
      <c r="AC125" s="34"/>
      <c r="AD125" s="40"/>
      <c r="AE125" s="40"/>
      <c r="AF125" s="40"/>
      <c r="AG125" s="40"/>
      <c r="AH125" s="34"/>
      <c r="AI125" s="34"/>
      <c r="AJ125" s="34"/>
      <c r="AK125" s="40"/>
      <c r="AL125" s="34"/>
      <c r="AM125" s="40"/>
      <c r="AN125" s="40"/>
      <c r="AO125" s="40"/>
      <c r="AP125" s="40"/>
      <c r="AQ125" s="40"/>
      <c r="AR125" s="40"/>
      <c r="AS125" s="40"/>
      <c r="AT125" s="40"/>
      <c r="AU125" s="40"/>
    </row>
    <row r="126" spans="1:47" ht="15.75" customHeight="1" x14ac:dyDescent="0.25">
      <c r="A126" s="34"/>
      <c r="B126" s="35"/>
      <c r="C126" s="36"/>
      <c r="D126" s="37"/>
      <c r="E126" s="38"/>
      <c r="F126" s="39"/>
      <c r="G126" s="17"/>
      <c r="H126" s="39"/>
      <c r="I126" s="34"/>
      <c r="J126" s="40"/>
      <c r="K126" s="34"/>
      <c r="L126" s="34"/>
      <c r="M126" s="40"/>
      <c r="N126" s="34"/>
      <c r="O126" s="40"/>
      <c r="P126" s="34"/>
      <c r="Q126" s="34"/>
      <c r="R126" s="40"/>
      <c r="S126" s="40"/>
      <c r="T126" s="34"/>
      <c r="U126" s="40"/>
      <c r="V126" s="34"/>
      <c r="W126" s="40"/>
      <c r="X126" s="34"/>
      <c r="Y126" s="34"/>
      <c r="Z126" s="40"/>
      <c r="AA126" s="40"/>
      <c r="AB126" s="34"/>
      <c r="AC126" s="34"/>
      <c r="AD126" s="40"/>
      <c r="AE126" s="40"/>
      <c r="AF126" s="40"/>
      <c r="AG126" s="40"/>
      <c r="AH126" s="34"/>
      <c r="AI126" s="34"/>
      <c r="AJ126" s="34"/>
      <c r="AK126" s="40"/>
      <c r="AL126" s="34"/>
      <c r="AM126" s="40"/>
      <c r="AN126" s="40"/>
      <c r="AO126" s="40"/>
      <c r="AP126" s="40"/>
      <c r="AQ126" s="40"/>
      <c r="AR126" s="40"/>
      <c r="AS126" s="40"/>
      <c r="AT126" s="40"/>
      <c r="AU126" s="40"/>
    </row>
    <row r="127" spans="1:47" ht="15.75" customHeight="1" x14ac:dyDescent="0.25">
      <c r="A127" s="34"/>
      <c r="B127" s="35"/>
      <c r="C127" s="36"/>
      <c r="D127" s="37"/>
      <c r="E127" s="38"/>
      <c r="F127" s="39"/>
      <c r="G127" s="17"/>
      <c r="H127" s="39"/>
      <c r="I127" s="34"/>
      <c r="J127" s="40"/>
      <c r="K127" s="34"/>
      <c r="L127" s="34"/>
      <c r="M127" s="40"/>
      <c r="N127" s="34"/>
      <c r="O127" s="40"/>
      <c r="P127" s="34"/>
      <c r="Q127" s="34"/>
      <c r="R127" s="40"/>
      <c r="S127" s="40"/>
      <c r="T127" s="34"/>
      <c r="U127" s="40"/>
      <c r="V127" s="34"/>
      <c r="W127" s="40"/>
      <c r="X127" s="34"/>
      <c r="Y127" s="34"/>
      <c r="Z127" s="40"/>
      <c r="AA127" s="40"/>
      <c r="AB127" s="34"/>
      <c r="AC127" s="34"/>
      <c r="AD127" s="40"/>
      <c r="AE127" s="40"/>
      <c r="AF127" s="40"/>
      <c r="AG127" s="40"/>
      <c r="AH127" s="34"/>
      <c r="AI127" s="34"/>
      <c r="AJ127" s="34"/>
      <c r="AK127" s="40"/>
      <c r="AL127" s="34"/>
      <c r="AM127" s="40"/>
      <c r="AN127" s="40"/>
      <c r="AO127" s="40"/>
      <c r="AP127" s="40"/>
      <c r="AQ127" s="40"/>
      <c r="AR127" s="40"/>
      <c r="AS127" s="40"/>
      <c r="AT127" s="40"/>
      <c r="AU127" s="40"/>
    </row>
    <row r="128" spans="1:47" ht="15.75" customHeight="1" x14ac:dyDescent="0.25">
      <c r="A128" s="34"/>
      <c r="B128" s="35"/>
      <c r="C128" s="36"/>
      <c r="D128" s="37"/>
      <c r="E128" s="38"/>
      <c r="F128" s="39"/>
      <c r="G128" s="17"/>
      <c r="H128" s="39"/>
      <c r="I128" s="34"/>
      <c r="J128" s="40"/>
      <c r="K128" s="34"/>
      <c r="L128" s="34"/>
      <c r="M128" s="40"/>
      <c r="N128" s="34"/>
      <c r="O128" s="40"/>
      <c r="P128" s="34"/>
      <c r="Q128" s="34"/>
      <c r="R128" s="40"/>
      <c r="S128" s="40"/>
      <c r="T128" s="34"/>
      <c r="U128" s="40"/>
      <c r="V128" s="34"/>
      <c r="W128" s="40"/>
      <c r="X128" s="34"/>
      <c r="Y128" s="34"/>
      <c r="Z128" s="40"/>
      <c r="AA128" s="40"/>
      <c r="AB128" s="34"/>
      <c r="AC128" s="34"/>
      <c r="AD128" s="40"/>
      <c r="AE128" s="40"/>
      <c r="AF128" s="40"/>
      <c r="AG128" s="40"/>
      <c r="AH128" s="34"/>
      <c r="AI128" s="34"/>
      <c r="AJ128" s="34"/>
      <c r="AK128" s="40"/>
      <c r="AL128" s="34"/>
      <c r="AM128" s="40"/>
      <c r="AN128" s="40"/>
      <c r="AO128" s="40"/>
      <c r="AP128" s="40"/>
      <c r="AQ128" s="40"/>
      <c r="AR128" s="40"/>
      <c r="AS128" s="40"/>
      <c r="AT128" s="40"/>
      <c r="AU128" s="40"/>
    </row>
    <row r="129" spans="1:47" ht="15.75" customHeight="1" x14ac:dyDescent="0.25">
      <c r="A129" s="34"/>
      <c r="B129" s="35"/>
      <c r="C129" s="36"/>
      <c r="D129" s="37"/>
      <c r="E129" s="38"/>
      <c r="F129" s="39"/>
      <c r="G129" s="17"/>
      <c r="H129" s="39"/>
      <c r="I129" s="34"/>
      <c r="J129" s="40"/>
      <c r="K129" s="34"/>
      <c r="L129" s="34"/>
      <c r="M129" s="40"/>
      <c r="N129" s="34"/>
      <c r="O129" s="40"/>
      <c r="P129" s="34"/>
      <c r="Q129" s="34"/>
      <c r="R129" s="40"/>
      <c r="S129" s="40"/>
      <c r="T129" s="34"/>
      <c r="U129" s="40"/>
      <c r="V129" s="34"/>
      <c r="W129" s="40"/>
      <c r="X129" s="34"/>
      <c r="Y129" s="34"/>
      <c r="Z129" s="40"/>
      <c r="AA129" s="40"/>
      <c r="AB129" s="34"/>
      <c r="AC129" s="34"/>
      <c r="AD129" s="40"/>
      <c r="AE129" s="40"/>
      <c r="AF129" s="40"/>
      <c r="AG129" s="40"/>
      <c r="AH129" s="34"/>
      <c r="AI129" s="34"/>
      <c r="AJ129" s="34"/>
      <c r="AK129" s="40"/>
      <c r="AL129" s="34"/>
      <c r="AM129" s="40"/>
      <c r="AN129" s="40"/>
      <c r="AO129" s="40"/>
      <c r="AP129" s="40"/>
      <c r="AQ129" s="40"/>
      <c r="AR129" s="40"/>
      <c r="AS129" s="40"/>
      <c r="AT129" s="40"/>
      <c r="AU129" s="40"/>
    </row>
    <row r="130" spans="1:47" ht="15.75" customHeight="1" x14ac:dyDescent="0.25">
      <c r="A130" s="34"/>
      <c r="B130" s="35"/>
      <c r="C130" s="36"/>
      <c r="D130" s="37"/>
      <c r="E130" s="38"/>
      <c r="F130" s="39"/>
      <c r="G130" s="17"/>
      <c r="H130" s="39"/>
      <c r="I130" s="34"/>
      <c r="J130" s="40"/>
      <c r="K130" s="34"/>
      <c r="L130" s="34"/>
      <c r="M130" s="40"/>
      <c r="N130" s="34"/>
      <c r="O130" s="40"/>
      <c r="P130" s="34"/>
      <c r="Q130" s="34"/>
      <c r="R130" s="40"/>
      <c r="S130" s="40"/>
      <c r="T130" s="34"/>
      <c r="U130" s="40"/>
      <c r="V130" s="34"/>
      <c r="W130" s="40"/>
      <c r="X130" s="34"/>
      <c r="Y130" s="34"/>
      <c r="Z130" s="40"/>
      <c r="AA130" s="40"/>
      <c r="AB130" s="34"/>
      <c r="AC130" s="34"/>
      <c r="AD130" s="40"/>
      <c r="AE130" s="40"/>
      <c r="AF130" s="40"/>
      <c r="AG130" s="40"/>
      <c r="AH130" s="34"/>
      <c r="AI130" s="34"/>
      <c r="AJ130" s="34"/>
      <c r="AK130" s="40"/>
      <c r="AL130" s="34"/>
      <c r="AM130" s="40"/>
      <c r="AN130" s="40"/>
      <c r="AO130" s="40"/>
      <c r="AP130" s="40"/>
      <c r="AQ130" s="40"/>
      <c r="AR130" s="40"/>
      <c r="AS130" s="40"/>
      <c r="AT130" s="40"/>
      <c r="AU130" s="40"/>
    </row>
    <row r="131" spans="1:47" ht="15.75" customHeight="1" x14ac:dyDescent="0.25">
      <c r="A131" s="34"/>
      <c r="B131" s="35"/>
      <c r="C131" s="36"/>
      <c r="D131" s="37"/>
      <c r="E131" s="38"/>
      <c r="F131" s="39"/>
      <c r="G131" s="17"/>
      <c r="H131" s="39"/>
      <c r="I131" s="34"/>
      <c r="J131" s="40"/>
      <c r="K131" s="34"/>
      <c r="L131" s="34"/>
      <c r="M131" s="40"/>
      <c r="N131" s="34"/>
      <c r="O131" s="40"/>
      <c r="P131" s="34"/>
      <c r="Q131" s="34"/>
      <c r="R131" s="40"/>
      <c r="S131" s="40"/>
      <c r="T131" s="34"/>
      <c r="U131" s="40"/>
      <c r="V131" s="34"/>
      <c r="W131" s="40"/>
      <c r="X131" s="34"/>
      <c r="Y131" s="34"/>
      <c r="Z131" s="40"/>
      <c r="AA131" s="40"/>
      <c r="AB131" s="34"/>
      <c r="AC131" s="34"/>
      <c r="AD131" s="40"/>
      <c r="AE131" s="40"/>
      <c r="AF131" s="40"/>
      <c r="AG131" s="40"/>
      <c r="AH131" s="34"/>
      <c r="AI131" s="34"/>
      <c r="AJ131" s="34"/>
      <c r="AK131" s="40"/>
      <c r="AL131" s="34"/>
      <c r="AM131" s="40"/>
      <c r="AN131" s="40"/>
      <c r="AO131" s="40"/>
      <c r="AP131" s="40"/>
      <c r="AQ131" s="40"/>
      <c r="AR131" s="40"/>
      <c r="AS131" s="40"/>
      <c r="AT131" s="40"/>
      <c r="AU131" s="40"/>
    </row>
    <row r="132" spans="1:47" ht="15.75" customHeight="1" x14ac:dyDescent="0.25">
      <c r="A132" s="34"/>
      <c r="B132" s="35"/>
      <c r="C132" s="36"/>
      <c r="D132" s="37"/>
      <c r="E132" s="38"/>
      <c r="F132" s="39"/>
      <c r="G132" s="17"/>
      <c r="H132" s="39"/>
      <c r="I132" s="34"/>
      <c r="J132" s="40"/>
      <c r="K132" s="34"/>
      <c r="L132" s="34"/>
      <c r="M132" s="40"/>
      <c r="N132" s="34"/>
      <c r="O132" s="40"/>
      <c r="P132" s="34"/>
      <c r="Q132" s="34"/>
      <c r="R132" s="40"/>
      <c r="S132" s="40"/>
      <c r="T132" s="34"/>
      <c r="U132" s="40"/>
      <c r="V132" s="34"/>
      <c r="W132" s="40"/>
      <c r="X132" s="34"/>
      <c r="Y132" s="34"/>
      <c r="Z132" s="40"/>
      <c r="AA132" s="40"/>
      <c r="AB132" s="34"/>
      <c r="AC132" s="34"/>
      <c r="AD132" s="40"/>
      <c r="AE132" s="40"/>
      <c r="AF132" s="40"/>
      <c r="AG132" s="40"/>
      <c r="AH132" s="34"/>
      <c r="AI132" s="34"/>
      <c r="AJ132" s="34"/>
      <c r="AK132" s="40"/>
      <c r="AL132" s="34"/>
      <c r="AM132" s="40"/>
      <c r="AN132" s="40"/>
      <c r="AO132" s="40"/>
      <c r="AP132" s="40"/>
      <c r="AQ132" s="40"/>
      <c r="AR132" s="40"/>
      <c r="AS132" s="40"/>
      <c r="AT132" s="40"/>
      <c r="AU132" s="40"/>
    </row>
    <row r="133" spans="1:47" ht="15.75" customHeight="1" x14ac:dyDescent="0.25">
      <c r="A133" s="34"/>
      <c r="B133" s="35"/>
      <c r="C133" s="36"/>
      <c r="D133" s="37"/>
      <c r="E133" s="38"/>
      <c r="F133" s="39"/>
      <c r="G133" s="17"/>
      <c r="H133" s="39"/>
      <c r="I133" s="34"/>
      <c r="J133" s="40"/>
      <c r="K133" s="34"/>
      <c r="L133" s="34"/>
      <c r="M133" s="40"/>
      <c r="N133" s="34"/>
      <c r="O133" s="40"/>
      <c r="P133" s="34"/>
      <c r="Q133" s="34"/>
      <c r="R133" s="40"/>
      <c r="S133" s="40"/>
      <c r="T133" s="34"/>
      <c r="U133" s="40"/>
      <c r="V133" s="34"/>
      <c r="W133" s="40"/>
      <c r="X133" s="34"/>
      <c r="Y133" s="34"/>
      <c r="Z133" s="40"/>
      <c r="AA133" s="40"/>
      <c r="AB133" s="34"/>
      <c r="AC133" s="34"/>
      <c r="AD133" s="40"/>
      <c r="AE133" s="40"/>
      <c r="AF133" s="40"/>
      <c r="AG133" s="40"/>
      <c r="AH133" s="34"/>
      <c r="AI133" s="34"/>
      <c r="AJ133" s="34"/>
      <c r="AK133" s="40"/>
      <c r="AL133" s="34"/>
      <c r="AM133" s="40"/>
      <c r="AN133" s="40"/>
      <c r="AO133" s="40"/>
      <c r="AP133" s="40"/>
      <c r="AQ133" s="40"/>
      <c r="AR133" s="40"/>
      <c r="AS133" s="40"/>
      <c r="AT133" s="40"/>
      <c r="AU133" s="40"/>
    </row>
    <row r="134" spans="1:47" ht="15.75" customHeight="1" x14ac:dyDescent="0.25">
      <c r="A134" s="34"/>
      <c r="B134" s="35"/>
      <c r="C134" s="36"/>
      <c r="D134" s="37"/>
      <c r="E134" s="38"/>
      <c r="F134" s="39"/>
      <c r="G134" s="17"/>
      <c r="H134" s="39"/>
      <c r="I134" s="34"/>
      <c r="J134" s="40"/>
      <c r="K134" s="34"/>
      <c r="L134" s="34"/>
      <c r="M134" s="40"/>
      <c r="N134" s="34"/>
      <c r="O134" s="40"/>
      <c r="P134" s="34"/>
      <c r="Q134" s="34"/>
      <c r="R134" s="40"/>
      <c r="S134" s="40"/>
      <c r="T134" s="34"/>
      <c r="U134" s="40"/>
      <c r="V134" s="34"/>
      <c r="W134" s="40"/>
      <c r="X134" s="34"/>
      <c r="Y134" s="34"/>
      <c r="Z134" s="40"/>
      <c r="AA134" s="40"/>
      <c r="AB134" s="34"/>
      <c r="AC134" s="34"/>
      <c r="AD134" s="40"/>
      <c r="AE134" s="40"/>
      <c r="AF134" s="40"/>
      <c r="AG134" s="40"/>
      <c r="AH134" s="34"/>
      <c r="AI134" s="34"/>
      <c r="AJ134" s="34"/>
      <c r="AK134" s="40"/>
      <c r="AL134" s="34"/>
      <c r="AM134" s="40"/>
      <c r="AN134" s="40"/>
      <c r="AO134" s="40"/>
      <c r="AP134" s="40"/>
      <c r="AQ134" s="40"/>
      <c r="AR134" s="40"/>
      <c r="AS134" s="40"/>
      <c r="AT134" s="40"/>
      <c r="AU134" s="40"/>
    </row>
    <row r="135" spans="1:47" ht="15.75" customHeight="1" x14ac:dyDescent="0.25">
      <c r="A135" s="34"/>
      <c r="B135" s="35"/>
      <c r="C135" s="36"/>
      <c r="D135" s="37"/>
      <c r="E135" s="38"/>
      <c r="F135" s="39"/>
      <c r="G135" s="17"/>
      <c r="H135" s="39"/>
      <c r="I135" s="34"/>
      <c r="J135" s="40"/>
      <c r="K135" s="34"/>
      <c r="L135" s="34"/>
      <c r="M135" s="40"/>
      <c r="N135" s="34"/>
      <c r="O135" s="40"/>
      <c r="P135" s="34"/>
      <c r="Q135" s="34"/>
      <c r="R135" s="40"/>
      <c r="S135" s="40"/>
      <c r="T135" s="34"/>
      <c r="U135" s="40"/>
      <c r="V135" s="34"/>
      <c r="W135" s="40"/>
      <c r="X135" s="34"/>
      <c r="Y135" s="34"/>
      <c r="Z135" s="40"/>
      <c r="AA135" s="40"/>
      <c r="AB135" s="34"/>
      <c r="AC135" s="34"/>
      <c r="AD135" s="40"/>
      <c r="AE135" s="40"/>
      <c r="AF135" s="40"/>
      <c r="AG135" s="40"/>
      <c r="AH135" s="34"/>
      <c r="AI135" s="34"/>
      <c r="AJ135" s="34"/>
      <c r="AK135" s="40"/>
      <c r="AL135" s="34"/>
      <c r="AM135" s="40"/>
      <c r="AN135" s="40"/>
      <c r="AO135" s="40"/>
      <c r="AP135" s="40"/>
      <c r="AQ135" s="40"/>
      <c r="AR135" s="40"/>
      <c r="AS135" s="40"/>
      <c r="AT135" s="40"/>
      <c r="AU135" s="40"/>
    </row>
    <row r="136" spans="1:47" ht="15.75" customHeight="1" x14ac:dyDescent="0.25">
      <c r="A136" s="34"/>
      <c r="B136" s="35"/>
      <c r="C136" s="36"/>
      <c r="D136" s="37"/>
      <c r="E136" s="38"/>
      <c r="F136" s="39"/>
      <c r="G136" s="17"/>
      <c r="H136" s="39"/>
      <c r="I136" s="34"/>
      <c r="J136" s="40"/>
      <c r="K136" s="34"/>
      <c r="L136" s="34"/>
      <c r="M136" s="40"/>
      <c r="N136" s="34"/>
      <c r="O136" s="40"/>
      <c r="P136" s="34"/>
      <c r="Q136" s="34"/>
      <c r="R136" s="40"/>
      <c r="S136" s="40"/>
      <c r="T136" s="34"/>
      <c r="U136" s="40"/>
      <c r="V136" s="34"/>
      <c r="W136" s="40"/>
      <c r="X136" s="34"/>
      <c r="Y136" s="34"/>
      <c r="Z136" s="40"/>
      <c r="AA136" s="40"/>
      <c r="AB136" s="34"/>
      <c r="AC136" s="34"/>
      <c r="AD136" s="40"/>
      <c r="AE136" s="40"/>
      <c r="AF136" s="40"/>
      <c r="AG136" s="40"/>
      <c r="AH136" s="34"/>
      <c r="AI136" s="34"/>
      <c r="AJ136" s="34"/>
      <c r="AK136" s="40"/>
      <c r="AL136" s="34"/>
      <c r="AM136" s="40"/>
      <c r="AN136" s="40"/>
      <c r="AO136" s="40"/>
      <c r="AP136" s="40"/>
      <c r="AQ136" s="40"/>
      <c r="AR136" s="40"/>
      <c r="AS136" s="40"/>
      <c r="AT136" s="40"/>
      <c r="AU136" s="40"/>
    </row>
    <row r="137" spans="1:47" ht="15.75" customHeight="1" x14ac:dyDescent="0.25">
      <c r="A137" s="34"/>
      <c r="B137" s="35"/>
      <c r="C137" s="36"/>
      <c r="D137" s="37"/>
      <c r="E137" s="38"/>
      <c r="F137" s="39"/>
      <c r="G137" s="17"/>
      <c r="H137" s="39"/>
      <c r="I137" s="34"/>
      <c r="J137" s="40"/>
      <c r="K137" s="34"/>
      <c r="L137" s="34"/>
      <c r="M137" s="40"/>
      <c r="N137" s="34"/>
      <c r="O137" s="40"/>
      <c r="P137" s="34"/>
      <c r="Q137" s="34"/>
      <c r="R137" s="40"/>
      <c r="S137" s="40"/>
      <c r="T137" s="34"/>
      <c r="U137" s="40"/>
      <c r="V137" s="34"/>
      <c r="W137" s="40"/>
      <c r="X137" s="34"/>
      <c r="Y137" s="34"/>
      <c r="Z137" s="40"/>
      <c r="AA137" s="40"/>
      <c r="AB137" s="34"/>
      <c r="AC137" s="34"/>
      <c r="AD137" s="40"/>
      <c r="AE137" s="40"/>
      <c r="AF137" s="40"/>
      <c r="AG137" s="40"/>
      <c r="AH137" s="34"/>
      <c r="AI137" s="34"/>
      <c r="AJ137" s="34"/>
      <c r="AK137" s="40"/>
      <c r="AL137" s="34"/>
      <c r="AM137" s="40"/>
      <c r="AN137" s="40"/>
      <c r="AO137" s="40"/>
      <c r="AP137" s="40"/>
      <c r="AQ137" s="40"/>
      <c r="AR137" s="40"/>
      <c r="AS137" s="40"/>
      <c r="AT137" s="40"/>
      <c r="AU137" s="40"/>
    </row>
    <row r="138" spans="1:47" ht="15.75" customHeight="1" x14ac:dyDescent="0.25">
      <c r="A138" s="34"/>
      <c r="B138" s="35"/>
      <c r="C138" s="36"/>
      <c r="D138" s="37"/>
      <c r="E138" s="38"/>
      <c r="F138" s="39"/>
      <c r="G138" s="17"/>
      <c r="H138" s="39"/>
      <c r="I138" s="34"/>
      <c r="J138" s="40"/>
      <c r="K138" s="34"/>
      <c r="L138" s="34"/>
      <c r="M138" s="40"/>
      <c r="N138" s="34"/>
      <c r="O138" s="40"/>
      <c r="P138" s="34"/>
      <c r="Q138" s="34"/>
      <c r="R138" s="40"/>
      <c r="S138" s="40"/>
      <c r="T138" s="34"/>
      <c r="U138" s="40"/>
      <c r="V138" s="34"/>
      <c r="W138" s="40"/>
      <c r="X138" s="34"/>
      <c r="Y138" s="34"/>
      <c r="Z138" s="40"/>
      <c r="AA138" s="40"/>
      <c r="AB138" s="34"/>
      <c r="AC138" s="34"/>
      <c r="AD138" s="40"/>
      <c r="AE138" s="40"/>
      <c r="AF138" s="40"/>
      <c r="AG138" s="40"/>
      <c r="AH138" s="34"/>
      <c r="AI138" s="34"/>
      <c r="AJ138" s="34"/>
      <c r="AK138" s="40"/>
      <c r="AL138" s="34"/>
      <c r="AM138" s="40"/>
      <c r="AN138" s="40"/>
      <c r="AO138" s="40"/>
      <c r="AP138" s="40"/>
      <c r="AQ138" s="40"/>
      <c r="AR138" s="40"/>
      <c r="AS138" s="40"/>
      <c r="AT138" s="40"/>
      <c r="AU138" s="40"/>
    </row>
    <row r="139" spans="1:47" ht="15.75" customHeight="1" x14ac:dyDescent="0.25">
      <c r="A139" s="34"/>
      <c r="B139" s="35"/>
      <c r="C139" s="36"/>
      <c r="D139" s="37"/>
      <c r="E139" s="38"/>
      <c r="F139" s="39"/>
      <c r="G139" s="17"/>
      <c r="H139" s="39"/>
      <c r="I139" s="34"/>
      <c r="J139" s="40"/>
      <c r="K139" s="34"/>
      <c r="L139" s="34"/>
      <c r="M139" s="40"/>
      <c r="N139" s="34"/>
      <c r="O139" s="40"/>
      <c r="P139" s="34"/>
      <c r="Q139" s="34"/>
      <c r="R139" s="40"/>
      <c r="S139" s="40"/>
      <c r="T139" s="34"/>
      <c r="U139" s="40"/>
      <c r="V139" s="34"/>
      <c r="W139" s="40"/>
      <c r="X139" s="34"/>
      <c r="Y139" s="34"/>
      <c r="Z139" s="40"/>
      <c r="AA139" s="40"/>
      <c r="AB139" s="34"/>
      <c r="AC139" s="34"/>
      <c r="AD139" s="40"/>
      <c r="AE139" s="40"/>
      <c r="AF139" s="40"/>
      <c r="AG139" s="40"/>
      <c r="AH139" s="34"/>
      <c r="AI139" s="34"/>
      <c r="AJ139" s="34"/>
      <c r="AK139" s="40"/>
      <c r="AL139" s="34"/>
      <c r="AM139" s="40"/>
      <c r="AN139" s="40"/>
      <c r="AO139" s="40"/>
      <c r="AP139" s="40"/>
      <c r="AQ139" s="40"/>
      <c r="AR139" s="40"/>
      <c r="AS139" s="40"/>
      <c r="AT139" s="40"/>
      <c r="AU139" s="40"/>
    </row>
    <row r="140" spans="1:47" ht="15.75" customHeight="1" x14ac:dyDescent="0.25">
      <c r="A140" s="34"/>
      <c r="B140" s="35"/>
      <c r="C140" s="36"/>
      <c r="D140" s="37"/>
      <c r="E140" s="38"/>
      <c r="F140" s="39"/>
      <c r="G140" s="17"/>
      <c r="H140" s="39"/>
      <c r="I140" s="34"/>
      <c r="J140" s="40"/>
      <c r="K140" s="34"/>
      <c r="L140" s="34"/>
      <c r="M140" s="40"/>
      <c r="N140" s="34"/>
      <c r="O140" s="40"/>
      <c r="P140" s="34"/>
      <c r="Q140" s="34"/>
      <c r="R140" s="40"/>
      <c r="S140" s="40"/>
      <c r="T140" s="34"/>
      <c r="U140" s="40"/>
      <c r="V140" s="34"/>
      <c r="W140" s="40"/>
      <c r="X140" s="34"/>
      <c r="Y140" s="34"/>
      <c r="Z140" s="40"/>
      <c r="AA140" s="40"/>
      <c r="AB140" s="34"/>
      <c r="AC140" s="34"/>
      <c r="AD140" s="40"/>
      <c r="AE140" s="40"/>
      <c r="AF140" s="40"/>
      <c r="AG140" s="40"/>
      <c r="AH140" s="34"/>
      <c r="AI140" s="34"/>
      <c r="AJ140" s="34"/>
      <c r="AK140" s="40"/>
      <c r="AL140" s="34"/>
      <c r="AM140" s="40"/>
      <c r="AN140" s="40"/>
      <c r="AO140" s="40"/>
      <c r="AP140" s="40"/>
      <c r="AQ140" s="40"/>
      <c r="AR140" s="40"/>
      <c r="AS140" s="40"/>
      <c r="AT140" s="40"/>
      <c r="AU140" s="40"/>
    </row>
    <row r="141" spans="1:47" ht="15.75" customHeight="1" x14ac:dyDescent="0.25">
      <c r="A141" s="34"/>
      <c r="B141" s="35"/>
      <c r="C141" s="36"/>
      <c r="D141" s="37"/>
      <c r="E141" s="38"/>
      <c r="F141" s="39"/>
      <c r="G141" s="17"/>
      <c r="H141" s="39"/>
      <c r="I141" s="34"/>
      <c r="J141" s="40"/>
      <c r="K141" s="34"/>
      <c r="L141" s="34"/>
      <c r="M141" s="40"/>
      <c r="N141" s="34"/>
      <c r="O141" s="40"/>
      <c r="P141" s="34"/>
      <c r="Q141" s="34"/>
      <c r="R141" s="40"/>
      <c r="S141" s="40"/>
      <c r="T141" s="34"/>
      <c r="U141" s="40"/>
      <c r="V141" s="34"/>
      <c r="W141" s="40"/>
      <c r="X141" s="34"/>
      <c r="Y141" s="34"/>
      <c r="Z141" s="40"/>
      <c r="AA141" s="40"/>
      <c r="AB141" s="34"/>
      <c r="AC141" s="34"/>
      <c r="AD141" s="40"/>
      <c r="AE141" s="40"/>
      <c r="AF141" s="40"/>
      <c r="AG141" s="40"/>
      <c r="AH141" s="34"/>
      <c r="AI141" s="34"/>
      <c r="AJ141" s="34"/>
      <c r="AK141" s="40"/>
      <c r="AL141" s="34"/>
      <c r="AM141" s="40"/>
      <c r="AN141" s="40"/>
      <c r="AO141" s="40"/>
      <c r="AP141" s="40"/>
      <c r="AQ141" s="40"/>
      <c r="AR141" s="40"/>
      <c r="AS141" s="40"/>
      <c r="AT141" s="40"/>
      <c r="AU141" s="40"/>
    </row>
    <row r="142" spans="1:47" ht="15.75" customHeight="1" x14ac:dyDescent="0.25">
      <c r="A142" s="34"/>
      <c r="B142" s="35"/>
      <c r="C142" s="36"/>
      <c r="D142" s="37"/>
      <c r="E142" s="38"/>
      <c r="F142" s="39"/>
      <c r="G142" s="17"/>
      <c r="H142" s="39"/>
      <c r="I142" s="34"/>
      <c r="J142" s="40"/>
      <c r="K142" s="34"/>
      <c r="L142" s="34"/>
      <c r="M142" s="40"/>
      <c r="N142" s="34"/>
      <c r="O142" s="40"/>
      <c r="P142" s="34"/>
      <c r="Q142" s="34"/>
      <c r="R142" s="40"/>
      <c r="S142" s="40"/>
      <c r="T142" s="34"/>
      <c r="U142" s="40"/>
      <c r="V142" s="34"/>
      <c r="W142" s="40"/>
      <c r="X142" s="34"/>
      <c r="Y142" s="34"/>
      <c r="Z142" s="40"/>
      <c r="AA142" s="40"/>
      <c r="AB142" s="34"/>
      <c r="AC142" s="34"/>
      <c r="AD142" s="40"/>
      <c r="AE142" s="40"/>
      <c r="AF142" s="40"/>
      <c r="AG142" s="40"/>
      <c r="AH142" s="34"/>
      <c r="AI142" s="34"/>
      <c r="AJ142" s="34"/>
      <c r="AK142" s="40"/>
      <c r="AL142" s="34"/>
      <c r="AM142" s="40"/>
      <c r="AN142" s="40"/>
      <c r="AO142" s="40"/>
      <c r="AP142" s="40"/>
      <c r="AQ142" s="40"/>
      <c r="AR142" s="40"/>
      <c r="AS142" s="40"/>
      <c r="AT142" s="40"/>
      <c r="AU142" s="40"/>
    </row>
    <row r="143" spans="1:47" ht="15.75" customHeight="1" x14ac:dyDescent="0.25">
      <c r="A143" s="34"/>
      <c r="B143" s="35"/>
      <c r="C143" s="36"/>
      <c r="D143" s="37"/>
      <c r="E143" s="38"/>
      <c r="F143" s="39"/>
      <c r="G143" s="17"/>
      <c r="H143" s="39"/>
      <c r="I143" s="34"/>
      <c r="J143" s="40"/>
      <c r="K143" s="34"/>
      <c r="L143" s="34"/>
      <c r="M143" s="40"/>
      <c r="N143" s="34"/>
      <c r="O143" s="40"/>
      <c r="P143" s="34"/>
      <c r="Q143" s="34"/>
      <c r="R143" s="40"/>
      <c r="S143" s="40"/>
      <c r="T143" s="34"/>
      <c r="U143" s="40"/>
      <c r="V143" s="34"/>
      <c r="W143" s="40"/>
      <c r="X143" s="34"/>
      <c r="Y143" s="34"/>
      <c r="Z143" s="40"/>
      <c r="AA143" s="40"/>
      <c r="AB143" s="34"/>
      <c r="AC143" s="34"/>
      <c r="AD143" s="40"/>
      <c r="AE143" s="40"/>
      <c r="AF143" s="40"/>
      <c r="AG143" s="40"/>
      <c r="AH143" s="34"/>
      <c r="AI143" s="34"/>
      <c r="AJ143" s="34"/>
      <c r="AK143" s="40"/>
      <c r="AL143" s="34"/>
      <c r="AM143" s="40"/>
      <c r="AN143" s="40"/>
      <c r="AO143" s="40"/>
      <c r="AP143" s="40"/>
      <c r="AQ143" s="40"/>
      <c r="AR143" s="40"/>
      <c r="AS143" s="40"/>
      <c r="AT143" s="40"/>
      <c r="AU143" s="40"/>
    </row>
    <row r="144" spans="1:47" ht="15.75" customHeight="1" x14ac:dyDescent="0.25">
      <c r="A144" s="34"/>
      <c r="B144" s="35"/>
      <c r="C144" s="36"/>
      <c r="D144" s="37"/>
      <c r="E144" s="38"/>
      <c r="F144" s="39"/>
      <c r="G144" s="17"/>
      <c r="H144" s="39"/>
      <c r="I144" s="34"/>
      <c r="J144" s="40"/>
      <c r="K144" s="34"/>
      <c r="L144" s="34"/>
      <c r="M144" s="40"/>
      <c r="N144" s="34"/>
      <c r="O144" s="40"/>
      <c r="P144" s="34"/>
      <c r="Q144" s="34"/>
      <c r="R144" s="40"/>
      <c r="S144" s="40"/>
      <c r="T144" s="34"/>
      <c r="U144" s="40"/>
      <c r="V144" s="34"/>
      <c r="W144" s="40"/>
      <c r="X144" s="34"/>
      <c r="Y144" s="34"/>
      <c r="Z144" s="40"/>
      <c r="AA144" s="40"/>
      <c r="AB144" s="34"/>
      <c r="AC144" s="34"/>
      <c r="AD144" s="40"/>
      <c r="AE144" s="40"/>
      <c r="AF144" s="40"/>
      <c r="AG144" s="40"/>
      <c r="AH144" s="34"/>
      <c r="AI144" s="34"/>
      <c r="AJ144" s="34"/>
      <c r="AK144" s="40"/>
      <c r="AL144" s="34"/>
      <c r="AM144" s="40"/>
      <c r="AN144" s="40"/>
      <c r="AO144" s="40"/>
      <c r="AP144" s="40"/>
      <c r="AQ144" s="40"/>
      <c r="AR144" s="40"/>
      <c r="AS144" s="40"/>
      <c r="AT144" s="40"/>
      <c r="AU144" s="40"/>
    </row>
    <row r="145" spans="1:47" ht="15.75" customHeight="1" x14ac:dyDescent="0.25">
      <c r="A145" s="34"/>
      <c r="B145" s="35"/>
      <c r="C145" s="36"/>
      <c r="D145" s="37"/>
      <c r="E145" s="38"/>
      <c r="F145" s="39"/>
      <c r="G145" s="17"/>
      <c r="H145" s="39"/>
      <c r="I145" s="34"/>
      <c r="J145" s="40"/>
      <c r="K145" s="34"/>
      <c r="L145" s="34"/>
      <c r="M145" s="40"/>
      <c r="N145" s="34"/>
      <c r="O145" s="40"/>
      <c r="P145" s="34"/>
      <c r="Q145" s="34"/>
      <c r="R145" s="40"/>
      <c r="S145" s="40"/>
      <c r="T145" s="34"/>
      <c r="U145" s="40"/>
      <c r="V145" s="34"/>
      <c r="W145" s="40"/>
      <c r="X145" s="34"/>
      <c r="Y145" s="34"/>
      <c r="Z145" s="40"/>
      <c r="AA145" s="40"/>
      <c r="AB145" s="34"/>
      <c r="AC145" s="34"/>
      <c r="AD145" s="40"/>
      <c r="AE145" s="40"/>
      <c r="AF145" s="40"/>
      <c r="AG145" s="40"/>
      <c r="AH145" s="34"/>
      <c r="AI145" s="34"/>
      <c r="AJ145" s="34"/>
      <c r="AK145" s="40"/>
      <c r="AL145" s="34"/>
      <c r="AM145" s="40"/>
      <c r="AN145" s="40"/>
      <c r="AO145" s="40"/>
      <c r="AP145" s="40"/>
      <c r="AQ145" s="40"/>
      <c r="AR145" s="40"/>
      <c r="AS145" s="40"/>
      <c r="AT145" s="40"/>
      <c r="AU145" s="40"/>
    </row>
    <row r="146" spans="1:47" ht="15.75" customHeight="1" x14ac:dyDescent="0.25">
      <c r="A146" s="34"/>
      <c r="B146" s="35"/>
      <c r="C146" s="36"/>
      <c r="D146" s="37"/>
      <c r="E146" s="38"/>
      <c r="F146" s="39"/>
      <c r="G146" s="17"/>
      <c r="H146" s="39"/>
      <c r="I146" s="34"/>
      <c r="J146" s="40"/>
      <c r="K146" s="34"/>
      <c r="L146" s="34"/>
      <c r="M146" s="40"/>
      <c r="N146" s="34"/>
      <c r="O146" s="40"/>
      <c r="P146" s="34"/>
      <c r="Q146" s="34"/>
      <c r="R146" s="40"/>
      <c r="S146" s="40"/>
      <c r="T146" s="34"/>
      <c r="U146" s="40"/>
      <c r="V146" s="34"/>
      <c r="W146" s="40"/>
      <c r="X146" s="34"/>
      <c r="Y146" s="34"/>
      <c r="Z146" s="40"/>
      <c r="AA146" s="40"/>
      <c r="AB146" s="34"/>
      <c r="AC146" s="34"/>
      <c r="AD146" s="40"/>
      <c r="AE146" s="40"/>
      <c r="AF146" s="40"/>
      <c r="AG146" s="40"/>
      <c r="AH146" s="34"/>
      <c r="AI146" s="34"/>
      <c r="AJ146" s="34"/>
      <c r="AK146" s="40"/>
      <c r="AL146" s="34"/>
      <c r="AM146" s="40"/>
      <c r="AN146" s="40"/>
      <c r="AO146" s="40"/>
      <c r="AP146" s="40"/>
      <c r="AQ146" s="40"/>
      <c r="AR146" s="40"/>
      <c r="AS146" s="40"/>
      <c r="AT146" s="40"/>
      <c r="AU146" s="40"/>
    </row>
    <row r="147" spans="1:47" ht="15.75" customHeight="1" x14ac:dyDescent="0.25">
      <c r="A147" s="34"/>
      <c r="B147" s="35"/>
      <c r="C147" s="36"/>
      <c r="D147" s="37"/>
      <c r="E147" s="38"/>
      <c r="F147" s="39"/>
      <c r="G147" s="17"/>
      <c r="H147" s="39"/>
      <c r="I147" s="34"/>
      <c r="J147" s="40"/>
      <c r="K147" s="34"/>
      <c r="L147" s="34"/>
      <c r="M147" s="40"/>
      <c r="N147" s="34"/>
      <c r="O147" s="40"/>
      <c r="P147" s="34"/>
      <c r="Q147" s="34"/>
      <c r="R147" s="40"/>
      <c r="S147" s="40"/>
      <c r="T147" s="34"/>
      <c r="U147" s="40"/>
      <c r="V147" s="34"/>
      <c r="W147" s="40"/>
      <c r="X147" s="34"/>
      <c r="Y147" s="34"/>
      <c r="Z147" s="40"/>
      <c r="AA147" s="40"/>
      <c r="AB147" s="34"/>
      <c r="AC147" s="34"/>
      <c r="AD147" s="40"/>
      <c r="AE147" s="40"/>
      <c r="AF147" s="40"/>
      <c r="AG147" s="40"/>
      <c r="AH147" s="34"/>
      <c r="AI147" s="34"/>
      <c r="AJ147" s="34"/>
      <c r="AK147" s="40"/>
      <c r="AL147" s="34"/>
      <c r="AM147" s="40"/>
      <c r="AN147" s="40"/>
      <c r="AO147" s="40"/>
      <c r="AP147" s="40"/>
      <c r="AQ147" s="40"/>
      <c r="AR147" s="40"/>
      <c r="AS147" s="40"/>
      <c r="AT147" s="40"/>
      <c r="AU147" s="40"/>
    </row>
    <row r="148" spans="1:47" ht="15.75" customHeight="1" x14ac:dyDescent="0.25">
      <c r="A148" s="34"/>
      <c r="B148" s="35"/>
      <c r="C148" s="36"/>
      <c r="D148" s="37"/>
      <c r="E148" s="38"/>
      <c r="F148" s="39"/>
      <c r="G148" s="17"/>
      <c r="H148" s="39"/>
      <c r="I148" s="34"/>
      <c r="J148" s="40"/>
      <c r="K148" s="34"/>
      <c r="L148" s="34"/>
      <c r="M148" s="40"/>
      <c r="N148" s="34"/>
      <c r="O148" s="40"/>
      <c r="P148" s="34"/>
      <c r="Q148" s="34"/>
      <c r="R148" s="40"/>
      <c r="S148" s="40"/>
      <c r="T148" s="34"/>
      <c r="U148" s="40"/>
      <c r="V148" s="34"/>
      <c r="W148" s="40"/>
      <c r="X148" s="34"/>
      <c r="Y148" s="34"/>
      <c r="Z148" s="40"/>
      <c r="AA148" s="40"/>
      <c r="AB148" s="34"/>
      <c r="AC148" s="34"/>
      <c r="AD148" s="40"/>
      <c r="AE148" s="40"/>
      <c r="AF148" s="40"/>
      <c r="AG148" s="40"/>
      <c r="AH148" s="34"/>
      <c r="AI148" s="34"/>
      <c r="AJ148" s="34"/>
      <c r="AK148" s="40"/>
      <c r="AL148" s="34"/>
      <c r="AM148" s="40"/>
      <c r="AN148" s="40"/>
      <c r="AO148" s="40"/>
      <c r="AP148" s="40"/>
      <c r="AQ148" s="40"/>
      <c r="AR148" s="40"/>
      <c r="AS148" s="40"/>
      <c r="AT148" s="40"/>
      <c r="AU148" s="40"/>
    </row>
    <row r="149" spans="1:47" ht="15.75" customHeight="1" x14ac:dyDescent="0.25">
      <c r="A149" s="34"/>
      <c r="B149" s="35"/>
      <c r="C149" s="36"/>
      <c r="D149" s="37"/>
      <c r="E149" s="38"/>
      <c r="F149" s="39"/>
      <c r="G149" s="17"/>
      <c r="H149" s="39"/>
      <c r="I149" s="34"/>
      <c r="J149" s="40"/>
      <c r="K149" s="34"/>
      <c r="L149" s="34"/>
      <c r="M149" s="40"/>
      <c r="N149" s="34"/>
      <c r="O149" s="40"/>
      <c r="P149" s="34"/>
      <c r="Q149" s="34"/>
      <c r="R149" s="40"/>
      <c r="S149" s="40"/>
      <c r="T149" s="34"/>
      <c r="U149" s="40"/>
      <c r="V149" s="34"/>
      <c r="W149" s="40"/>
      <c r="X149" s="34"/>
      <c r="Y149" s="34"/>
      <c r="Z149" s="40"/>
      <c r="AA149" s="40"/>
      <c r="AB149" s="34"/>
      <c r="AC149" s="34"/>
      <c r="AD149" s="40"/>
      <c r="AE149" s="40"/>
      <c r="AF149" s="40"/>
      <c r="AG149" s="40"/>
      <c r="AH149" s="34"/>
      <c r="AI149" s="34"/>
      <c r="AJ149" s="34"/>
      <c r="AK149" s="40"/>
      <c r="AL149" s="34"/>
      <c r="AM149" s="40"/>
      <c r="AN149" s="40"/>
      <c r="AO149" s="40"/>
      <c r="AP149" s="40"/>
      <c r="AQ149" s="40"/>
      <c r="AR149" s="40"/>
      <c r="AS149" s="40"/>
      <c r="AT149" s="40"/>
      <c r="AU149" s="40"/>
    </row>
    <row r="150" spans="1:47" ht="15.75" customHeight="1" x14ac:dyDescent="0.25">
      <c r="A150" s="34"/>
      <c r="B150" s="35"/>
      <c r="C150" s="36"/>
      <c r="D150" s="37"/>
      <c r="E150" s="38"/>
      <c r="F150" s="39"/>
      <c r="G150" s="17"/>
      <c r="H150" s="39"/>
      <c r="I150" s="34"/>
      <c r="J150" s="40"/>
      <c r="K150" s="34"/>
      <c r="L150" s="34"/>
      <c r="M150" s="40"/>
      <c r="N150" s="34"/>
      <c r="O150" s="40"/>
      <c r="P150" s="34"/>
      <c r="Q150" s="34"/>
      <c r="R150" s="40"/>
      <c r="S150" s="40"/>
      <c r="T150" s="34"/>
      <c r="U150" s="40"/>
      <c r="V150" s="34"/>
      <c r="W150" s="40"/>
      <c r="X150" s="34"/>
      <c r="Y150" s="34"/>
      <c r="Z150" s="40"/>
      <c r="AA150" s="40"/>
      <c r="AB150" s="34"/>
      <c r="AC150" s="34"/>
      <c r="AD150" s="40"/>
      <c r="AE150" s="40"/>
      <c r="AF150" s="40"/>
      <c r="AG150" s="40"/>
      <c r="AH150" s="34"/>
      <c r="AI150" s="34"/>
      <c r="AJ150" s="34"/>
      <c r="AK150" s="40"/>
      <c r="AL150" s="34"/>
      <c r="AM150" s="40"/>
      <c r="AN150" s="40"/>
      <c r="AO150" s="40"/>
      <c r="AP150" s="40"/>
      <c r="AQ150" s="40"/>
      <c r="AR150" s="40"/>
      <c r="AS150" s="40"/>
      <c r="AT150" s="40"/>
      <c r="AU150" s="40"/>
    </row>
    <row r="151" spans="1:47" ht="15.75" customHeight="1" x14ac:dyDescent="0.25">
      <c r="A151" s="34"/>
      <c r="B151" s="35"/>
      <c r="C151" s="36"/>
      <c r="D151" s="37"/>
      <c r="E151" s="38"/>
      <c r="F151" s="39"/>
      <c r="G151" s="17"/>
      <c r="H151" s="39"/>
      <c r="I151" s="34"/>
      <c r="J151" s="40"/>
      <c r="K151" s="34"/>
      <c r="L151" s="34"/>
      <c r="M151" s="40"/>
      <c r="N151" s="34"/>
      <c r="O151" s="40"/>
      <c r="P151" s="34"/>
      <c r="Q151" s="34"/>
      <c r="R151" s="40"/>
      <c r="S151" s="40"/>
      <c r="T151" s="34"/>
      <c r="U151" s="40"/>
      <c r="V151" s="34"/>
      <c r="W151" s="40"/>
      <c r="X151" s="34"/>
      <c r="Y151" s="34"/>
      <c r="Z151" s="40"/>
      <c r="AA151" s="40"/>
      <c r="AB151" s="34"/>
      <c r="AC151" s="34"/>
      <c r="AD151" s="40"/>
      <c r="AE151" s="40"/>
      <c r="AF151" s="40"/>
      <c r="AG151" s="40"/>
      <c r="AH151" s="34"/>
      <c r="AI151" s="34"/>
      <c r="AJ151" s="34"/>
      <c r="AK151" s="40"/>
      <c r="AL151" s="34"/>
      <c r="AM151" s="40"/>
      <c r="AN151" s="40"/>
      <c r="AO151" s="40"/>
      <c r="AP151" s="40"/>
      <c r="AQ151" s="40"/>
      <c r="AR151" s="40"/>
      <c r="AS151" s="40"/>
      <c r="AT151" s="40"/>
      <c r="AU151" s="40"/>
    </row>
    <row r="152" spans="1:47" ht="15.75" customHeight="1" x14ac:dyDescent="0.25">
      <c r="A152" s="34"/>
      <c r="B152" s="35"/>
      <c r="C152" s="36"/>
      <c r="D152" s="37"/>
      <c r="E152" s="38"/>
      <c r="F152" s="39"/>
      <c r="G152" s="17"/>
      <c r="H152" s="39"/>
      <c r="I152" s="34"/>
      <c r="J152" s="40"/>
      <c r="K152" s="34"/>
      <c r="L152" s="34"/>
      <c r="M152" s="40"/>
      <c r="N152" s="34"/>
      <c r="O152" s="40"/>
      <c r="P152" s="34"/>
      <c r="Q152" s="34"/>
      <c r="R152" s="40"/>
      <c r="S152" s="40"/>
      <c r="T152" s="34"/>
      <c r="U152" s="40"/>
      <c r="V152" s="34"/>
      <c r="W152" s="40"/>
      <c r="X152" s="34"/>
      <c r="Y152" s="34"/>
      <c r="Z152" s="40"/>
      <c r="AA152" s="40"/>
      <c r="AB152" s="34"/>
      <c r="AC152" s="34"/>
      <c r="AD152" s="40"/>
      <c r="AE152" s="40"/>
      <c r="AF152" s="40"/>
      <c r="AG152" s="40"/>
      <c r="AH152" s="34"/>
      <c r="AI152" s="34"/>
      <c r="AJ152" s="34"/>
      <c r="AK152" s="40"/>
      <c r="AL152" s="34"/>
      <c r="AM152" s="40"/>
      <c r="AN152" s="40"/>
      <c r="AO152" s="40"/>
      <c r="AP152" s="40"/>
      <c r="AQ152" s="40"/>
      <c r="AR152" s="40"/>
      <c r="AS152" s="40"/>
      <c r="AT152" s="40"/>
      <c r="AU152" s="40"/>
    </row>
    <row r="153" spans="1:47" ht="15.75" customHeight="1" x14ac:dyDescent="0.25">
      <c r="A153" s="34"/>
      <c r="B153" s="35"/>
      <c r="C153" s="36"/>
      <c r="D153" s="37"/>
      <c r="E153" s="38"/>
      <c r="F153" s="39"/>
      <c r="G153" s="17"/>
      <c r="H153" s="39"/>
      <c r="I153" s="34"/>
      <c r="J153" s="40"/>
      <c r="K153" s="34"/>
      <c r="L153" s="34"/>
      <c r="M153" s="40"/>
      <c r="N153" s="34"/>
      <c r="O153" s="40"/>
      <c r="P153" s="34"/>
      <c r="Q153" s="34"/>
      <c r="R153" s="40"/>
      <c r="S153" s="40"/>
      <c r="T153" s="34"/>
      <c r="U153" s="40"/>
      <c r="V153" s="34"/>
      <c r="W153" s="40"/>
      <c r="X153" s="34"/>
      <c r="Y153" s="34"/>
      <c r="Z153" s="40"/>
      <c r="AA153" s="40"/>
      <c r="AB153" s="34"/>
      <c r="AC153" s="34"/>
      <c r="AD153" s="40"/>
      <c r="AE153" s="40"/>
      <c r="AF153" s="40"/>
      <c r="AG153" s="40"/>
      <c r="AH153" s="34"/>
      <c r="AI153" s="34"/>
      <c r="AJ153" s="34"/>
      <c r="AK153" s="40"/>
      <c r="AL153" s="34"/>
      <c r="AM153" s="40"/>
      <c r="AN153" s="40"/>
      <c r="AO153" s="40"/>
      <c r="AP153" s="40"/>
      <c r="AQ153" s="40"/>
      <c r="AR153" s="40"/>
      <c r="AS153" s="40"/>
      <c r="AT153" s="40"/>
      <c r="AU153" s="40"/>
    </row>
    <row r="154" spans="1:47" ht="15.75" customHeight="1" x14ac:dyDescent="0.25">
      <c r="A154" s="34"/>
      <c r="B154" s="35"/>
      <c r="C154" s="36"/>
      <c r="D154" s="37"/>
      <c r="E154" s="38"/>
      <c r="F154" s="39"/>
      <c r="G154" s="17"/>
      <c r="H154" s="39"/>
      <c r="I154" s="34"/>
      <c r="J154" s="40"/>
      <c r="K154" s="34"/>
      <c r="L154" s="34"/>
      <c r="M154" s="40"/>
      <c r="N154" s="34"/>
      <c r="O154" s="40"/>
      <c r="P154" s="34"/>
      <c r="Q154" s="34"/>
      <c r="R154" s="40"/>
      <c r="S154" s="40"/>
      <c r="T154" s="34"/>
      <c r="U154" s="40"/>
      <c r="V154" s="34"/>
      <c r="W154" s="40"/>
      <c r="X154" s="34"/>
      <c r="Y154" s="34"/>
      <c r="Z154" s="40"/>
      <c r="AA154" s="40"/>
      <c r="AB154" s="34"/>
      <c r="AC154" s="34"/>
      <c r="AD154" s="40"/>
      <c r="AE154" s="40"/>
      <c r="AF154" s="40"/>
      <c r="AG154" s="40"/>
      <c r="AH154" s="34"/>
      <c r="AI154" s="34"/>
      <c r="AJ154" s="34"/>
      <c r="AK154" s="40"/>
      <c r="AL154" s="34"/>
      <c r="AM154" s="40"/>
      <c r="AN154" s="40"/>
      <c r="AO154" s="40"/>
      <c r="AP154" s="40"/>
      <c r="AQ154" s="40"/>
      <c r="AR154" s="40"/>
      <c r="AS154" s="40"/>
      <c r="AT154" s="40"/>
      <c r="AU154" s="40"/>
    </row>
    <row r="155" spans="1:47" ht="15.75" customHeight="1" x14ac:dyDescent="0.25">
      <c r="A155" s="34"/>
      <c r="B155" s="35"/>
      <c r="C155" s="36"/>
      <c r="D155" s="37"/>
      <c r="E155" s="38"/>
      <c r="F155" s="39"/>
      <c r="G155" s="17"/>
      <c r="H155" s="39"/>
      <c r="I155" s="34"/>
      <c r="J155" s="40"/>
      <c r="K155" s="34"/>
      <c r="L155" s="34"/>
      <c r="M155" s="40"/>
      <c r="N155" s="34"/>
      <c r="O155" s="40"/>
      <c r="P155" s="34"/>
      <c r="Q155" s="34"/>
      <c r="R155" s="40"/>
      <c r="S155" s="40"/>
      <c r="T155" s="34"/>
      <c r="U155" s="40"/>
      <c r="V155" s="34"/>
      <c r="W155" s="40"/>
      <c r="X155" s="34"/>
      <c r="Y155" s="34"/>
      <c r="Z155" s="40"/>
      <c r="AA155" s="40"/>
      <c r="AB155" s="34"/>
      <c r="AC155" s="34"/>
      <c r="AD155" s="40"/>
      <c r="AE155" s="40"/>
      <c r="AF155" s="40"/>
      <c r="AG155" s="40"/>
      <c r="AH155" s="34"/>
      <c r="AI155" s="34"/>
      <c r="AJ155" s="34"/>
      <c r="AK155" s="40"/>
      <c r="AL155" s="34"/>
      <c r="AM155" s="40"/>
      <c r="AN155" s="40"/>
      <c r="AO155" s="40"/>
      <c r="AP155" s="40"/>
      <c r="AQ155" s="40"/>
      <c r="AR155" s="40"/>
      <c r="AS155" s="40"/>
      <c r="AT155" s="40"/>
      <c r="AU155" s="40"/>
    </row>
    <row r="156" spans="1:47" ht="15.75" customHeight="1" x14ac:dyDescent="0.25">
      <c r="A156" s="34"/>
      <c r="B156" s="35"/>
      <c r="C156" s="36"/>
      <c r="D156" s="37"/>
      <c r="E156" s="38"/>
      <c r="F156" s="39"/>
      <c r="G156" s="17"/>
      <c r="H156" s="39"/>
      <c r="I156" s="34"/>
      <c r="J156" s="40"/>
      <c r="K156" s="34"/>
      <c r="L156" s="34"/>
      <c r="M156" s="40"/>
      <c r="N156" s="34"/>
      <c r="O156" s="40"/>
      <c r="P156" s="34"/>
      <c r="Q156" s="34"/>
      <c r="R156" s="40"/>
      <c r="S156" s="40"/>
      <c r="T156" s="34"/>
      <c r="U156" s="40"/>
      <c r="V156" s="34"/>
      <c r="W156" s="40"/>
      <c r="X156" s="34"/>
      <c r="Y156" s="34"/>
      <c r="Z156" s="40"/>
      <c r="AA156" s="40"/>
      <c r="AB156" s="34"/>
      <c r="AC156" s="34"/>
      <c r="AD156" s="40"/>
      <c r="AE156" s="40"/>
      <c r="AF156" s="40"/>
      <c r="AG156" s="40"/>
      <c r="AH156" s="34"/>
      <c r="AI156" s="34"/>
      <c r="AJ156" s="34"/>
      <c r="AK156" s="40"/>
      <c r="AL156" s="34"/>
      <c r="AM156" s="40"/>
      <c r="AN156" s="40"/>
      <c r="AO156" s="40"/>
      <c r="AP156" s="40"/>
      <c r="AQ156" s="40"/>
      <c r="AR156" s="40"/>
      <c r="AS156" s="40"/>
      <c r="AT156" s="40"/>
      <c r="AU156" s="40"/>
    </row>
    <row r="157" spans="1:47" ht="15.75" customHeight="1" x14ac:dyDescent="0.25">
      <c r="A157" s="34"/>
      <c r="B157" s="35"/>
      <c r="C157" s="36"/>
      <c r="D157" s="37"/>
      <c r="E157" s="38"/>
      <c r="F157" s="39"/>
      <c r="G157" s="17"/>
      <c r="H157" s="39"/>
      <c r="I157" s="34"/>
      <c r="J157" s="40"/>
      <c r="K157" s="34"/>
      <c r="L157" s="34"/>
      <c r="M157" s="40"/>
      <c r="N157" s="34"/>
      <c r="O157" s="40"/>
      <c r="P157" s="34"/>
      <c r="Q157" s="34"/>
      <c r="R157" s="40"/>
      <c r="S157" s="40"/>
      <c r="T157" s="34"/>
      <c r="U157" s="40"/>
      <c r="V157" s="34"/>
      <c r="W157" s="40"/>
      <c r="X157" s="34"/>
      <c r="Y157" s="34"/>
      <c r="Z157" s="40"/>
      <c r="AA157" s="40"/>
      <c r="AB157" s="34"/>
      <c r="AC157" s="34"/>
      <c r="AD157" s="40"/>
      <c r="AE157" s="40"/>
      <c r="AF157" s="40"/>
      <c r="AG157" s="40"/>
      <c r="AH157" s="34"/>
      <c r="AI157" s="34"/>
      <c r="AJ157" s="34"/>
      <c r="AK157" s="40"/>
      <c r="AL157" s="34"/>
      <c r="AM157" s="40"/>
      <c r="AN157" s="40"/>
      <c r="AO157" s="40"/>
      <c r="AP157" s="40"/>
      <c r="AQ157" s="40"/>
      <c r="AR157" s="40"/>
      <c r="AS157" s="40"/>
      <c r="AT157" s="40"/>
      <c r="AU157" s="40"/>
    </row>
    <row r="158" spans="1:47" ht="15.75" customHeight="1" x14ac:dyDescent="0.25">
      <c r="A158" s="34"/>
      <c r="B158" s="35"/>
      <c r="C158" s="36"/>
      <c r="D158" s="37"/>
      <c r="E158" s="38"/>
      <c r="F158" s="39"/>
      <c r="G158" s="17"/>
      <c r="H158" s="39"/>
      <c r="I158" s="34"/>
      <c r="J158" s="40"/>
      <c r="K158" s="34"/>
      <c r="L158" s="34"/>
      <c r="M158" s="40"/>
      <c r="N158" s="34"/>
      <c r="O158" s="40"/>
      <c r="P158" s="34"/>
      <c r="Q158" s="34"/>
      <c r="R158" s="40"/>
      <c r="S158" s="40"/>
      <c r="T158" s="34"/>
      <c r="U158" s="40"/>
      <c r="V158" s="34"/>
      <c r="W158" s="40"/>
      <c r="X158" s="34"/>
      <c r="Y158" s="34"/>
      <c r="Z158" s="40"/>
      <c r="AA158" s="40"/>
      <c r="AB158" s="34"/>
      <c r="AC158" s="34"/>
      <c r="AD158" s="40"/>
      <c r="AE158" s="40"/>
      <c r="AF158" s="40"/>
      <c r="AG158" s="40"/>
      <c r="AH158" s="34"/>
      <c r="AI158" s="34"/>
      <c r="AJ158" s="34"/>
      <c r="AK158" s="40"/>
      <c r="AL158" s="34"/>
      <c r="AM158" s="40"/>
      <c r="AN158" s="40"/>
      <c r="AO158" s="40"/>
      <c r="AP158" s="40"/>
      <c r="AQ158" s="40"/>
      <c r="AR158" s="40"/>
      <c r="AS158" s="40"/>
      <c r="AT158" s="40"/>
      <c r="AU158" s="40"/>
    </row>
    <row r="159" spans="1:47" ht="15.75" customHeight="1" x14ac:dyDescent="0.25">
      <c r="A159" s="34"/>
      <c r="B159" s="35"/>
      <c r="C159" s="36"/>
      <c r="D159" s="37"/>
      <c r="E159" s="38"/>
      <c r="F159" s="39"/>
      <c r="G159" s="17"/>
      <c r="H159" s="39"/>
      <c r="I159" s="34"/>
      <c r="J159" s="40"/>
      <c r="K159" s="34"/>
      <c r="L159" s="34"/>
      <c r="M159" s="40"/>
      <c r="N159" s="34"/>
      <c r="O159" s="40"/>
      <c r="P159" s="34"/>
      <c r="Q159" s="34"/>
      <c r="R159" s="40"/>
      <c r="S159" s="40"/>
      <c r="T159" s="34"/>
      <c r="U159" s="40"/>
      <c r="V159" s="34"/>
      <c r="W159" s="40"/>
      <c r="X159" s="34"/>
      <c r="Y159" s="34"/>
      <c r="Z159" s="40"/>
      <c r="AA159" s="40"/>
      <c r="AB159" s="34"/>
      <c r="AC159" s="34"/>
      <c r="AD159" s="40"/>
      <c r="AE159" s="40"/>
      <c r="AF159" s="40"/>
      <c r="AG159" s="40"/>
      <c r="AH159" s="34"/>
      <c r="AI159" s="34"/>
      <c r="AJ159" s="34"/>
      <c r="AK159" s="40"/>
      <c r="AL159" s="34"/>
      <c r="AM159" s="40"/>
      <c r="AN159" s="40"/>
      <c r="AO159" s="40"/>
      <c r="AP159" s="40"/>
      <c r="AQ159" s="40"/>
      <c r="AR159" s="40"/>
      <c r="AS159" s="40"/>
      <c r="AT159" s="40"/>
      <c r="AU159" s="40"/>
    </row>
    <row r="160" spans="1:47" ht="15.75" customHeight="1" x14ac:dyDescent="0.25">
      <c r="A160" s="34"/>
      <c r="B160" s="35"/>
      <c r="C160" s="36"/>
      <c r="D160" s="37"/>
      <c r="E160" s="38"/>
      <c r="F160" s="39"/>
      <c r="G160" s="17"/>
      <c r="H160" s="39"/>
      <c r="I160" s="34"/>
      <c r="J160" s="40"/>
      <c r="K160" s="34"/>
      <c r="L160" s="34"/>
      <c r="M160" s="40"/>
      <c r="N160" s="34"/>
      <c r="O160" s="40"/>
      <c r="P160" s="34"/>
      <c r="Q160" s="34"/>
      <c r="R160" s="40"/>
      <c r="S160" s="40"/>
      <c r="T160" s="34"/>
      <c r="U160" s="40"/>
      <c r="V160" s="34"/>
      <c r="W160" s="40"/>
      <c r="X160" s="34"/>
      <c r="Y160" s="34"/>
      <c r="Z160" s="40"/>
      <c r="AA160" s="40"/>
      <c r="AB160" s="34"/>
      <c r="AC160" s="34"/>
      <c r="AD160" s="40"/>
      <c r="AE160" s="40"/>
      <c r="AF160" s="40"/>
      <c r="AG160" s="40"/>
      <c r="AH160" s="34"/>
      <c r="AI160" s="34"/>
      <c r="AJ160" s="34"/>
      <c r="AK160" s="40"/>
      <c r="AL160" s="34"/>
      <c r="AM160" s="40"/>
      <c r="AN160" s="40"/>
      <c r="AO160" s="40"/>
      <c r="AP160" s="40"/>
      <c r="AQ160" s="40"/>
      <c r="AR160" s="40"/>
      <c r="AS160" s="40"/>
      <c r="AT160" s="40"/>
      <c r="AU160" s="40"/>
    </row>
    <row r="161" spans="1:47" ht="15.75" customHeight="1" x14ac:dyDescent="0.25">
      <c r="A161" s="34"/>
      <c r="B161" s="35"/>
      <c r="C161" s="36"/>
      <c r="D161" s="37"/>
      <c r="E161" s="38"/>
      <c r="F161" s="39"/>
      <c r="G161" s="17"/>
      <c r="H161" s="39"/>
      <c r="I161" s="34"/>
      <c r="J161" s="40"/>
      <c r="K161" s="34"/>
      <c r="L161" s="34"/>
      <c r="M161" s="40"/>
      <c r="N161" s="34"/>
      <c r="O161" s="40"/>
      <c r="P161" s="34"/>
      <c r="Q161" s="34"/>
      <c r="R161" s="40"/>
      <c r="S161" s="40"/>
      <c r="T161" s="34"/>
      <c r="U161" s="40"/>
      <c r="V161" s="34"/>
      <c r="W161" s="40"/>
      <c r="X161" s="34"/>
      <c r="Y161" s="34"/>
      <c r="Z161" s="40"/>
      <c r="AA161" s="40"/>
      <c r="AB161" s="34"/>
      <c r="AC161" s="34"/>
      <c r="AD161" s="40"/>
      <c r="AE161" s="40"/>
      <c r="AF161" s="40"/>
      <c r="AG161" s="40"/>
      <c r="AH161" s="34"/>
      <c r="AI161" s="34"/>
      <c r="AJ161" s="34"/>
      <c r="AK161" s="40"/>
      <c r="AL161" s="34"/>
      <c r="AM161" s="40"/>
      <c r="AN161" s="40"/>
      <c r="AO161" s="40"/>
      <c r="AP161" s="40"/>
      <c r="AQ161" s="40"/>
      <c r="AR161" s="40"/>
      <c r="AS161" s="40"/>
      <c r="AT161" s="40"/>
      <c r="AU161" s="40"/>
    </row>
    <row r="162" spans="1:47" ht="15.75" customHeight="1" x14ac:dyDescent="0.25">
      <c r="A162" s="34"/>
      <c r="B162" s="35"/>
      <c r="C162" s="36"/>
      <c r="D162" s="37"/>
      <c r="E162" s="38"/>
      <c r="F162" s="39"/>
      <c r="G162" s="17"/>
      <c r="H162" s="39"/>
      <c r="I162" s="34"/>
      <c r="J162" s="40"/>
      <c r="K162" s="34"/>
      <c r="L162" s="34"/>
      <c r="M162" s="40"/>
      <c r="N162" s="34"/>
      <c r="O162" s="40"/>
      <c r="P162" s="34"/>
      <c r="Q162" s="34"/>
      <c r="R162" s="40"/>
      <c r="S162" s="40"/>
      <c r="T162" s="34"/>
      <c r="U162" s="40"/>
      <c r="V162" s="34"/>
      <c r="W162" s="40"/>
      <c r="X162" s="34"/>
      <c r="Y162" s="34"/>
      <c r="Z162" s="40"/>
      <c r="AA162" s="40"/>
      <c r="AB162" s="34"/>
      <c r="AC162" s="34"/>
      <c r="AD162" s="40"/>
      <c r="AE162" s="40"/>
      <c r="AF162" s="40"/>
      <c r="AG162" s="40"/>
      <c r="AH162" s="34"/>
      <c r="AI162" s="34"/>
      <c r="AJ162" s="34"/>
      <c r="AK162" s="40"/>
      <c r="AL162" s="34"/>
      <c r="AM162" s="40"/>
      <c r="AN162" s="40"/>
      <c r="AO162" s="40"/>
      <c r="AP162" s="40"/>
      <c r="AQ162" s="40"/>
      <c r="AR162" s="40"/>
      <c r="AS162" s="40"/>
      <c r="AT162" s="40"/>
      <c r="AU162" s="40"/>
    </row>
    <row r="163" spans="1:47" ht="15.75" customHeight="1" x14ac:dyDescent="0.25">
      <c r="A163" s="34"/>
      <c r="B163" s="35"/>
      <c r="C163" s="36"/>
      <c r="D163" s="37"/>
      <c r="E163" s="38"/>
      <c r="F163" s="39"/>
      <c r="G163" s="17"/>
      <c r="H163" s="39"/>
      <c r="I163" s="34"/>
      <c r="J163" s="40"/>
      <c r="K163" s="34"/>
      <c r="L163" s="34"/>
      <c r="M163" s="40"/>
      <c r="N163" s="34"/>
      <c r="O163" s="40"/>
      <c r="P163" s="34"/>
      <c r="Q163" s="34"/>
      <c r="R163" s="40"/>
      <c r="S163" s="40"/>
      <c r="T163" s="34"/>
      <c r="U163" s="40"/>
      <c r="V163" s="34"/>
      <c r="W163" s="40"/>
      <c r="X163" s="34"/>
      <c r="Y163" s="34"/>
      <c r="Z163" s="40"/>
      <c r="AA163" s="40"/>
      <c r="AB163" s="34"/>
      <c r="AC163" s="34"/>
      <c r="AD163" s="40"/>
      <c r="AE163" s="40"/>
      <c r="AF163" s="40"/>
      <c r="AG163" s="40"/>
      <c r="AH163" s="34"/>
      <c r="AI163" s="34"/>
      <c r="AJ163" s="34"/>
      <c r="AK163" s="40"/>
      <c r="AL163" s="34"/>
      <c r="AM163" s="40"/>
      <c r="AN163" s="40"/>
      <c r="AO163" s="40"/>
      <c r="AP163" s="40"/>
      <c r="AQ163" s="40"/>
      <c r="AR163" s="40"/>
      <c r="AS163" s="40"/>
      <c r="AT163" s="40"/>
      <c r="AU163" s="40"/>
    </row>
    <row r="164" spans="1:47" ht="15.75" customHeight="1" x14ac:dyDescent="0.25">
      <c r="A164" s="34"/>
      <c r="B164" s="35"/>
      <c r="C164" s="36"/>
      <c r="D164" s="37"/>
      <c r="E164" s="38"/>
      <c r="F164" s="39"/>
      <c r="G164" s="17"/>
      <c r="H164" s="39"/>
      <c r="I164" s="34"/>
      <c r="J164" s="40"/>
      <c r="K164" s="34"/>
      <c r="L164" s="34"/>
      <c r="M164" s="40"/>
      <c r="N164" s="34"/>
      <c r="O164" s="40"/>
      <c r="P164" s="34"/>
      <c r="Q164" s="34"/>
      <c r="R164" s="40"/>
      <c r="S164" s="40"/>
      <c r="T164" s="34"/>
      <c r="U164" s="40"/>
      <c r="V164" s="34"/>
      <c r="W164" s="40"/>
      <c r="X164" s="34"/>
      <c r="Y164" s="34"/>
      <c r="Z164" s="40"/>
      <c r="AA164" s="40"/>
      <c r="AB164" s="34"/>
      <c r="AC164" s="34"/>
      <c r="AD164" s="40"/>
      <c r="AE164" s="40"/>
      <c r="AF164" s="40"/>
      <c r="AG164" s="40"/>
      <c r="AH164" s="34"/>
      <c r="AI164" s="34"/>
      <c r="AJ164" s="34"/>
      <c r="AK164" s="40"/>
      <c r="AL164" s="34"/>
      <c r="AM164" s="40"/>
      <c r="AN164" s="40"/>
      <c r="AO164" s="40"/>
      <c r="AP164" s="40"/>
      <c r="AQ164" s="40"/>
      <c r="AR164" s="40"/>
      <c r="AS164" s="40"/>
      <c r="AT164" s="40"/>
      <c r="AU164" s="40"/>
    </row>
    <row r="165" spans="1:47" ht="15.75" customHeight="1" x14ac:dyDescent="0.25">
      <c r="A165" s="34"/>
      <c r="B165" s="35"/>
      <c r="C165" s="36"/>
      <c r="D165" s="37"/>
      <c r="E165" s="38"/>
      <c r="F165" s="39"/>
      <c r="G165" s="17"/>
      <c r="H165" s="39"/>
      <c r="I165" s="34"/>
      <c r="J165" s="40"/>
      <c r="K165" s="34"/>
      <c r="L165" s="34"/>
      <c r="M165" s="40"/>
      <c r="N165" s="34"/>
      <c r="O165" s="40"/>
      <c r="P165" s="34"/>
      <c r="Q165" s="34"/>
      <c r="R165" s="40"/>
      <c r="S165" s="40"/>
      <c r="T165" s="34"/>
      <c r="U165" s="40"/>
      <c r="V165" s="34"/>
      <c r="W165" s="40"/>
      <c r="X165" s="34"/>
      <c r="Y165" s="34"/>
      <c r="Z165" s="40"/>
      <c r="AA165" s="40"/>
      <c r="AB165" s="34"/>
      <c r="AC165" s="34"/>
      <c r="AD165" s="40"/>
      <c r="AE165" s="40"/>
      <c r="AF165" s="40"/>
      <c r="AG165" s="40"/>
      <c r="AH165" s="34"/>
      <c r="AI165" s="34"/>
      <c r="AJ165" s="34"/>
      <c r="AK165" s="40"/>
      <c r="AL165" s="34"/>
      <c r="AM165" s="40"/>
      <c r="AN165" s="40"/>
      <c r="AO165" s="40"/>
      <c r="AP165" s="40"/>
      <c r="AQ165" s="40"/>
      <c r="AR165" s="40"/>
      <c r="AS165" s="40"/>
      <c r="AT165" s="40"/>
      <c r="AU165" s="40"/>
    </row>
    <row r="166" spans="1:47" ht="15.75" customHeight="1" x14ac:dyDescent="0.25">
      <c r="A166" s="34"/>
      <c r="B166" s="35"/>
      <c r="C166" s="36"/>
      <c r="D166" s="37"/>
      <c r="E166" s="38"/>
      <c r="F166" s="39"/>
      <c r="G166" s="17"/>
      <c r="H166" s="39"/>
      <c r="I166" s="34"/>
      <c r="J166" s="40"/>
      <c r="K166" s="34"/>
      <c r="L166" s="34"/>
      <c r="M166" s="40"/>
      <c r="N166" s="34"/>
      <c r="O166" s="40"/>
      <c r="P166" s="34"/>
      <c r="Q166" s="34"/>
      <c r="R166" s="40"/>
      <c r="S166" s="40"/>
      <c r="T166" s="34"/>
      <c r="U166" s="40"/>
      <c r="V166" s="34"/>
      <c r="W166" s="40"/>
      <c r="X166" s="34"/>
      <c r="Y166" s="34"/>
      <c r="Z166" s="40"/>
      <c r="AA166" s="40"/>
      <c r="AB166" s="34"/>
      <c r="AC166" s="34"/>
      <c r="AD166" s="40"/>
      <c r="AE166" s="40"/>
      <c r="AF166" s="40"/>
      <c r="AG166" s="40"/>
      <c r="AH166" s="34"/>
      <c r="AI166" s="34"/>
      <c r="AJ166" s="34"/>
      <c r="AK166" s="40"/>
      <c r="AL166" s="34"/>
      <c r="AM166" s="40"/>
      <c r="AN166" s="40"/>
      <c r="AO166" s="40"/>
      <c r="AP166" s="40"/>
      <c r="AQ166" s="40"/>
      <c r="AR166" s="40"/>
      <c r="AS166" s="40"/>
      <c r="AT166" s="40"/>
      <c r="AU166" s="40"/>
    </row>
    <row r="167" spans="1:47" ht="15.75" customHeight="1" x14ac:dyDescent="0.25">
      <c r="A167" s="34"/>
      <c r="B167" s="35"/>
      <c r="C167" s="36"/>
      <c r="D167" s="37"/>
      <c r="E167" s="38"/>
      <c r="F167" s="39"/>
      <c r="G167" s="17"/>
      <c r="H167" s="39"/>
      <c r="I167" s="34"/>
      <c r="J167" s="40"/>
      <c r="K167" s="34"/>
      <c r="L167" s="34"/>
      <c r="M167" s="40"/>
      <c r="N167" s="34"/>
      <c r="O167" s="40"/>
      <c r="P167" s="34"/>
      <c r="Q167" s="34"/>
      <c r="R167" s="40"/>
      <c r="S167" s="40"/>
      <c r="T167" s="34"/>
      <c r="U167" s="40"/>
      <c r="V167" s="34"/>
      <c r="W167" s="40"/>
      <c r="X167" s="34"/>
      <c r="Y167" s="34"/>
      <c r="Z167" s="40"/>
      <c r="AA167" s="40"/>
      <c r="AB167" s="34"/>
      <c r="AC167" s="34"/>
      <c r="AD167" s="40"/>
      <c r="AE167" s="40"/>
      <c r="AF167" s="40"/>
      <c r="AG167" s="40"/>
      <c r="AH167" s="34"/>
      <c r="AI167" s="34"/>
      <c r="AJ167" s="34"/>
      <c r="AK167" s="40"/>
      <c r="AL167" s="34"/>
      <c r="AM167" s="40"/>
      <c r="AN167" s="40"/>
      <c r="AO167" s="40"/>
      <c r="AP167" s="40"/>
      <c r="AQ167" s="40"/>
      <c r="AR167" s="40"/>
      <c r="AS167" s="40"/>
      <c r="AT167" s="40"/>
      <c r="AU167" s="40"/>
    </row>
    <row r="168" spans="1:47" ht="15.75" customHeight="1" x14ac:dyDescent="0.25">
      <c r="A168" s="34"/>
      <c r="B168" s="35"/>
      <c r="C168" s="36"/>
      <c r="D168" s="37"/>
      <c r="E168" s="38"/>
      <c r="F168" s="39"/>
      <c r="G168" s="17"/>
      <c r="H168" s="39"/>
      <c r="I168" s="34"/>
      <c r="J168" s="40"/>
      <c r="K168" s="34"/>
      <c r="L168" s="34"/>
      <c r="M168" s="40"/>
      <c r="N168" s="34"/>
      <c r="O168" s="40"/>
      <c r="P168" s="34"/>
      <c r="Q168" s="34"/>
      <c r="R168" s="40"/>
      <c r="S168" s="40"/>
      <c r="T168" s="34"/>
      <c r="U168" s="40"/>
      <c r="V168" s="34"/>
      <c r="W168" s="40"/>
      <c r="X168" s="34"/>
      <c r="Y168" s="34"/>
      <c r="Z168" s="40"/>
      <c r="AA168" s="40"/>
      <c r="AB168" s="34"/>
      <c r="AC168" s="34"/>
      <c r="AD168" s="40"/>
      <c r="AE168" s="40"/>
      <c r="AF168" s="40"/>
      <c r="AG168" s="40"/>
      <c r="AH168" s="34"/>
      <c r="AI168" s="34"/>
      <c r="AJ168" s="34"/>
      <c r="AK168" s="40"/>
      <c r="AL168" s="34"/>
      <c r="AM168" s="40"/>
      <c r="AN168" s="40"/>
      <c r="AO168" s="40"/>
      <c r="AP168" s="40"/>
      <c r="AQ168" s="40"/>
      <c r="AR168" s="40"/>
      <c r="AS168" s="40"/>
      <c r="AT168" s="40"/>
      <c r="AU168" s="40"/>
    </row>
    <row r="169" spans="1:47" ht="15.75" customHeight="1" x14ac:dyDescent="0.25">
      <c r="A169" s="34"/>
      <c r="B169" s="35"/>
      <c r="C169" s="36"/>
      <c r="D169" s="37"/>
      <c r="E169" s="38"/>
      <c r="F169" s="39"/>
      <c r="G169" s="17"/>
      <c r="H169" s="39"/>
      <c r="I169" s="34"/>
      <c r="J169" s="40"/>
      <c r="K169" s="34"/>
      <c r="L169" s="34"/>
      <c r="M169" s="40"/>
      <c r="N169" s="34"/>
      <c r="O169" s="40"/>
      <c r="P169" s="34"/>
      <c r="Q169" s="34"/>
      <c r="R169" s="40"/>
      <c r="S169" s="40"/>
      <c r="T169" s="34"/>
      <c r="U169" s="40"/>
      <c r="V169" s="34"/>
      <c r="W169" s="40"/>
      <c r="X169" s="34"/>
      <c r="Y169" s="34"/>
      <c r="Z169" s="40"/>
      <c r="AA169" s="40"/>
      <c r="AB169" s="34"/>
      <c r="AC169" s="34"/>
      <c r="AD169" s="40"/>
      <c r="AE169" s="40"/>
      <c r="AF169" s="40"/>
      <c r="AG169" s="40"/>
      <c r="AH169" s="34"/>
      <c r="AI169" s="34"/>
      <c r="AJ169" s="34"/>
      <c r="AK169" s="40"/>
      <c r="AL169" s="34"/>
      <c r="AM169" s="40"/>
      <c r="AN169" s="40"/>
      <c r="AO169" s="40"/>
      <c r="AP169" s="40"/>
      <c r="AQ169" s="40"/>
      <c r="AR169" s="40"/>
      <c r="AS169" s="40"/>
      <c r="AT169" s="40"/>
      <c r="AU169" s="40"/>
    </row>
    <row r="170" spans="1:47" ht="15.75" customHeight="1" x14ac:dyDescent="0.25">
      <c r="A170" s="34"/>
      <c r="B170" s="35"/>
      <c r="C170" s="36"/>
      <c r="D170" s="37"/>
      <c r="E170" s="38"/>
      <c r="F170" s="39"/>
      <c r="G170" s="17"/>
      <c r="H170" s="39"/>
      <c r="I170" s="34"/>
      <c r="J170" s="40"/>
      <c r="K170" s="34"/>
      <c r="L170" s="34"/>
      <c r="M170" s="40"/>
      <c r="N170" s="34"/>
      <c r="O170" s="40"/>
      <c r="P170" s="34"/>
      <c r="Q170" s="34"/>
      <c r="R170" s="40"/>
      <c r="S170" s="40"/>
      <c r="T170" s="34"/>
      <c r="U170" s="40"/>
      <c r="V170" s="34"/>
      <c r="W170" s="40"/>
      <c r="X170" s="34"/>
      <c r="Y170" s="34"/>
      <c r="Z170" s="40"/>
      <c r="AA170" s="40"/>
      <c r="AB170" s="34"/>
      <c r="AC170" s="34"/>
      <c r="AD170" s="40"/>
      <c r="AE170" s="40"/>
      <c r="AF170" s="40"/>
      <c r="AG170" s="40"/>
      <c r="AH170" s="34"/>
      <c r="AI170" s="34"/>
      <c r="AJ170" s="34"/>
      <c r="AK170" s="40"/>
      <c r="AL170" s="34"/>
      <c r="AM170" s="40"/>
      <c r="AN170" s="40"/>
      <c r="AO170" s="40"/>
      <c r="AP170" s="40"/>
      <c r="AQ170" s="40"/>
      <c r="AR170" s="40"/>
      <c r="AS170" s="40"/>
      <c r="AT170" s="40"/>
      <c r="AU170" s="40"/>
    </row>
    <row r="171" spans="1:47" ht="15.75" customHeight="1" x14ac:dyDescent="0.25">
      <c r="A171" s="34"/>
      <c r="B171" s="35"/>
      <c r="C171" s="36"/>
      <c r="D171" s="37"/>
      <c r="E171" s="38"/>
      <c r="F171" s="39"/>
      <c r="G171" s="17"/>
      <c r="H171" s="39"/>
      <c r="I171" s="34"/>
      <c r="J171" s="40"/>
      <c r="K171" s="34"/>
      <c r="L171" s="34"/>
      <c r="M171" s="40"/>
      <c r="N171" s="34"/>
      <c r="O171" s="40"/>
      <c r="P171" s="34"/>
      <c r="Q171" s="34"/>
      <c r="R171" s="40"/>
      <c r="S171" s="40"/>
      <c r="T171" s="34"/>
      <c r="U171" s="40"/>
      <c r="V171" s="34"/>
      <c r="W171" s="40"/>
      <c r="X171" s="34"/>
      <c r="Y171" s="34"/>
      <c r="Z171" s="40"/>
      <c r="AA171" s="40"/>
      <c r="AB171" s="34"/>
      <c r="AC171" s="34"/>
      <c r="AD171" s="40"/>
      <c r="AE171" s="40"/>
      <c r="AF171" s="40"/>
      <c r="AG171" s="40"/>
      <c r="AH171" s="34"/>
      <c r="AI171" s="34"/>
      <c r="AJ171" s="34"/>
      <c r="AK171" s="40"/>
      <c r="AL171" s="34"/>
      <c r="AM171" s="40"/>
      <c r="AN171" s="40"/>
      <c r="AO171" s="40"/>
      <c r="AP171" s="40"/>
      <c r="AQ171" s="40"/>
      <c r="AR171" s="40"/>
      <c r="AS171" s="40"/>
      <c r="AT171" s="40"/>
      <c r="AU171" s="40"/>
    </row>
    <row r="172" spans="1:47" ht="15.75" customHeight="1" x14ac:dyDescent="0.25">
      <c r="A172" s="34"/>
      <c r="B172" s="35"/>
      <c r="C172" s="36"/>
      <c r="D172" s="37"/>
      <c r="E172" s="38"/>
      <c r="F172" s="39"/>
      <c r="G172" s="17"/>
      <c r="H172" s="39"/>
      <c r="I172" s="34"/>
      <c r="J172" s="40"/>
      <c r="K172" s="34"/>
      <c r="L172" s="34"/>
      <c r="M172" s="40"/>
      <c r="N172" s="34"/>
      <c r="O172" s="40"/>
      <c r="P172" s="34"/>
      <c r="Q172" s="34"/>
      <c r="R172" s="40"/>
      <c r="S172" s="40"/>
      <c r="T172" s="34"/>
      <c r="U172" s="40"/>
      <c r="V172" s="34"/>
      <c r="W172" s="40"/>
      <c r="X172" s="34"/>
      <c r="Y172" s="34"/>
      <c r="Z172" s="40"/>
      <c r="AA172" s="40"/>
      <c r="AB172" s="34"/>
      <c r="AC172" s="34"/>
      <c r="AD172" s="40"/>
      <c r="AE172" s="40"/>
      <c r="AF172" s="40"/>
      <c r="AG172" s="40"/>
      <c r="AH172" s="34"/>
      <c r="AI172" s="34"/>
      <c r="AJ172" s="34"/>
      <c r="AK172" s="40"/>
      <c r="AL172" s="34"/>
      <c r="AM172" s="40"/>
      <c r="AN172" s="40"/>
      <c r="AO172" s="40"/>
      <c r="AP172" s="40"/>
      <c r="AQ172" s="40"/>
      <c r="AR172" s="40"/>
      <c r="AS172" s="40"/>
      <c r="AT172" s="40"/>
      <c r="AU172" s="40"/>
    </row>
    <row r="173" spans="1:47" ht="15.75" customHeight="1" x14ac:dyDescent="0.25">
      <c r="A173" s="34"/>
      <c r="B173" s="35"/>
      <c r="C173" s="36"/>
      <c r="D173" s="37"/>
      <c r="E173" s="38"/>
      <c r="F173" s="39"/>
      <c r="G173" s="17"/>
      <c r="H173" s="39"/>
      <c r="I173" s="34"/>
      <c r="J173" s="40"/>
      <c r="K173" s="34"/>
      <c r="L173" s="34"/>
      <c r="M173" s="40"/>
      <c r="N173" s="34"/>
      <c r="O173" s="40"/>
      <c r="P173" s="34"/>
      <c r="Q173" s="34"/>
      <c r="R173" s="40"/>
      <c r="S173" s="40"/>
      <c r="T173" s="34"/>
      <c r="U173" s="40"/>
      <c r="V173" s="34"/>
      <c r="W173" s="40"/>
      <c r="X173" s="34"/>
      <c r="Y173" s="34"/>
      <c r="Z173" s="40"/>
      <c r="AA173" s="40"/>
      <c r="AB173" s="34"/>
      <c r="AC173" s="34"/>
      <c r="AD173" s="40"/>
      <c r="AE173" s="40"/>
      <c r="AF173" s="40"/>
      <c r="AG173" s="40"/>
      <c r="AH173" s="34"/>
      <c r="AI173" s="34"/>
      <c r="AJ173" s="34"/>
      <c r="AK173" s="40"/>
      <c r="AL173" s="34"/>
      <c r="AM173" s="40"/>
      <c r="AN173" s="40"/>
      <c r="AO173" s="40"/>
      <c r="AP173" s="40"/>
      <c r="AQ173" s="40"/>
      <c r="AR173" s="40"/>
      <c r="AS173" s="40"/>
      <c r="AT173" s="40"/>
      <c r="AU173" s="40"/>
    </row>
    <row r="174" spans="1:47" ht="15.75" customHeight="1" x14ac:dyDescent="0.25">
      <c r="A174" s="34"/>
      <c r="B174" s="35"/>
      <c r="C174" s="36"/>
      <c r="D174" s="37"/>
      <c r="E174" s="38"/>
      <c r="F174" s="39"/>
      <c r="G174" s="17"/>
      <c r="H174" s="39"/>
      <c r="I174" s="34"/>
      <c r="J174" s="40"/>
      <c r="K174" s="34"/>
      <c r="L174" s="34"/>
      <c r="M174" s="40"/>
      <c r="N174" s="34"/>
      <c r="O174" s="40"/>
      <c r="P174" s="34"/>
      <c r="Q174" s="34"/>
      <c r="R174" s="40"/>
      <c r="S174" s="40"/>
      <c r="T174" s="34"/>
      <c r="U174" s="40"/>
      <c r="V174" s="34"/>
      <c r="W174" s="40"/>
      <c r="X174" s="34"/>
      <c r="Y174" s="34"/>
      <c r="Z174" s="40"/>
      <c r="AA174" s="40"/>
      <c r="AB174" s="34"/>
      <c r="AC174" s="34"/>
      <c r="AD174" s="40"/>
      <c r="AE174" s="40"/>
      <c r="AF174" s="40"/>
      <c r="AG174" s="40"/>
      <c r="AH174" s="34"/>
      <c r="AI174" s="34"/>
      <c r="AJ174" s="34"/>
      <c r="AK174" s="40"/>
      <c r="AL174" s="34"/>
      <c r="AM174" s="40"/>
      <c r="AN174" s="40"/>
      <c r="AO174" s="40"/>
      <c r="AP174" s="40"/>
      <c r="AQ174" s="40"/>
      <c r="AR174" s="40"/>
      <c r="AS174" s="40"/>
      <c r="AT174" s="40"/>
      <c r="AU174" s="40"/>
    </row>
    <row r="175" spans="1:47" ht="15.75" customHeight="1" x14ac:dyDescent="0.25">
      <c r="A175" s="34"/>
      <c r="B175" s="35"/>
      <c r="C175" s="36"/>
      <c r="D175" s="37"/>
      <c r="E175" s="38"/>
      <c r="F175" s="39"/>
      <c r="G175" s="17"/>
      <c r="H175" s="39"/>
      <c r="I175" s="34"/>
      <c r="J175" s="40"/>
      <c r="K175" s="34"/>
      <c r="L175" s="34"/>
      <c r="M175" s="40"/>
      <c r="N175" s="34"/>
      <c r="O175" s="40"/>
      <c r="P175" s="34"/>
      <c r="Q175" s="34"/>
      <c r="R175" s="40"/>
      <c r="S175" s="40"/>
      <c r="T175" s="34"/>
      <c r="U175" s="40"/>
      <c r="V175" s="34"/>
      <c r="W175" s="40"/>
      <c r="X175" s="34"/>
      <c r="Y175" s="34"/>
      <c r="Z175" s="40"/>
      <c r="AA175" s="40"/>
      <c r="AB175" s="34"/>
      <c r="AC175" s="34"/>
      <c r="AD175" s="40"/>
      <c r="AE175" s="40"/>
      <c r="AF175" s="40"/>
      <c r="AG175" s="40"/>
      <c r="AH175" s="34"/>
      <c r="AI175" s="34"/>
      <c r="AJ175" s="34"/>
      <c r="AK175" s="40"/>
      <c r="AL175" s="34"/>
      <c r="AM175" s="40"/>
      <c r="AN175" s="40"/>
      <c r="AO175" s="40"/>
      <c r="AP175" s="40"/>
      <c r="AQ175" s="40"/>
      <c r="AR175" s="40"/>
      <c r="AS175" s="40"/>
      <c r="AT175" s="40"/>
      <c r="AU175" s="40"/>
    </row>
    <row r="176" spans="1:47" ht="15.75" customHeight="1" x14ac:dyDescent="0.25">
      <c r="A176" s="34"/>
      <c r="B176" s="35"/>
      <c r="C176" s="36"/>
      <c r="D176" s="37"/>
      <c r="E176" s="38"/>
      <c r="F176" s="39"/>
      <c r="G176" s="17"/>
      <c r="H176" s="39"/>
      <c r="I176" s="34"/>
      <c r="J176" s="40"/>
      <c r="K176" s="34"/>
      <c r="L176" s="34"/>
      <c r="M176" s="40"/>
      <c r="N176" s="34"/>
      <c r="O176" s="40"/>
      <c r="P176" s="34"/>
      <c r="Q176" s="34"/>
      <c r="R176" s="40"/>
      <c r="S176" s="40"/>
      <c r="T176" s="34"/>
      <c r="U176" s="40"/>
      <c r="V176" s="34"/>
      <c r="W176" s="40"/>
      <c r="X176" s="34"/>
      <c r="Y176" s="34"/>
      <c r="Z176" s="40"/>
      <c r="AA176" s="40"/>
      <c r="AB176" s="34"/>
      <c r="AC176" s="34"/>
      <c r="AD176" s="40"/>
      <c r="AE176" s="40"/>
      <c r="AF176" s="40"/>
      <c r="AG176" s="40"/>
      <c r="AH176" s="34"/>
      <c r="AI176" s="34"/>
      <c r="AJ176" s="34"/>
      <c r="AK176" s="40"/>
      <c r="AL176" s="34"/>
      <c r="AM176" s="40"/>
      <c r="AN176" s="40"/>
      <c r="AO176" s="40"/>
      <c r="AP176" s="40"/>
      <c r="AQ176" s="40"/>
      <c r="AR176" s="40"/>
      <c r="AS176" s="40"/>
      <c r="AT176" s="40"/>
      <c r="AU176" s="40"/>
    </row>
    <row r="177" spans="1:47" ht="15.75" customHeight="1" x14ac:dyDescent="0.25">
      <c r="A177" s="34"/>
      <c r="B177" s="35"/>
      <c r="C177" s="36"/>
      <c r="D177" s="37"/>
      <c r="E177" s="38"/>
      <c r="F177" s="39"/>
      <c r="G177" s="17"/>
      <c r="H177" s="39"/>
      <c r="I177" s="34"/>
      <c r="J177" s="40"/>
      <c r="K177" s="34"/>
      <c r="L177" s="34"/>
      <c r="M177" s="40"/>
      <c r="N177" s="34"/>
      <c r="O177" s="40"/>
      <c r="P177" s="34"/>
      <c r="Q177" s="34"/>
      <c r="R177" s="40"/>
      <c r="S177" s="40"/>
      <c r="T177" s="34"/>
      <c r="U177" s="40"/>
      <c r="V177" s="34"/>
      <c r="W177" s="40"/>
      <c r="X177" s="34"/>
      <c r="Y177" s="34"/>
      <c r="Z177" s="40"/>
      <c r="AA177" s="40"/>
      <c r="AB177" s="34"/>
      <c r="AC177" s="34"/>
      <c r="AD177" s="40"/>
      <c r="AE177" s="40"/>
      <c r="AF177" s="40"/>
      <c r="AG177" s="40"/>
      <c r="AH177" s="34"/>
      <c r="AI177" s="34"/>
      <c r="AJ177" s="34"/>
      <c r="AK177" s="40"/>
      <c r="AL177" s="34"/>
      <c r="AM177" s="40"/>
      <c r="AN177" s="40"/>
      <c r="AO177" s="40"/>
      <c r="AP177" s="40"/>
      <c r="AQ177" s="40"/>
      <c r="AR177" s="40"/>
      <c r="AS177" s="40"/>
      <c r="AT177" s="40"/>
      <c r="AU177" s="40"/>
    </row>
    <row r="178" spans="1:47" ht="15.75" customHeight="1" x14ac:dyDescent="0.25">
      <c r="A178" s="34"/>
      <c r="B178" s="35"/>
      <c r="C178" s="36"/>
      <c r="D178" s="37"/>
      <c r="E178" s="38"/>
      <c r="F178" s="39"/>
      <c r="G178" s="17"/>
      <c r="H178" s="39"/>
      <c r="I178" s="34"/>
      <c r="J178" s="40"/>
      <c r="K178" s="34"/>
      <c r="L178" s="34"/>
      <c r="M178" s="40"/>
      <c r="N178" s="34"/>
      <c r="O178" s="40"/>
      <c r="P178" s="34"/>
      <c r="Q178" s="34"/>
      <c r="R178" s="40"/>
      <c r="S178" s="40"/>
      <c r="T178" s="34"/>
      <c r="U178" s="40"/>
      <c r="V178" s="34"/>
      <c r="W178" s="40"/>
      <c r="X178" s="34"/>
      <c r="Y178" s="34"/>
      <c r="Z178" s="40"/>
      <c r="AA178" s="40"/>
      <c r="AB178" s="34"/>
      <c r="AC178" s="34"/>
      <c r="AD178" s="40"/>
      <c r="AE178" s="40"/>
      <c r="AF178" s="40"/>
      <c r="AG178" s="40"/>
      <c r="AH178" s="34"/>
      <c r="AI178" s="34"/>
      <c r="AJ178" s="34"/>
      <c r="AK178" s="40"/>
      <c r="AL178" s="34"/>
      <c r="AM178" s="40"/>
      <c r="AN178" s="40"/>
      <c r="AO178" s="40"/>
      <c r="AP178" s="40"/>
      <c r="AQ178" s="40"/>
      <c r="AR178" s="40"/>
      <c r="AS178" s="40"/>
      <c r="AT178" s="40"/>
      <c r="AU178" s="40"/>
    </row>
    <row r="179" spans="1:47" ht="15.75" customHeight="1" x14ac:dyDescent="0.25">
      <c r="A179" s="34"/>
      <c r="B179" s="35"/>
      <c r="C179" s="36"/>
      <c r="D179" s="37"/>
      <c r="E179" s="38"/>
      <c r="F179" s="39"/>
      <c r="G179" s="17"/>
      <c r="H179" s="39"/>
      <c r="I179" s="34"/>
      <c r="J179" s="40"/>
      <c r="K179" s="34"/>
      <c r="L179" s="34"/>
      <c r="M179" s="40"/>
      <c r="N179" s="34"/>
      <c r="O179" s="40"/>
      <c r="P179" s="34"/>
      <c r="Q179" s="34"/>
      <c r="R179" s="40"/>
      <c r="S179" s="40"/>
      <c r="T179" s="34"/>
      <c r="U179" s="40"/>
      <c r="V179" s="34"/>
      <c r="W179" s="40"/>
      <c r="X179" s="34"/>
      <c r="Y179" s="34"/>
      <c r="Z179" s="40"/>
      <c r="AA179" s="40"/>
      <c r="AB179" s="34"/>
      <c r="AC179" s="34"/>
      <c r="AD179" s="40"/>
      <c r="AE179" s="40"/>
      <c r="AF179" s="40"/>
      <c r="AG179" s="40"/>
      <c r="AH179" s="34"/>
      <c r="AI179" s="34"/>
      <c r="AJ179" s="34"/>
      <c r="AK179" s="40"/>
      <c r="AL179" s="34"/>
      <c r="AM179" s="40"/>
      <c r="AN179" s="40"/>
      <c r="AO179" s="40"/>
      <c r="AP179" s="40"/>
      <c r="AQ179" s="40"/>
      <c r="AR179" s="40"/>
      <c r="AS179" s="40"/>
      <c r="AT179" s="40"/>
      <c r="AU179" s="40"/>
    </row>
    <row r="180" spans="1:47" ht="15.75" customHeight="1" x14ac:dyDescent="0.25">
      <c r="A180" s="34"/>
      <c r="B180" s="35"/>
      <c r="C180" s="36"/>
      <c r="D180" s="37"/>
      <c r="E180" s="38"/>
      <c r="F180" s="39"/>
      <c r="G180" s="17"/>
      <c r="H180" s="39"/>
      <c r="I180" s="34"/>
      <c r="J180" s="40"/>
      <c r="K180" s="34"/>
      <c r="L180" s="34"/>
      <c r="M180" s="40"/>
      <c r="N180" s="34"/>
      <c r="O180" s="40"/>
      <c r="P180" s="34"/>
      <c r="Q180" s="34"/>
      <c r="R180" s="40"/>
      <c r="S180" s="40"/>
      <c r="T180" s="34"/>
      <c r="U180" s="40"/>
      <c r="V180" s="34"/>
      <c r="W180" s="40"/>
      <c r="X180" s="34"/>
      <c r="Y180" s="34"/>
      <c r="Z180" s="40"/>
      <c r="AA180" s="40"/>
      <c r="AB180" s="34"/>
      <c r="AC180" s="34"/>
      <c r="AD180" s="40"/>
      <c r="AE180" s="40"/>
      <c r="AF180" s="40"/>
      <c r="AG180" s="40"/>
      <c r="AH180" s="34"/>
      <c r="AI180" s="34"/>
      <c r="AJ180" s="34"/>
      <c r="AK180" s="40"/>
      <c r="AL180" s="34"/>
      <c r="AM180" s="40"/>
      <c r="AN180" s="40"/>
      <c r="AO180" s="40"/>
      <c r="AP180" s="40"/>
      <c r="AQ180" s="40"/>
      <c r="AR180" s="40"/>
      <c r="AS180" s="40"/>
      <c r="AT180" s="40"/>
      <c r="AU180" s="40"/>
    </row>
    <row r="181" spans="1:47" ht="15.75" customHeight="1" x14ac:dyDescent="0.25">
      <c r="A181" s="34"/>
      <c r="B181" s="35"/>
      <c r="C181" s="36"/>
      <c r="D181" s="37"/>
      <c r="E181" s="38"/>
      <c r="F181" s="39"/>
      <c r="G181" s="17"/>
      <c r="H181" s="39"/>
      <c r="I181" s="34"/>
      <c r="J181" s="40"/>
      <c r="K181" s="34"/>
      <c r="L181" s="34"/>
      <c r="M181" s="40"/>
      <c r="N181" s="34"/>
      <c r="O181" s="40"/>
      <c r="P181" s="34"/>
      <c r="Q181" s="34"/>
      <c r="R181" s="40"/>
      <c r="S181" s="40"/>
      <c r="T181" s="34"/>
      <c r="U181" s="40"/>
      <c r="V181" s="34"/>
      <c r="W181" s="40"/>
      <c r="X181" s="34"/>
      <c r="Y181" s="34"/>
      <c r="Z181" s="40"/>
      <c r="AA181" s="40"/>
      <c r="AB181" s="34"/>
      <c r="AC181" s="34"/>
      <c r="AD181" s="40"/>
      <c r="AE181" s="40"/>
      <c r="AF181" s="40"/>
      <c r="AG181" s="40"/>
      <c r="AH181" s="34"/>
      <c r="AI181" s="34"/>
      <c r="AJ181" s="34"/>
      <c r="AK181" s="40"/>
      <c r="AL181" s="34"/>
      <c r="AM181" s="40"/>
      <c r="AN181" s="40"/>
      <c r="AO181" s="40"/>
      <c r="AP181" s="40"/>
      <c r="AQ181" s="40"/>
      <c r="AR181" s="40"/>
      <c r="AS181" s="40"/>
      <c r="AT181" s="40"/>
      <c r="AU181" s="40"/>
    </row>
    <row r="182" spans="1:47" ht="15.75" customHeight="1" x14ac:dyDescent="0.25">
      <c r="A182" s="34"/>
      <c r="B182" s="35"/>
      <c r="C182" s="36"/>
      <c r="D182" s="37"/>
      <c r="E182" s="38"/>
      <c r="F182" s="39"/>
      <c r="G182" s="17"/>
      <c r="H182" s="39"/>
      <c r="I182" s="34"/>
      <c r="J182" s="40"/>
      <c r="K182" s="34"/>
      <c r="L182" s="34"/>
      <c r="M182" s="40"/>
      <c r="N182" s="34"/>
      <c r="O182" s="40"/>
      <c r="P182" s="34"/>
      <c r="Q182" s="34"/>
      <c r="R182" s="40"/>
      <c r="S182" s="40"/>
      <c r="T182" s="34"/>
      <c r="U182" s="40"/>
      <c r="V182" s="34"/>
      <c r="W182" s="40"/>
      <c r="X182" s="34"/>
      <c r="Y182" s="34"/>
      <c r="Z182" s="40"/>
      <c r="AA182" s="40"/>
      <c r="AB182" s="34"/>
      <c r="AC182" s="34"/>
      <c r="AD182" s="40"/>
      <c r="AE182" s="40"/>
      <c r="AF182" s="40"/>
      <c r="AG182" s="40"/>
      <c r="AH182" s="34"/>
      <c r="AI182" s="34"/>
      <c r="AJ182" s="34"/>
      <c r="AK182" s="40"/>
      <c r="AL182" s="34"/>
      <c r="AM182" s="40"/>
      <c r="AN182" s="40"/>
      <c r="AO182" s="40"/>
      <c r="AP182" s="40"/>
      <c r="AQ182" s="40"/>
      <c r="AR182" s="40"/>
      <c r="AS182" s="40"/>
      <c r="AT182" s="40"/>
      <c r="AU182" s="40"/>
    </row>
    <row r="183" spans="1:47" ht="15.75" customHeight="1" x14ac:dyDescent="0.25">
      <c r="A183" s="34"/>
      <c r="B183" s="35"/>
      <c r="C183" s="36"/>
      <c r="D183" s="37"/>
      <c r="E183" s="38"/>
      <c r="F183" s="39"/>
      <c r="G183" s="17"/>
      <c r="H183" s="39"/>
      <c r="I183" s="34"/>
      <c r="J183" s="40"/>
      <c r="K183" s="34"/>
      <c r="L183" s="34"/>
      <c r="M183" s="40"/>
      <c r="N183" s="34"/>
      <c r="O183" s="40"/>
      <c r="P183" s="34"/>
      <c r="Q183" s="34"/>
      <c r="R183" s="40"/>
      <c r="S183" s="40"/>
      <c r="T183" s="34"/>
      <c r="U183" s="40"/>
      <c r="V183" s="34"/>
      <c r="W183" s="40"/>
      <c r="X183" s="34"/>
      <c r="Y183" s="34"/>
      <c r="Z183" s="40"/>
      <c r="AA183" s="40"/>
      <c r="AB183" s="34"/>
      <c r="AC183" s="34"/>
      <c r="AD183" s="40"/>
      <c r="AE183" s="40"/>
      <c r="AF183" s="40"/>
      <c r="AG183" s="40"/>
      <c r="AH183" s="34"/>
      <c r="AI183" s="34"/>
      <c r="AJ183" s="34"/>
      <c r="AK183" s="40"/>
      <c r="AL183" s="34"/>
      <c r="AM183" s="40"/>
      <c r="AN183" s="40"/>
      <c r="AO183" s="40"/>
      <c r="AP183" s="40"/>
      <c r="AQ183" s="40"/>
      <c r="AR183" s="40"/>
      <c r="AS183" s="40"/>
      <c r="AT183" s="40"/>
      <c r="AU183" s="40"/>
    </row>
    <row r="184" spans="1:47" ht="15.75" customHeight="1" x14ac:dyDescent="0.25">
      <c r="A184" s="34"/>
      <c r="B184" s="35"/>
      <c r="C184" s="36"/>
      <c r="D184" s="37"/>
      <c r="E184" s="38"/>
      <c r="F184" s="39"/>
      <c r="G184" s="17"/>
      <c r="H184" s="39"/>
      <c r="I184" s="34"/>
      <c r="J184" s="40"/>
      <c r="K184" s="34"/>
      <c r="L184" s="34"/>
      <c r="M184" s="40"/>
      <c r="N184" s="34"/>
      <c r="O184" s="40"/>
      <c r="P184" s="34"/>
      <c r="Q184" s="34"/>
      <c r="R184" s="40"/>
      <c r="S184" s="40"/>
      <c r="T184" s="34"/>
      <c r="U184" s="40"/>
      <c r="V184" s="34"/>
      <c r="W184" s="40"/>
      <c r="X184" s="34"/>
      <c r="Y184" s="34"/>
      <c r="Z184" s="40"/>
      <c r="AA184" s="40"/>
      <c r="AB184" s="34"/>
      <c r="AC184" s="34"/>
      <c r="AD184" s="40"/>
      <c r="AE184" s="40"/>
      <c r="AF184" s="40"/>
      <c r="AG184" s="40"/>
      <c r="AH184" s="34"/>
      <c r="AI184" s="34"/>
      <c r="AJ184" s="34"/>
      <c r="AK184" s="40"/>
      <c r="AL184" s="34"/>
      <c r="AM184" s="40"/>
      <c r="AN184" s="40"/>
      <c r="AO184" s="40"/>
      <c r="AP184" s="40"/>
      <c r="AQ184" s="40"/>
      <c r="AR184" s="40"/>
      <c r="AS184" s="40"/>
      <c r="AT184" s="40"/>
      <c r="AU184" s="40"/>
    </row>
    <row r="185" spans="1:47" ht="15.75" customHeight="1" x14ac:dyDescent="0.25">
      <c r="A185" s="34"/>
      <c r="B185" s="35"/>
      <c r="C185" s="36"/>
      <c r="D185" s="37"/>
      <c r="E185" s="38"/>
      <c r="F185" s="39"/>
      <c r="G185" s="17"/>
      <c r="H185" s="39"/>
      <c r="I185" s="34"/>
      <c r="J185" s="40"/>
      <c r="K185" s="34"/>
      <c r="L185" s="34"/>
      <c r="M185" s="40"/>
      <c r="N185" s="34"/>
      <c r="O185" s="40"/>
      <c r="P185" s="34"/>
      <c r="Q185" s="34"/>
      <c r="R185" s="40"/>
      <c r="S185" s="40"/>
      <c r="T185" s="34"/>
      <c r="U185" s="40"/>
      <c r="V185" s="34"/>
      <c r="W185" s="40"/>
      <c r="X185" s="34"/>
      <c r="Y185" s="34"/>
      <c r="Z185" s="40"/>
      <c r="AA185" s="40"/>
      <c r="AB185" s="34"/>
      <c r="AC185" s="34"/>
      <c r="AD185" s="40"/>
      <c r="AE185" s="40"/>
      <c r="AF185" s="40"/>
      <c r="AG185" s="40"/>
      <c r="AH185" s="34"/>
      <c r="AI185" s="34"/>
      <c r="AJ185" s="34"/>
      <c r="AK185" s="40"/>
      <c r="AL185" s="34"/>
      <c r="AM185" s="40"/>
      <c r="AN185" s="40"/>
      <c r="AO185" s="40"/>
      <c r="AP185" s="40"/>
      <c r="AQ185" s="40"/>
      <c r="AR185" s="40"/>
      <c r="AS185" s="40"/>
      <c r="AT185" s="40"/>
      <c r="AU185" s="40"/>
    </row>
    <row r="186" spans="1:47" ht="15.75" customHeight="1" x14ac:dyDescent="0.25">
      <c r="A186" s="34"/>
      <c r="B186" s="35"/>
      <c r="C186" s="36"/>
      <c r="D186" s="37"/>
      <c r="E186" s="38"/>
      <c r="F186" s="39"/>
      <c r="G186" s="17"/>
      <c r="H186" s="39"/>
      <c r="I186" s="34"/>
      <c r="J186" s="40"/>
      <c r="K186" s="34"/>
      <c r="L186" s="34"/>
      <c r="M186" s="40"/>
      <c r="N186" s="34"/>
      <c r="O186" s="40"/>
      <c r="P186" s="34"/>
      <c r="Q186" s="34"/>
      <c r="R186" s="40"/>
      <c r="S186" s="40"/>
      <c r="T186" s="34"/>
      <c r="U186" s="40"/>
      <c r="V186" s="34"/>
      <c r="W186" s="40"/>
      <c r="X186" s="34"/>
      <c r="Y186" s="34"/>
      <c r="Z186" s="40"/>
      <c r="AA186" s="40"/>
      <c r="AB186" s="34"/>
      <c r="AC186" s="34"/>
      <c r="AD186" s="40"/>
      <c r="AE186" s="40"/>
      <c r="AF186" s="40"/>
      <c r="AG186" s="40"/>
      <c r="AH186" s="34"/>
      <c r="AI186" s="34"/>
      <c r="AJ186" s="34"/>
      <c r="AK186" s="40"/>
      <c r="AL186" s="34"/>
      <c r="AM186" s="40"/>
      <c r="AN186" s="40"/>
      <c r="AO186" s="40"/>
      <c r="AP186" s="40"/>
      <c r="AQ186" s="40"/>
      <c r="AR186" s="40"/>
      <c r="AS186" s="40"/>
      <c r="AT186" s="40"/>
      <c r="AU186" s="40"/>
    </row>
    <row r="187" spans="1:47" ht="15.75" customHeight="1" x14ac:dyDescent="0.25">
      <c r="A187" s="34"/>
      <c r="B187" s="35"/>
      <c r="C187" s="36"/>
      <c r="D187" s="37"/>
      <c r="E187" s="38"/>
      <c r="F187" s="39"/>
      <c r="G187" s="17"/>
      <c r="H187" s="39"/>
      <c r="I187" s="34"/>
      <c r="J187" s="40"/>
      <c r="K187" s="34"/>
      <c r="L187" s="34"/>
      <c r="M187" s="40"/>
      <c r="N187" s="34"/>
      <c r="O187" s="40"/>
      <c r="P187" s="34"/>
      <c r="Q187" s="34"/>
      <c r="R187" s="40"/>
      <c r="S187" s="40"/>
      <c r="T187" s="34"/>
      <c r="U187" s="40"/>
      <c r="V187" s="34"/>
      <c r="W187" s="40"/>
      <c r="X187" s="34"/>
      <c r="Y187" s="34"/>
      <c r="Z187" s="40"/>
      <c r="AA187" s="40"/>
      <c r="AB187" s="34"/>
      <c r="AC187" s="34"/>
      <c r="AD187" s="40"/>
      <c r="AE187" s="40"/>
      <c r="AF187" s="40"/>
      <c r="AG187" s="40"/>
      <c r="AH187" s="34"/>
      <c r="AI187" s="34"/>
      <c r="AJ187" s="34"/>
      <c r="AK187" s="40"/>
      <c r="AL187" s="34"/>
      <c r="AM187" s="40"/>
      <c r="AN187" s="40"/>
      <c r="AO187" s="40"/>
      <c r="AP187" s="40"/>
      <c r="AQ187" s="40"/>
      <c r="AR187" s="40"/>
      <c r="AS187" s="40"/>
      <c r="AT187" s="40"/>
      <c r="AU187" s="40"/>
    </row>
    <row r="188" spans="1:47" ht="15.75" customHeight="1" x14ac:dyDescent="0.25">
      <c r="A188" s="34"/>
      <c r="B188" s="35"/>
      <c r="C188" s="36"/>
      <c r="D188" s="37"/>
      <c r="E188" s="38"/>
      <c r="F188" s="39"/>
      <c r="G188" s="17"/>
      <c r="H188" s="39"/>
      <c r="I188" s="34"/>
      <c r="J188" s="40"/>
      <c r="K188" s="34"/>
      <c r="L188" s="34"/>
      <c r="M188" s="40"/>
      <c r="N188" s="34"/>
      <c r="O188" s="40"/>
      <c r="P188" s="34"/>
      <c r="Q188" s="34"/>
      <c r="R188" s="40"/>
      <c r="S188" s="40"/>
      <c r="T188" s="34"/>
      <c r="U188" s="40"/>
      <c r="V188" s="34"/>
      <c r="W188" s="40"/>
      <c r="X188" s="34"/>
      <c r="Y188" s="34"/>
      <c r="Z188" s="40"/>
      <c r="AA188" s="40"/>
      <c r="AB188" s="34"/>
      <c r="AC188" s="34"/>
      <c r="AD188" s="40"/>
      <c r="AE188" s="40"/>
      <c r="AF188" s="40"/>
      <c r="AG188" s="40"/>
      <c r="AH188" s="34"/>
      <c r="AI188" s="34"/>
      <c r="AJ188" s="34"/>
      <c r="AK188" s="40"/>
      <c r="AL188" s="34"/>
      <c r="AM188" s="40"/>
      <c r="AN188" s="40"/>
      <c r="AO188" s="40"/>
      <c r="AP188" s="40"/>
      <c r="AQ188" s="40"/>
      <c r="AR188" s="40"/>
      <c r="AS188" s="40"/>
      <c r="AT188" s="40"/>
      <c r="AU188" s="40"/>
    </row>
    <row r="189" spans="1:47" ht="15.75" customHeight="1" x14ac:dyDescent="0.25">
      <c r="A189" s="34"/>
      <c r="B189" s="35"/>
      <c r="C189" s="36"/>
      <c r="D189" s="37"/>
      <c r="E189" s="38"/>
      <c r="F189" s="39"/>
      <c r="G189" s="17"/>
      <c r="H189" s="39"/>
      <c r="I189" s="34"/>
      <c r="J189" s="40"/>
      <c r="K189" s="34"/>
      <c r="L189" s="34"/>
      <c r="M189" s="40"/>
      <c r="N189" s="34"/>
      <c r="O189" s="40"/>
      <c r="P189" s="34"/>
      <c r="Q189" s="34"/>
      <c r="R189" s="40"/>
      <c r="S189" s="40"/>
      <c r="T189" s="34"/>
      <c r="U189" s="40"/>
      <c r="V189" s="34"/>
      <c r="W189" s="40"/>
      <c r="X189" s="34"/>
      <c r="Y189" s="34"/>
      <c r="Z189" s="40"/>
      <c r="AA189" s="40"/>
      <c r="AB189" s="34"/>
      <c r="AC189" s="34"/>
      <c r="AD189" s="40"/>
      <c r="AE189" s="40"/>
      <c r="AF189" s="40"/>
      <c r="AG189" s="40"/>
      <c r="AH189" s="34"/>
      <c r="AI189" s="34"/>
      <c r="AJ189" s="34"/>
      <c r="AK189" s="40"/>
      <c r="AL189" s="34"/>
      <c r="AM189" s="40"/>
      <c r="AN189" s="40"/>
      <c r="AO189" s="40"/>
      <c r="AP189" s="40"/>
      <c r="AQ189" s="40"/>
      <c r="AR189" s="40"/>
      <c r="AS189" s="40"/>
      <c r="AT189" s="40"/>
      <c r="AU189" s="40"/>
    </row>
    <row r="190" spans="1:47" ht="15.75" customHeight="1" x14ac:dyDescent="0.25">
      <c r="A190" s="34"/>
      <c r="B190" s="35"/>
      <c r="C190" s="36"/>
      <c r="D190" s="37"/>
      <c r="E190" s="38"/>
      <c r="F190" s="39"/>
      <c r="G190" s="17"/>
      <c r="H190" s="39"/>
      <c r="I190" s="34"/>
      <c r="J190" s="40"/>
      <c r="K190" s="34"/>
      <c r="L190" s="34"/>
      <c r="M190" s="40"/>
      <c r="N190" s="34"/>
      <c r="O190" s="40"/>
      <c r="P190" s="34"/>
      <c r="Q190" s="34"/>
      <c r="R190" s="40"/>
      <c r="S190" s="40"/>
      <c r="T190" s="34"/>
      <c r="U190" s="40"/>
      <c r="V190" s="34"/>
      <c r="W190" s="40"/>
      <c r="X190" s="34"/>
      <c r="Y190" s="34"/>
      <c r="Z190" s="40"/>
      <c r="AA190" s="40"/>
      <c r="AB190" s="34"/>
      <c r="AC190" s="34"/>
      <c r="AD190" s="40"/>
      <c r="AE190" s="40"/>
      <c r="AF190" s="40"/>
      <c r="AG190" s="40"/>
      <c r="AH190" s="34"/>
      <c r="AI190" s="34"/>
      <c r="AJ190" s="34"/>
      <c r="AK190" s="40"/>
      <c r="AL190" s="34"/>
      <c r="AM190" s="40"/>
      <c r="AN190" s="40"/>
      <c r="AO190" s="40"/>
      <c r="AP190" s="40"/>
      <c r="AQ190" s="40"/>
      <c r="AR190" s="40"/>
      <c r="AS190" s="40"/>
      <c r="AT190" s="40"/>
      <c r="AU190" s="40"/>
    </row>
    <row r="191" spans="1:47" ht="15.75" customHeight="1" x14ac:dyDescent="0.25">
      <c r="A191" s="34"/>
      <c r="B191" s="35"/>
      <c r="C191" s="36"/>
      <c r="D191" s="37"/>
      <c r="E191" s="38"/>
      <c r="F191" s="39"/>
      <c r="G191" s="17"/>
      <c r="H191" s="39"/>
      <c r="I191" s="34"/>
      <c r="J191" s="40"/>
      <c r="K191" s="34"/>
      <c r="L191" s="34"/>
      <c r="M191" s="40"/>
      <c r="N191" s="34"/>
      <c r="O191" s="40"/>
      <c r="P191" s="34"/>
      <c r="Q191" s="34"/>
      <c r="R191" s="40"/>
      <c r="S191" s="40"/>
      <c r="T191" s="34"/>
      <c r="U191" s="40"/>
      <c r="V191" s="34"/>
      <c r="W191" s="40"/>
      <c r="X191" s="34"/>
      <c r="Y191" s="34"/>
      <c r="Z191" s="40"/>
      <c r="AA191" s="40"/>
      <c r="AB191" s="34"/>
      <c r="AC191" s="34"/>
      <c r="AD191" s="40"/>
      <c r="AE191" s="40"/>
      <c r="AF191" s="40"/>
      <c r="AG191" s="40"/>
      <c r="AH191" s="34"/>
      <c r="AI191" s="34"/>
      <c r="AJ191" s="34"/>
      <c r="AK191" s="40"/>
      <c r="AL191" s="34"/>
      <c r="AM191" s="40"/>
      <c r="AN191" s="40"/>
      <c r="AO191" s="40"/>
      <c r="AP191" s="40"/>
      <c r="AQ191" s="40"/>
      <c r="AR191" s="40"/>
      <c r="AS191" s="40"/>
      <c r="AT191" s="40"/>
      <c r="AU191" s="40"/>
    </row>
    <row r="192" spans="1:47" ht="15.75" customHeight="1" x14ac:dyDescent="0.25">
      <c r="A192" s="34"/>
      <c r="B192" s="35"/>
      <c r="C192" s="36"/>
      <c r="D192" s="37"/>
      <c r="E192" s="38"/>
      <c r="F192" s="39"/>
      <c r="G192" s="17"/>
      <c r="H192" s="39"/>
      <c r="I192" s="34"/>
      <c r="J192" s="40"/>
      <c r="K192" s="34"/>
      <c r="L192" s="34"/>
      <c r="M192" s="40"/>
      <c r="N192" s="34"/>
      <c r="O192" s="40"/>
      <c r="P192" s="34"/>
      <c r="Q192" s="34"/>
      <c r="R192" s="40"/>
      <c r="S192" s="40"/>
      <c r="T192" s="34"/>
      <c r="U192" s="40"/>
      <c r="V192" s="34"/>
      <c r="W192" s="40"/>
      <c r="X192" s="34"/>
      <c r="Y192" s="34"/>
      <c r="Z192" s="40"/>
      <c r="AA192" s="40"/>
      <c r="AB192" s="34"/>
      <c r="AC192" s="34"/>
      <c r="AD192" s="40"/>
      <c r="AE192" s="40"/>
      <c r="AF192" s="40"/>
      <c r="AG192" s="40"/>
      <c r="AH192" s="34"/>
      <c r="AI192" s="34"/>
      <c r="AJ192" s="34"/>
      <c r="AK192" s="40"/>
      <c r="AL192" s="34"/>
      <c r="AM192" s="40"/>
      <c r="AN192" s="40"/>
      <c r="AO192" s="40"/>
      <c r="AP192" s="40"/>
      <c r="AQ192" s="40"/>
      <c r="AR192" s="40"/>
      <c r="AS192" s="40"/>
      <c r="AT192" s="40"/>
      <c r="AU192" s="40"/>
    </row>
    <row r="193" spans="1:47" ht="15.75" customHeight="1" x14ac:dyDescent="0.25">
      <c r="A193" s="34"/>
      <c r="B193" s="35"/>
      <c r="C193" s="36"/>
      <c r="D193" s="37"/>
      <c r="E193" s="38"/>
      <c r="F193" s="39"/>
      <c r="G193" s="17"/>
      <c r="H193" s="39"/>
      <c r="I193" s="34"/>
      <c r="J193" s="40"/>
      <c r="K193" s="34"/>
      <c r="L193" s="34"/>
      <c r="M193" s="40"/>
      <c r="N193" s="34"/>
      <c r="O193" s="40"/>
      <c r="P193" s="34"/>
      <c r="Q193" s="34"/>
      <c r="R193" s="40"/>
      <c r="S193" s="40"/>
      <c r="T193" s="34"/>
      <c r="U193" s="40"/>
      <c r="V193" s="34"/>
      <c r="W193" s="40"/>
      <c r="X193" s="34"/>
      <c r="Y193" s="34"/>
      <c r="Z193" s="40"/>
      <c r="AA193" s="40"/>
      <c r="AB193" s="34"/>
      <c r="AC193" s="34"/>
      <c r="AD193" s="40"/>
      <c r="AE193" s="40"/>
      <c r="AF193" s="40"/>
      <c r="AG193" s="40"/>
      <c r="AH193" s="34"/>
      <c r="AI193" s="34"/>
      <c r="AJ193" s="34"/>
      <c r="AK193" s="40"/>
      <c r="AL193" s="34"/>
      <c r="AM193" s="40"/>
      <c r="AN193" s="40"/>
      <c r="AO193" s="40"/>
      <c r="AP193" s="40"/>
      <c r="AQ193" s="40"/>
      <c r="AR193" s="40"/>
      <c r="AS193" s="40"/>
      <c r="AT193" s="40"/>
      <c r="AU193" s="40"/>
    </row>
    <row r="194" spans="1:47" ht="15.75" customHeight="1" x14ac:dyDescent="0.25">
      <c r="A194" s="34"/>
      <c r="B194" s="35"/>
      <c r="C194" s="36"/>
      <c r="D194" s="37"/>
      <c r="E194" s="38"/>
      <c r="F194" s="39"/>
      <c r="G194" s="17"/>
      <c r="H194" s="39"/>
      <c r="I194" s="34"/>
      <c r="J194" s="40"/>
      <c r="K194" s="34"/>
      <c r="L194" s="34"/>
      <c r="M194" s="40"/>
      <c r="N194" s="34"/>
      <c r="O194" s="40"/>
      <c r="P194" s="34"/>
      <c r="Q194" s="34"/>
      <c r="R194" s="40"/>
      <c r="S194" s="40"/>
      <c r="T194" s="34"/>
      <c r="U194" s="40"/>
      <c r="V194" s="34"/>
      <c r="W194" s="40"/>
      <c r="X194" s="34"/>
      <c r="Y194" s="34"/>
      <c r="Z194" s="40"/>
      <c r="AA194" s="40"/>
      <c r="AB194" s="34"/>
      <c r="AC194" s="34"/>
      <c r="AD194" s="40"/>
      <c r="AE194" s="40"/>
      <c r="AF194" s="40"/>
      <c r="AG194" s="40"/>
      <c r="AH194" s="34"/>
      <c r="AI194" s="34"/>
      <c r="AJ194" s="34"/>
      <c r="AK194" s="40"/>
      <c r="AL194" s="34"/>
      <c r="AM194" s="40"/>
      <c r="AN194" s="40"/>
      <c r="AO194" s="40"/>
      <c r="AP194" s="40"/>
      <c r="AQ194" s="40"/>
      <c r="AR194" s="40"/>
      <c r="AS194" s="40"/>
      <c r="AT194" s="40"/>
      <c r="AU194" s="40"/>
    </row>
    <row r="195" spans="1:47" ht="15.75" customHeight="1" x14ac:dyDescent="0.25">
      <c r="A195" s="34"/>
      <c r="B195" s="35"/>
      <c r="C195" s="36"/>
      <c r="D195" s="37"/>
      <c r="E195" s="38"/>
      <c r="F195" s="39"/>
      <c r="G195" s="17"/>
      <c r="H195" s="39"/>
      <c r="I195" s="34"/>
      <c r="J195" s="40"/>
      <c r="K195" s="34"/>
      <c r="L195" s="34"/>
      <c r="M195" s="40"/>
      <c r="N195" s="34"/>
      <c r="O195" s="40"/>
      <c r="P195" s="34"/>
      <c r="Q195" s="34"/>
      <c r="R195" s="40"/>
      <c r="S195" s="40"/>
      <c r="T195" s="34"/>
      <c r="U195" s="40"/>
      <c r="V195" s="34"/>
      <c r="W195" s="40"/>
      <c r="X195" s="34"/>
      <c r="Y195" s="34"/>
      <c r="Z195" s="40"/>
      <c r="AA195" s="40"/>
      <c r="AB195" s="34"/>
      <c r="AC195" s="34"/>
      <c r="AD195" s="40"/>
      <c r="AE195" s="40"/>
      <c r="AF195" s="40"/>
      <c r="AG195" s="40"/>
      <c r="AH195" s="34"/>
      <c r="AI195" s="34"/>
      <c r="AJ195" s="34"/>
      <c r="AK195" s="40"/>
      <c r="AL195" s="34"/>
      <c r="AM195" s="40"/>
      <c r="AN195" s="40"/>
      <c r="AO195" s="40"/>
      <c r="AP195" s="40"/>
      <c r="AQ195" s="40"/>
      <c r="AR195" s="40"/>
      <c r="AS195" s="40"/>
      <c r="AT195" s="40"/>
      <c r="AU195" s="40"/>
    </row>
    <row r="196" spans="1:47" ht="15.75" customHeight="1" x14ac:dyDescent="0.25">
      <c r="A196" s="34"/>
      <c r="B196" s="35"/>
      <c r="C196" s="36"/>
      <c r="D196" s="37"/>
      <c r="E196" s="38"/>
      <c r="F196" s="39"/>
      <c r="G196" s="17"/>
      <c r="H196" s="39"/>
      <c r="I196" s="34"/>
      <c r="J196" s="40"/>
      <c r="K196" s="34"/>
      <c r="L196" s="34"/>
      <c r="M196" s="40"/>
      <c r="N196" s="34"/>
      <c r="O196" s="40"/>
      <c r="P196" s="34"/>
      <c r="Q196" s="34"/>
      <c r="R196" s="40"/>
      <c r="S196" s="40"/>
      <c r="T196" s="34"/>
      <c r="U196" s="40"/>
      <c r="V196" s="34"/>
      <c r="W196" s="40"/>
      <c r="X196" s="34"/>
      <c r="Y196" s="34"/>
      <c r="Z196" s="40"/>
      <c r="AA196" s="40"/>
      <c r="AB196" s="34"/>
      <c r="AC196" s="34"/>
      <c r="AD196" s="40"/>
      <c r="AE196" s="40"/>
      <c r="AF196" s="40"/>
      <c r="AG196" s="40"/>
      <c r="AH196" s="34"/>
      <c r="AI196" s="34"/>
      <c r="AJ196" s="34"/>
      <c r="AK196" s="40"/>
      <c r="AL196" s="34"/>
      <c r="AM196" s="40"/>
      <c r="AN196" s="40"/>
      <c r="AO196" s="40"/>
      <c r="AP196" s="40"/>
      <c r="AQ196" s="40"/>
      <c r="AR196" s="40"/>
      <c r="AS196" s="40"/>
      <c r="AT196" s="40"/>
      <c r="AU196" s="40"/>
    </row>
    <row r="197" spans="1:47" ht="15.75" customHeight="1" x14ac:dyDescent="0.25">
      <c r="A197" s="34"/>
      <c r="B197" s="35"/>
      <c r="C197" s="36"/>
      <c r="D197" s="37"/>
      <c r="E197" s="38"/>
      <c r="F197" s="39"/>
      <c r="G197" s="17"/>
      <c r="H197" s="39"/>
      <c r="I197" s="34"/>
      <c r="J197" s="40"/>
      <c r="K197" s="34"/>
      <c r="L197" s="34"/>
      <c r="M197" s="40"/>
      <c r="N197" s="34"/>
      <c r="O197" s="40"/>
      <c r="P197" s="34"/>
      <c r="Q197" s="34"/>
      <c r="R197" s="40"/>
      <c r="S197" s="40"/>
      <c r="T197" s="34"/>
      <c r="U197" s="40"/>
      <c r="V197" s="34"/>
      <c r="W197" s="40"/>
      <c r="X197" s="34"/>
      <c r="Y197" s="34"/>
      <c r="Z197" s="40"/>
      <c r="AA197" s="40"/>
      <c r="AB197" s="34"/>
      <c r="AC197" s="34"/>
      <c r="AD197" s="40"/>
      <c r="AE197" s="40"/>
      <c r="AF197" s="40"/>
      <c r="AG197" s="40"/>
      <c r="AH197" s="34"/>
      <c r="AI197" s="34"/>
      <c r="AJ197" s="34"/>
      <c r="AK197" s="40"/>
      <c r="AL197" s="34"/>
      <c r="AM197" s="40"/>
      <c r="AN197" s="40"/>
      <c r="AO197" s="40"/>
      <c r="AP197" s="40"/>
      <c r="AQ197" s="40"/>
      <c r="AR197" s="40"/>
      <c r="AS197" s="40"/>
      <c r="AT197" s="40"/>
      <c r="AU197" s="40"/>
    </row>
    <row r="198" spans="1:47" ht="15.75" customHeight="1" x14ac:dyDescent="0.25">
      <c r="A198" s="34"/>
      <c r="B198" s="35"/>
      <c r="C198" s="36"/>
      <c r="D198" s="37"/>
      <c r="E198" s="38"/>
      <c r="F198" s="39"/>
      <c r="G198" s="17"/>
      <c r="H198" s="39"/>
      <c r="I198" s="34"/>
      <c r="J198" s="40"/>
      <c r="K198" s="34"/>
      <c r="L198" s="34"/>
      <c r="M198" s="40"/>
      <c r="N198" s="34"/>
      <c r="O198" s="40"/>
      <c r="P198" s="34"/>
      <c r="Q198" s="34"/>
      <c r="R198" s="40"/>
      <c r="S198" s="40"/>
      <c r="T198" s="34"/>
      <c r="U198" s="40"/>
      <c r="V198" s="34"/>
      <c r="W198" s="40"/>
      <c r="X198" s="34"/>
      <c r="Y198" s="34"/>
      <c r="Z198" s="40"/>
      <c r="AA198" s="40"/>
      <c r="AB198" s="34"/>
      <c r="AC198" s="34"/>
      <c r="AD198" s="40"/>
      <c r="AE198" s="40"/>
      <c r="AF198" s="40"/>
      <c r="AG198" s="40"/>
      <c r="AH198" s="34"/>
      <c r="AI198" s="34"/>
      <c r="AJ198" s="34"/>
      <c r="AK198" s="40"/>
      <c r="AL198" s="34"/>
      <c r="AM198" s="40"/>
      <c r="AN198" s="40"/>
      <c r="AO198" s="40"/>
      <c r="AP198" s="40"/>
      <c r="AQ198" s="40"/>
      <c r="AR198" s="40"/>
      <c r="AS198" s="40"/>
      <c r="AT198" s="40"/>
      <c r="AU198" s="40"/>
    </row>
    <row r="199" spans="1:47" ht="15.75" customHeight="1" x14ac:dyDescent="0.25">
      <c r="A199" s="34"/>
      <c r="B199" s="35"/>
      <c r="C199" s="36"/>
      <c r="D199" s="37"/>
      <c r="E199" s="38"/>
      <c r="F199" s="39"/>
      <c r="G199" s="17"/>
      <c r="H199" s="39"/>
      <c r="I199" s="34"/>
      <c r="J199" s="40"/>
      <c r="K199" s="34"/>
      <c r="L199" s="34"/>
      <c r="M199" s="40"/>
      <c r="N199" s="34"/>
      <c r="O199" s="40"/>
      <c r="P199" s="34"/>
      <c r="Q199" s="34"/>
      <c r="R199" s="40"/>
      <c r="S199" s="40"/>
      <c r="T199" s="34"/>
      <c r="U199" s="40"/>
      <c r="V199" s="34"/>
      <c r="W199" s="40"/>
      <c r="X199" s="34"/>
      <c r="Y199" s="34"/>
      <c r="Z199" s="40"/>
      <c r="AA199" s="40"/>
      <c r="AB199" s="34"/>
      <c r="AC199" s="34"/>
      <c r="AD199" s="40"/>
      <c r="AE199" s="40"/>
      <c r="AF199" s="40"/>
      <c r="AG199" s="40"/>
      <c r="AH199" s="34"/>
      <c r="AI199" s="34"/>
      <c r="AJ199" s="34"/>
      <c r="AK199" s="40"/>
      <c r="AL199" s="34"/>
      <c r="AM199" s="40"/>
      <c r="AN199" s="40"/>
      <c r="AO199" s="40"/>
      <c r="AP199" s="40"/>
      <c r="AQ199" s="40"/>
      <c r="AR199" s="40"/>
      <c r="AS199" s="40"/>
      <c r="AT199" s="40"/>
      <c r="AU199" s="40"/>
    </row>
    <row r="200" spans="1:47" ht="15.75" customHeight="1" x14ac:dyDescent="0.25">
      <c r="A200" s="34"/>
      <c r="B200" s="35"/>
      <c r="C200" s="36"/>
      <c r="D200" s="37"/>
      <c r="E200" s="38"/>
      <c r="F200" s="39"/>
      <c r="G200" s="17"/>
      <c r="H200" s="39"/>
      <c r="I200" s="34"/>
      <c r="J200" s="40"/>
      <c r="K200" s="34"/>
      <c r="L200" s="34"/>
      <c r="M200" s="40"/>
      <c r="N200" s="34"/>
      <c r="O200" s="40"/>
      <c r="P200" s="34"/>
      <c r="Q200" s="34"/>
      <c r="R200" s="40"/>
      <c r="S200" s="40"/>
      <c r="T200" s="34"/>
      <c r="U200" s="40"/>
      <c r="V200" s="34"/>
      <c r="W200" s="40"/>
      <c r="X200" s="34"/>
      <c r="Y200" s="34"/>
      <c r="Z200" s="40"/>
      <c r="AA200" s="40"/>
      <c r="AB200" s="34"/>
      <c r="AC200" s="34"/>
      <c r="AD200" s="40"/>
      <c r="AE200" s="40"/>
      <c r="AF200" s="40"/>
      <c r="AG200" s="40"/>
      <c r="AH200" s="34"/>
      <c r="AI200" s="34"/>
      <c r="AJ200" s="34"/>
      <c r="AK200" s="40"/>
      <c r="AL200" s="34"/>
      <c r="AM200" s="40"/>
      <c r="AN200" s="40"/>
      <c r="AO200" s="40"/>
      <c r="AP200" s="40"/>
      <c r="AQ200" s="40"/>
      <c r="AR200" s="40"/>
      <c r="AS200" s="40"/>
      <c r="AT200" s="40"/>
      <c r="AU200" s="40"/>
    </row>
    <row r="201" spans="1:47" ht="15.75" customHeight="1" x14ac:dyDescent="0.25">
      <c r="A201" s="34"/>
      <c r="B201" s="35"/>
      <c r="C201" s="36"/>
      <c r="D201" s="37"/>
      <c r="E201" s="38"/>
      <c r="F201" s="39"/>
      <c r="G201" s="17"/>
      <c r="H201" s="39"/>
      <c r="I201" s="34"/>
      <c r="J201" s="40"/>
      <c r="K201" s="34"/>
      <c r="L201" s="34"/>
      <c r="M201" s="40"/>
      <c r="N201" s="34"/>
      <c r="O201" s="40"/>
      <c r="P201" s="34"/>
      <c r="Q201" s="34"/>
      <c r="R201" s="40"/>
      <c r="S201" s="40"/>
      <c r="T201" s="34"/>
      <c r="U201" s="40"/>
      <c r="V201" s="34"/>
      <c r="W201" s="40"/>
      <c r="X201" s="34"/>
      <c r="Y201" s="34"/>
      <c r="Z201" s="40"/>
      <c r="AA201" s="40"/>
      <c r="AB201" s="34"/>
      <c r="AC201" s="34"/>
      <c r="AD201" s="40"/>
      <c r="AE201" s="40"/>
      <c r="AF201" s="40"/>
      <c r="AG201" s="40"/>
      <c r="AH201" s="34"/>
      <c r="AI201" s="34"/>
      <c r="AJ201" s="34"/>
      <c r="AK201" s="40"/>
      <c r="AL201" s="34"/>
      <c r="AM201" s="40"/>
      <c r="AN201" s="40"/>
      <c r="AO201" s="40"/>
      <c r="AP201" s="40"/>
      <c r="AQ201" s="40"/>
      <c r="AR201" s="40"/>
      <c r="AS201" s="40"/>
      <c r="AT201" s="40"/>
      <c r="AU201" s="40"/>
    </row>
    <row r="202" spans="1:47" ht="15.75" customHeight="1" x14ac:dyDescent="0.25">
      <c r="A202" s="34"/>
      <c r="B202" s="35"/>
      <c r="C202" s="36"/>
      <c r="D202" s="37"/>
      <c r="E202" s="38"/>
      <c r="F202" s="39"/>
      <c r="G202" s="17"/>
      <c r="H202" s="39"/>
      <c r="I202" s="34"/>
      <c r="J202" s="40"/>
      <c r="K202" s="34"/>
      <c r="L202" s="34"/>
      <c r="M202" s="40"/>
      <c r="N202" s="34"/>
      <c r="O202" s="40"/>
      <c r="P202" s="34"/>
      <c r="Q202" s="34"/>
      <c r="R202" s="40"/>
      <c r="S202" s="40"/>
      <c r="T202" s="34"/>
      <c r="U202" s="40"/>
      <c r="V202" s="34"/>
      <c r="W202" s="40"/>
      <c r="X202" s="34"/>
      <c r="Y202" s="34"/>
      <c r="Z202" s="40"/>
      <c r="AA202" s="40"/>
      <c r="AB202" s="34"/>
      <c r="AC202" s="34"/>
      <c r="AD202" s="40"/>
      <c r="AE202" s="40"/>
      <c r="AF202" s="40"/>
      <c r="AG202" s="40"/>
      <c r="AH202" s="34"/>
      <c r="AI202" s="34"/>
      <c r="AJ202" s="34"/>
      <c r="AK202" s="40"/>
      <c r="AL202" s="34"/>
      <c r="AM202" s="40"/>
      <c r="AN202" s="40"/>
      <c r="AO202" s="40"/>
      <c r="AP202" s="40"/>
      <c r="AQ202" s="40"/>
      <c r="AR202" s="40"/>
      <c r="AS202" s="40"/>
      <c r="AT202" s="40"/>
      <c r="AU202" s="40"/>
    </row>
    <row r="203" spans="1:47" ht="15.75" customHeight="1" x14ac:dyDescent="0.25">
      <c r="A203" s="34"/>
      <c r="B203" s="35"/>
      <c r="C203" s="36"/>
      <c r="D203" s="37"/>
      <c r="E203" s="38"/>
      <c r="F203" s="39"/>
      <c r="G203" s="17"/>
      <c r="H203" s="39"/>
      <c r="I203" s="34"/>
      <c r="J203" s="40"/>
      <c r="K203" s="34"/>
      <c r="L203" s="34"/>
      <c r="M203" s="40"/>
      <c r="N203" s="34"/>
      <c r="O203" s="40"/>
      <c r="P203" s="34"/>
      <c r="Q203" s="34"/>
      <c r="R203" s="40"/>
      <c r="S203" s="40"/>
      <c r="T203" s="34"/>
      <c r="U203" s="40"/>
      <c r="V203" s="34"/>
      <c r="W203" s="40"/>
      <c r="X203" s="34"/>
      <c r="Y203" s="34"/>
      <c r="Z203" s="40"/>
      <c r="AA203" s="40"/>
      <c r="AB203" s="34"/>
      <c r="AC203" s="34"/>
      <c r="AD203" s="40"/>
      <c r="AE203" s="40"/>
      <c r="AF203" s="40"/>
      <c r="AG203" s="40"/>
      <c r="AH203" s="34"/>
      <c r="AI203" s="34"/>
      <c r="AJ203" s="34"/>
      <c r="AK203" s="40"/>
      <c r="AL203" s="34"/>
      <c r="AM203" s="40"/>
      <c r="AN203" s="40"/>
      <c r="AO203" s="40"/>
      <c r="AP203" s="40"/>
      <c r="AQ203" s="40"/>
      <c r="AR203" s="40"/>
      <c r="AS203" s="40"/>
      <c r="AT203" s="40"/>
      <c r="AU203" s="40"/>
    </row>
    <row r="204" spans="1:47" ht="15.75" customHeight="1" x14ac:dyDescent="0.25">
      <c r="A204" s="34"/>
      <c r="B204" s="35"/>
      <c r="C204" s="36"/>
      <c r="D204" s="37"/>
      <c r="E204" s="38"/>
      <c r="F204" s="39"/>
      <c r="G204" s="17"/>
      <c r="H204" s="39"/>
      <c r="I204" s="34"/>
      <c r="J204" s="40"/>
      <c r="K204" s="34"/>
      <c r="L204" s="34"/>
      <c r="M204" s="40"/>
      <c r="N204" s="34"/>
      <c r="O204" s="40"/>
      <c r="P204" s="34"/>
      <c r="Q204" s="34"/>
      <c r="R204" s="40"/>
      <c r="S204" s="40"/>
      <c r="T204" s="34"/>
      <c r="U204" s="40"/>
      <c r="V204" s="34"/>
      <c r="W204" s="40"/>
      <c r="X204" s="34"/>
      <c r="Y204" s="34"/>
      <c r="Z204" s="40"/>
      <c r="AA204" s="40"/>
      <c r="AB204" s="34"/>
      <c r="AC204" s="34"/>
      <c r="AD204" s="40"/>
      <c r="AE204" s="40"/>
      <c r="AF204" s="40"/>
      <c r="AG204" s="40"/>
      <c r="AH204" s="34"/>
      <c r="AI204" s="34"/>
      <c r="AJ204" s="34"/>
      <c r="AK204" s="40"/>
      <c r="AL204" s="34"/>
      <c r="AM204" s="40"/>
      <c r="AN204" s="40"/>
      <c r="AO204" s="40"/>
      <c r="AP204" s="40"/>
      <c r="AQ204" s="40"/>
      <c r="AR204" s="40"/>
      <c r="AS204" s="40"/>
      <c r="AT204" s="40"/>
      <c r="AU204" s="40"/>
    </row>
    <row r="205" spans="1:47" ht="15.75" customHeight="1" x14ac:dyDescent="0.25">
      <c r="A205" s="34"/>
      <c r="B205" s="35"/>
      <c r="C205" s="36"/>
      <c r="D205" s="37"/>
      <c r="E205" s="38"/>
      <c r="F205" s="39"/>
      <c r="G205" s="17"/>
      <c r="H205" s="39"/>
      <c r="I205" s="34"/>
      <c r="J205" s="40"/>
      <c r="K205" s="34"/>
      <c r="L205" s="34"/>
      <c r="M205" s="40"/>
      <c r="N205" s="34"/>
      <c r="O205" s="40"/>
      <c r="P205" s="34"/>
      <c r="Q205" s="34"/>
      <c r="R205" s="40"/>
      <c r="S205" s="40"/>
      <c r="T205" s="34"/>
      <c r="U205" s="40"/>
      <c r="V205" s="34"/>
      <c r="W205" s="40"/>
      <c r="X205" s="34"/>
      <c r="Y205" s="34"/>
      <c r="Z205" s="40"/>
      <c r="AA205" s="40"/>
      <c r="AB205" s="34"/>
      <c r="AC205" s="34"/>
      <c r="AD205" s="40"/>
      <c r="AE205" s="40"/>
      <c r="AF205" s="40"/>
      <c r="AG205" s="40"/>
      <c r="AH205" s="34"/>
      <c r="AI205" s="34"/>
      <c r="AJ205" s="34"/>
      <c r="AK205" s="40"/>
      <c r="AL205" s="34"/>
      <c r="AM205" s="40"/>
      <c r="AN205" s="40"/>
      <c r="AO205" s="40"/>
      <c r="AP205" s="40"/>
      <c r="AQ205" s="40"/>
      <c r="AR205" s="40"/>
      <c r="AS205" s="40"/>
      <c r="AT205" s="40"/>
      <c r="AU205" s="40"/>
    </row>
    <row r="206" spans="1:47" ht="15.75" customHeight="1" x14ac:dyDescent="0.25">
      <c r="A206" s="34"/>
      <c r="B206" s="35"/>
      <c r="C206" s="36"/>
      <c r="D206" s="37"/>
      <c r="E206" s="38"/>
      <c r="F206" s="39"/>
      <c r="G206" s="17"/>
      <c r="H206" s="39"/>
      <c r="I206" s="34"/>
      <c r="J206" s="40"/>
      <c r="K206" s="34"/>
      <c r="L206" s="34"/>
      <c r="M206" s="40"/>
      <c r="N206" s="34"/>
      <c r="O206" s="40"/>
      <c r="P206" s="34"/>
      <c r="Q206" s="34"/>
      <c r="R206" s="40"/>
      <c r="S206" s="40"/>
      <c r="T206" s="34"/>
      <c r="U206" s="40"/>
      <c r="V206" s="34"/>
      <c r="W206" s="40"/>
      <c r="X206" s="34"/>
      <c r="Y206" s="34"/>
      <c r="Z206" s="40"/>
      <c r="AA206" s="40"/>
      <c r="AB206" s="34"/>
      <c r="AC206" s="34"/>
      <c r="AD206" s="40"/>
      <c r="AE206" s="40"/>
      <c r="AF206" s="40"/>
      <c r="AG206" s="40"/>
      <c r="AH206" s="34"/>
      <c r="AI206" s="34"/>
      <c r="AJ206" s="34"/>
      <c r="AK206" s="40"/>
      <c r="AL206" s="34"/>
      <c r="AM206" s="40"/>
      <c r="AN206" s="40"/>
      <c r="AO206" s="40"/>
      <c r="AP206" s="40"/>
      <c r="AQ206" s="40"/>
      <c r="AR206" s="40"/>
      <c r="AS206" s="40"/>
      <c r="AT206" s="40"/>
      <c r="AU206" s="40"/>
    </row>
    <row r="207" spans="1:47" ht="15.75" customHeight="1" x14ac:dyDescent="0.25">
      <c r="A207" s="34"/>
      <c r="B207" s="35"/>
      <c r="C207" s="36"/>
      <c r="D207" s="37"/>
      <c r="E207" s="38"/>
      <c r="F207" s="39"/>
      <c r="G207" s="17"/>
      <c r="H207" s="39"/>
      <c r="I207" s="34"/>
      <c r="J207" s="40"/>
      <c r="K207" s="34"/>
      <c r="L207" s="34"/>
      <c r="M207" s="40"/>
      <c r="N207" s="34"/>
      <c r="O207" s="40"/>
      <c r="P207" s="34"/>
      <c r="Q207" s="34"/>
      <c r="R207" s="40"/>
      <c r="S207" s="40"/>
      <c r="T207" s="34"/>
      <c r="U207" s="40"/>
      <c r="V207" s="34"/>
      <c r="W207" s="40"/>
      <c r="X207" s="34"/>
      <c r="Y207" s="34"/>
      <c r="Z207" s="40"/>
      <c r="AA207" s="40"/>
      <c r="AB207" s="34"/>
      <c r="AC207" s="34"/>
      <c r="AD207" s="40"/>
      <c r="AE207" s="40"/>
      <c r="AF207" s="40"/>
      <c r="AG207" s="40"/>
      <c r="AH207" s="34"/>
      <c r="AI207" s="34"/>
      <c r="AJ207" s="34"/>
      <c r="AK207" s="40"/>
      <c r="AL207" s="34"/>
      <c r="AM207" s="40"/>
      <c r="AN207" s="40"/>
      <c r="AO207" s="40"/>
      <c r="AP207" s="40"/>
      <c r="AQ207" s="40"/>
      <c r="AR207" s="40"/>
      <c r="AS207" s="40"/>
      <c r="AT207" s="40"/>
      <c r="AU207" s="40"/>
    </row>
    <row r="208" spans="1:47" ht="15.75" customHeight="1" x14ac:dyDescent="0.25">
      <c r="A208" s="34"/>
      <c r="B208" s="35"/>
      <c r="C208" s="36"/>
      <c r="D208" s="37"/>
      <c r="E208" s="38"/>
      <c r="F208" s="39"/>
      <c r="G208" s="17"/>
      <c r="H208" s="39"/>
      <c r="I208" s="34"/>
      <c r="J208" s="40"/>
      <c r="K208" s="34"/>
      <c r="L208" s="34"/>
      <c r="M208" s="40"/>
      <c r="N208" s="34"/>
      <c r="O208" s="40"/>
      <c r="P208" s="34"/>
      <c r="Q208" s="34"/>
      <c r="R208" s="40"/>
      <c r="S208" s="40"/>
      <c r="T208" s="34"/>
      <c r="U208" s="40"/>
      <c r="V208" s="34"/>
      <c r="W208" s="40"/>
      <c r="X208" s="34"/>
      <c r="Y208" s="34"/>
      <c r="Z208" s="40"/>
      <c r="AA208" s="40"/>
      <c r="AB208" s="34"/>
      <c r="AC208" s="34"/>
      <c r="AD208" s="40"/>
      <c r="AE208" s="40"/>
      <c r="AF208" s="40"/>
      <c r="AG208" s="40"/>
      <c r="AH208" s="34"/>
      <c r="AI208" s="34"/>
      <c r="AJ208" s="34"/>
      <c r="AK208" s="40"/>
      <c r="AL208" s="34"/>
      <c r="AM208" s="40"/>
      <c r="AN208" s="40"/>
      <c r="AO208" s="40"/>
      <c r="AP208" s="40"/>
      <c r="AQ208" s="40"/>
      <c r="AR208" s="40"/>
      <c r="AS208" s="40"/>
      <c r="AT208" s="40"/>
      <c r="AU208" s="40"/>
    </row>
    <row r="209" spans="1:47" ht="15.75" customHeight="1" x14ac:dyDescent="0.25">
      <c r="A209" s="34"/>
      <c r="B209" s="35"/>
      <c r="C209" s="36"/>
      <c r="D209" s="37"/>
      <c r="E209" s="38"/>
      <c r="F209" s="39"/>
      <c r="G209" s="17"/>
      <c r="H209" s="39"/>
      <c r="I209" s="34"/>
      <c r="J209" s="40"/>
      <c r="K209" s="34"/>
      <c r="L209" s="34"/>
      <c r="M209" s="40"/>
      <c r="N209" s="34"/>
      <c r="O209" s="40"/>
      <c r="P209" s="34"/>
      <c r="Q209" s="34"/>
      <c r="R209" s="40"/>
      <c r="S209" s="40"/>
      <c r="T209" s="34"/>
      <c r="U209" s="40"/>
      <c r="V209" s="34"/>
      <c r="W209" s="40"/>
      <c r="X209" s="34"/>
      <c r="Y209" s="34"/>
      <c r="Z209" s="40"/>
      <c r="AA209" s="40"/>
      <c r="AB209" s="34"/>
      <c r="AC209" s="34"/>
      <c r="AD209" s="40"/>
      <c r="AE209" s="40"/>
      <c r="AF209" s="40"/>
      <c r="AG209" s="40"/>
      <c r="AH209" s="34"/>
      <c r="AI209" s="34"/>
      <c r="AJ209" s="34"/>
      <c r="AK209" s="40"/>
      <c r="AL209" s="34"/>
      <c r="AM209" s="40"/>
      <c r="AN209" s="40"/>
      <c r="AO209" s="40"/>
      <c r="AP209" s="40"/>
      <c r="AQ209" s="40"/>
      <c r="AR209" s="40"/>
      <c r="AS209" s="40"/>
      <c r="AT209" s="40"/>
      <c r="AU209" s="40"/>
    </row>
    <row r="210" spans="1:47" ht="15.75" customHeight="1" x14ac:dyDescent="0.25">
      <c r="A210" s="34"/>
      <c r="B210" s="35"/>
      <c r="C210" s="36"/>
      <c r="D210" s="37"/>
      <c r="E210" s="38"/>
      <c r="F210" s="39"/>
      <c r="G210" s="17"/>
      <c r="H210" s="39"/>
      <c r="I210" s="34"/>
      <c r="J210" s="40"/>
      <c r="K210" s="34"/>
      <c r="L210" s="34"/>
      <c r="M210" s="40"/>
      <c r="N210" s="34"/>
      <c r="O210" s="40"/>
      <c r="P210" s="34"/>
      <c r="Q210" s="34"/>
      <c r="R210" s="40"/>
      <c r="S210" s="40"/>
      <c r="T210" s="34"/>
      <c r="U210" s="40"/>
      <c r="V210" s="34"/>
      <c r="W210" s="40"/>
      <c r="X210" s="34"/>
      <c r="Y210" s="34"/>
      <c r="Z210" s="40"/>
      <c r="AA210" s="40"/>
      <c r="AB210" s="34"/>
      <c r="AC210" s="34"/>
      <c r="AD210" s="40"/>
      <c r="AE210" s="40"/>
      <c r="AF210" s="40"/>
      <c r="AG210" s="40"/>
      <c r="AH210" s="34"/>
      <c r="AI210" s="34"/>
      <c r="AJ210" s="34"/>
      <c r="AK210" s="40"/>
      <c r="AL210" s="34"/>
      <c r="AM210" s="40"/>
      <c r="AN210" s="40"/>
      <c r="AO210" s="40"/>
      <c r="AP210" s="40"/>
      <c r="AQ210" s="40"/>
      <c r="AR210" s="40"/>
      <c r="AS210" s="40"/>
      <c r="AT210" s="40"/>
      <c r="AU210" s="40"/>
    </row>
    <row r="211" spans="1:47" ht="15.75" customHeight="1" x14ac:dyDescent="0.25">
      <c r="A211" s="34"/>
      <c r="B211" s="35"/>
      <c r="C211" s="36"/>
      <c r="D211" s="37"/>
      <c r="E211" s="38"/>
      <c r="F211" s="39"/>
      <c r="G211" s="17"/>
      <c r="H211" s="39"/>
      <c r="I211" s="34"/>
      <c r="J211" s="40"/>
      <c r="K211" s="34"/>
      <c r="L211" s="34"/>
      <c r="M211" s="40"/>
      <c r="N211" s="34"/>
      <c r="O211" s="40"/>
      <c r="P211" s="34"/>
      <c r="Q211" s="34"/>
      <c r="R211" s="40"/>
      <c r="S211" s="40"/>
      <c r="T211" s="34"/>
      <c r="U211" s="40"/>
      <c r="V211" s="34"/>
      <c r="W211" s="40"/>
      <c r="X211" s="34"/>
      <c r="Y211" s="34"/>
      <c r="Z211" s="40"/>
      <c r="AA211" s="40"/>
      <c r="AB211" s="34"/>
      <c r="AC211" s="34"/>
      <c r="AD211" s="40"/>
      <c r="AE211" s="40"/>
      <c r="AF211" s="40"/>
      <c r="AG211" s="40"/>
      <c r="AH211" s="34"/>
      <c r="AI211" s="34"/>
      <c r="AJ211" s="34"/>
      <c r="AK211" s="40"/>
      <c r="AL211" s="34"/>
      <c r="AM211" s="40"/>
      <c r="AN211" s="40"/>
      <c r="AO211" s="40"/>
      <c r="AP211" s="40"/>
      <c r="AQ211" s="40"/>
      <c r="AR211" s="40"/>
      <c r="AS211" s="40"/>
      <c r="AT211" s="40"/>
      <c r="AU211" s="40"/>
    </row>
    <row r="212" spans="1:47" ht="15.75" customHeight="1" x14ac:dyDescent="0.25">
      <c r="A212" s="34"/>
      <c r="B212" s="35"/>
      <c r="C212" s="36"/>
      <c r="D212" s="37"/>
      <c r="E212" s="38"/>
      <c r="F212" s="39"/>
      <c r="G212" s="17"/>
      <c r="H212" s="39"/>
      <c r="I212" s="34"/>
      <c r="J212" s="40"/>
      <c r="K212" s="34"/>
      <c r="L212" s="34"/>
      <c r="M212" s="40"/>
      <c r="N212" s="34"/>
      <c r="O212" s="40"/>
      <c r="P212" s="34"/>
      <c r="Q212" s="34"/>
      <c r="R212" s="40"/>
      <c r="S212" s="40"/>
      <c r="T212" s="34"/>
      <c r="U212" s="40"/>
      <c r="V212" s="34"/>
      <c r="W212" s="40"/>
      <c r="X212" s="34"/>
      <c r="Y212" s="34"/>
      <c r="Z212" s="40"/>
      <c r="AA212" s="40"/>
      <c r="AB212" s="34"/>
      <c r="AC212" s="34"/>
      <c r="AD212" s="40"/>
      <c r="AE212" s="40"/>
      <c r="AF212" s="40"/>
      <c r="AG212" s="40"/>
      <c r="AH212" s="34"/>
      <c r="AI212" s="34"/>
      <c r="AJ212" s="34"/>
      <c r="AK212" s="40"/>
      <c r="AL212" s="34"/>
      <c r="AM212" s="40"/>
      <c r="AN212" s="40"/>
      <c r="AO212" s="40"/>
      <c r="AP212" s="40"/>
      <c r="AQ212" s="40"/>
      <c r="AR212" s="40"/>
      <c r="AS212" s="40"/>
      <c r="AT212" s="40"/>
      <c r="AU212" s="40"/>
    </row>
    <row r="213" spans="1:47" ht="15.75" customHeight="1" x14ac:dyDescent="0.25">
      <c r="A213" s="34"/>
      <c r="B213" s="35"/>
      <c r="C213" s="36"/>
      <c r="D213" s="37"/>
      <c r="E213" s="38"/>
      <c r="F213" s="39"/>
      <c r="G213" s="17"/>
      <c r="H213" s="39"/>
      <c r="I213" s="34"/>
      <c r="J213" s="40"/>
      <c r="K213" s="34"/>
      <c r="L213" s="34"/>
      <c r="M213" s="40"/>
      <c r="N213" s="34"/>
      <c r="O213" s="40"/>
      <c r="P213" s="34"/>
      <c r="Q213" s="34"/>
      <c r="R213" s="40"/>
      <c r="S213" s="40"/>
      <c r="T213" s="34"/>
      <c r="U213" s="40"/>
      <c r="V213" s="34"/>
      <c r="W213" s="40"/>
      <c r="X213" s="34"/>
      <c r="Y213" s="34"/>
      <c r="Z213" s="40"/>
      <c r="AA213" s="40"/>
      <c r="AB213" s="34"/>
      <c r="AC213" s="34"/>
      <c r="AD213" s="40"/>
      <c r="AE213" s="40"/>
      <c r="AF213" s="40"/>
      <c r="AG213" s="40"/>
      <c r="AH213" s="34"/>
      <c r="AI213" s="34"/>
      <c r="AJ213" s="34"/>
      <c r="AK213" s="40"/>
      <c r="AL213" s="34"/>
      <c r="AM213" s="40"/>
      <c r="AN213" s="40"/>
      <c r="AO213" s="40"/>
      <c r="AP213" s="40"/>
      <c r="AQ213" s="40"/>
      <c r="AR213" s="40"/>
      <c r="AS213" s="40"/>
      <c r="AT213" s="40"/>
      <c r="AU213" s="40"/>
    </row>
    <row r="214" spans="1:47" ht="15.75" customHeight="1" x14ac:dyDescent="0.25">
      <c r="A214" s="34"/>
      <c r="B214" s="35"/>
      <c r="C214" s="36"/>
      <c r="D214" s="37"/>
      <c r="E214" s="38"/>
      <c r="F214" s="39"/>
      <c r="G214" s="17"/>
      <c r="H214" s="39"/>
      <c r="I214" s="34"/>
      <c r="J214" s="40"/>
      <c r="K214" s="34"/>
      <c r="L214" s="34"/>
      <c r="M214" s="40"/>
      <c r="N214" s="34"/>
      <c r="O214" s="40"/>
      <c r="P214" s="34"/>
      <c r="Q214" s="34"/>
      <c r="R214" s="40"/>
      <c r="S214" s="40"/>
      <c r="T214" s="34"/>
      <c r="U214" s="40"/>
      <c r="V214" s="34"/>
      <c r="W214" s="40"/>
      <c r="X214" s="34"/>
      <c r="Y214" s="34"/>
      <c r="Z214" s="40"/>
      <c r="AA214" s="40"/>
      <c r="AB214" s="34"/>
      <c r="AC214" s="34"/>
      <c r="AD214" s="40"/>
      <c r="AE214" s="40"/>
      <c r="AF214" s="40"/>
      <c r="AG214" s="40"/>
      <c r="AH214" s="34"/>
      <c r="AI214" s="34"/>
      <c r="AJ214" s="34"/>
      <c r="AK214" s="40"/>
      <c r="AL214" s="34"/>
      <c r="AM214" s="40"/>
      <c r="AN214" s="40"/>
      <c r="AO214" s="40"/>
      <c r="AP214" s="40"/>
      <c r="AQ214" s="40"/>
      <c r="AR214" s="40"/>
      <c r="AS214" s="40"/>
      <c r="AT214" s="40"/>
      <c r="AU214" s="40"/>
    </row>
    <row r="215" spans="1:47" ht="15.75" customHeight="1" x14ac:dyDescent="0.25">
      <c r="A215" s="34"/>
      <c r="B215" s="35"/>
      <c r="C215" s="36"/>
      <c r="D215" s="37"/>
      <c r="E215" s="38"/>
      <c r="F215" s="39"/>
      <c r="G215" s="17"/>
      <c r="H215" s="39"/>
      <c r="I215" s="34"/>
      <c r="J215" s="40"/>
      <c r="K215" s="34"/>
      <c r="L215" s="34"/>
      <c r="M215" s="40"/>
      <c r="N215" s="34"/>
      <c r="O215" s="40"/>
      <c r="P215" s="34"/>
      <c r="Q215" s="34"/>
      <c r="R215" s="40"/>
      <c r="S215" s="40"/>
      <c r="T215" s="34"/>
      <c r="U215" s="40"/>
      <c r="V215" s="34"/>
      <c r="W215" s="40"/>
      <c r="X215" s="34"/>
      <c r="Y215" s="34"/>
      <c r="Z215" s="40"/>
      <c r="AA215" s="40"/>
      <c r="AB215" s="34"/>
      <c r="AC215" s="34"/>
      <c r="AD215" s="40"/>
      <c r="AE215" s="40"/>
      <c r="AF215" s="40"/>
      <c r="AG215" s="40"/>
      <c r="AH215" s="34"/>
      <c r="AI215" s="34"/>
      <c r="AJ215" s="34"/>
      <c r="AK215" s="40"/>
      <c r="AL215" s="34"/>
      <c r="AM215" s="40"/>
      <c r="AN215" s="40"/>
      <c r="AO215" s="40"/>
      <c r="AP215" s="40"/>
      <c r="AQ215" s="40"/>
      <c r="AR215" s="40"/>
      <c r="AS215" s="40"/>
      <c r="AT215" s="40"/>
      <c r="AU215" s="40"/>
    </row>
    <row r="216" spans="1:47" ht="15.75" customHeight="1" x14ac:dyDescent="0.25">
      <c r="A216" s="34"/>
      <c r="B216" s="35"/>
      <c r="C216" s="36"/>
      <c r="D216" s="37"/>
      <c r="E216" s="38"/>
      <c r="F216" s="39"/>
      <c r="G216" s="17"/>
      <c r="H216" s="39"/>
      <c r="I216" s="34"/>
      <c r="J216" s="40"/>
      <c r="K216" s="34"/>
      <c r="L216" s="34"/>
      <c r="M216" s="40"/>
      <c r="N216" s="34"/>
      <c r="O216" s="40"/>
      <c r="P216" s="34"/>
      <c r="Q216" s="34"/>
      <c r="R216" s="40"/>
      <c r="S216" s="40"/>
      <c r="T216" s="34"/>
      <c r="U216" s="40"/>
      <c r="V216" s="34"/>
      <c r="W216" s="40"/>
      <c r="X216" s="34"/>
      <c r="Y216" s="34"/>
      <c r="Z216" s="40"/>
      <c r="AA216" s="40"/>
      <c r="AB216" s="34"/>
      <c r="AC216" s="34"/>
      <c r="AD216" s="40"/>
      <c r="AE216" s="40"/>
      <c r="AF216" s="40"/>
      <c r="AG216" s="40"/>
      <c r="AH216" s="34"/>
      <c r="AI216" s="34"/>
      <c r="AJ216" s="34"/>
      <c r="AK216" s="40"/>
      <c r="AL216" s="34"/>
      <c r="AM216" s="40"/>
      <c r="AN216" s="40"/>
      <c r="AO216" s="40"/>
      <c r="AP216" s="40"/>
      <c r="AQ216" s="40"/>
      <c r="AR216" s="40"/>
      <c r="AS216" s="40"/>
      <c r="AT216" s="40"/>
      <c r="AU216" s="40"/>
    </row>
    <row r="217" spans="1:47" ht="15.75" customHeight="1" x14ac:dyDescent="0.25">
      <c r="A217" s="34"/>
      <c r="B217" s="35"/>
      <c r="C217" s="36"/>
      <c r="D217" s="37"/>
      <c r="E217" s="38"/>
      <c r="F217" s="39"/>
      <c r="G217" s="17"/>
      <c r="H217" s="39"/>
      <c r="I217" s="34"/>
      <c r="J217" s="40"/>
      <c r="K217" s="34"/>
      <c r="L217" s="34"/>
      <c r="M217" s="40"/>
      <c r="N217" s="34"/>
      <c r="O217" s="40"/>
      <c r="P217" s="34"/>
      <c r="Q217" s="34"/>
      <c r="R217" s="40"/>
      <c r="S217" s="40"/>
      <c r="T217" s="34"/>
      <c r="U217" s="40"/>
      <c r="V217" s="34"/>
      <c r="W217" s="40"/>
      <c r="X217" s="34"/>
      <c r="Y217" s="34"/>
      <c r="Z217" s="40"/>
      <c r="AA217" s="40"/>
      <c r="AB217" s="34"/>
      <c r="AC217" s="34"/>
      <c r="AD217" s="40"/>
      <c r="AE217" s="40"/>
      <c r="AF217" s="40"/>
      <c r="AG217" s="40"/>
      <c r="AH217" s="34"/>
      <c r="AI217" s="34"/>
      <c r="AJ217" s="34"/>
      <c r="AK217" s="40"/>
      <c r="AL217" s="34"/>
      <c r="AM217" s="40"/>
      <c r="AN217" s="40"/>
      <c r="AO217" s="40"/>
      <c r="AP217" s="40"/>
      <c r="AQ217" s="40"/>
      <c r="AR217" s="40"/>
      <c r="AS217" s="40"/>
      <c r="AT217" s="40"/>
      <c r="AU217" s="40"/>
    </row>
    <row r="218" spans="1:47" ht="15.75" customHeight="1" x14ac:dyDescent="0.25">
      <c r="A218" s="34"/>
      <c r="B218" s="35"/>
      <c r="C218" s="36"/>
      <c r="D218" s="37"/>
      <c r="E218" s="38"/>
      <c r="F218" s="39"/>
      <c r="G218" s="17"/>
      <c r="H218" s="39"/>
      <c r="I218" s="34"/>
      <c r="J218" s="40"/>
      <c r="K218" s="34"/>
      <c r="L218" s="34"/>
      <c r="M218" s="40"/>
      <c r="N218" s="34"/>
      <c r="O218" s="40"/>
      <c r="P218" s="34"/>
      <c r="Q218" s="34"/>
      <c r="R218" s="40"/>
      <c r="S218" s="40"/>
      <c r="T218" s="34"/>
      <c r="U218" s="40"/>
      <c r="V218" s="34"/>
      <c r="W218" s="40"/>
      <c r="X218" s="34"/>
      <c r="Y218" s="34"/>
      <c r="Z218" s="40"/>
      <c r="AA218" s="40"/>
      <c r="AB218" s="34"/>
      <c r="AC218" s="34"/>
      <c r="AD218" s="40"/>
      <c r="AE218" s="40"/>
      <c r="AF218" s="40"/>
      <c r="AG218" s="40"/>
      <c r="AH218" s="34"/>
      <c r="AI218" s="34"/>
      <c r="AJ218" s="34"/>
      <c r="AK218" s="40"/>
      <c r="AL218" s="34"/>
      <c r="AM218" s="40"/>
      <c r="AN218" s="40"/>
      <c r="AO218" s="40"/>
      <c r="AP218" s="40"/>
      <c r="AQ218" s="40"/>
      <c r="AR218" s="40"/>
      <c r="AS218" s="40"/>
      <c r="AT218" s="40"/>
      <c r="AU218" s="40"/>
    </row>
    <row r="219" spans="1:47" ht="15.75" customHeight="1" x14ac:dyDescent="0.25">
      <c r="A219" s="34"/>
      <c r="B219" s="35"/>
      <c r="C219" s="36"/>
      <c r="D219" s="37"/>
      <c r="E219" s="38"/>
      <c r="F219" s="39"/>
      <c r="G219" s="17"/>
      <c r="H219" s="39"/>
      <c r="I219" s="34"/>
      <c r="J219" s="40"/>
      <c r="K219" s="34"/>
      <c r="L219" s="34"/>
      <c r="M219" s="40"/>
      <c r="N219" s="34"/>
      <c r="O219" s="40"/>
      <c r="P219" s="34"/>
      <c r="Q219" s="34"/>
      <c r="R219" s="40"/>
      <c r="S219" s="40"/>
      <c r="T219" s="34"/>
      <c r="U219" s="40"/>
      <c r="V219" s="34"/>
      <c r="W219" s="40"/>
      <c r="X219" s="34"/>
      <c r="Y219" s="34"/>
      <c r="Z219" s="40"/>
      <c r="AA219" s="40"/>
      <c r="AB219" s="34"/>
      <c r="AC219" s="34"/>
      <c r="AD219" s="40"/>
      <c r="AE219" s="40"/>
      <c r="AF219" s="40"/>
      <c r="AG219" s="40"/>
      <c r="AH219" s="34"/>
      <c r="AI219" s="34"/>
      <c r="AJ219" s="34"/>
      <c r="AK219" s="40"/>
      <c r="AL219" s="34"/>
      <c r="AM219" s="40"/>
      <c r="AN219" s="40"/>
      <c r="AO219" s="40"/>
      <c r="AP219" s="40"/>
      <c r="AQ219" s="40"/>
      <c r="AR219" s="40"/>
      <c r="AS219" s="40"/>
      <c r="AT219" s="40"/>
      <c r="AU219" s="40"/>
    </row>
    <row r="220" spans="1:47" ht="15.75" customHeight="1" x14ac:dyDescent="0.25">
      <c r="A220" s="34"/>
      <c r="B220" s="35"/>
      <c r="C220" s="36"/>
      <c r="D220" s="37"/>
      <c r="E220" s="38"/>
      <c r="F220" s="39"/>
      <c r="G220" s="17"/>
      <c r="H220" s="39"/>
      <c r="I220" s="34"/>
      <c r="J220" s="40"/>
      <c r="K220" s="34"/>
      <c r="L220" s="34"/>
      <c r="M220" s="40"/>
      <c r="N220" s="34"/>
      <c r="O220" s="40"/>
      <c r="P220" s="34"/>
      <c r="Q220" s="34"/>
      <c r="R220" s="40"/>
      <c r="S220" s="40"/>
      <c r="T220" s="34"/>
      <c r="U220" s="40"/>
      <c r="V220" s="34"/>
      <c r="W220" s="40"/>
      <c r="X220" s="34"/>
      <c r="Y220" s="34"/>
      <c r="Z220" s="40"/>
      <c r="AA220" s="40"/>
      <c r="AB220" s="34"/>
      <c r="AC220" s="34"/>
      <c r="AD220" s="40"/>
      <c r="AE220" s="40"/>
      <c r="AF220" s="40"/>
      <c r="AG220" s="40"/>
      <c r="AH220" s="34"/>
      <c r="AI220" s="34"/>
      <c r="AJ220" s="34"/>
      <c r="AK220" s="40"/>
      <c r="AL220" s="34"/>
      <c r="AM220" s="40"/>
      <c r="AN220" s="40"/>
      <c r="AO220" s="40"/>
      <c r="AP220" s="40"/>
      <c r="AQ220" s="40"/>
      <c r="AR220" s="40"/>
      <c r="AS220" s="40"/>
      <c r="AT220" s="40"/>
      <c r="AU220" s="40"/>
    </row>
    <row r="221" spans="1:47" ht="15.75" customHeight="1" x14ac:dyDescent="0.25">
      <c r="A221" s="34"/>
      <c r="B221" s="35"/>
      <c r="C221" s="36"/>
      <c r="D221" s="37"/>
      <c r="E221" s="38"/>
      <c r="F221" s="39"/>
      <c r="G221" s="17"/>
      <c r="H221" s="39"/>
      <c r="I221" s="34"/>
      <c r="J221" s="40"/>
      <c r="K221" s="34"/>
      <c r="L221" s="34"/>
      <c r="M221" s="40"/>
      <c r="N221" s="34"/>
      <c r="O221" s="40"/>
      <c r="P221" s="34"/>
      <c r="Q221" s="34"/>
      <c r="R221" s="40"/>
      <c r="S221" s="40"/>
      <c r="T221" s="34"/>
      <c r="U221" s="40"/>
      <c r="V221" s="34"/>
      <c r="W221" s="40"/>
      <c r="X221" s="34"/>
      <c r="Y221" s="34"/>
      <c r="Z221" s="40"/>
      <c r="AA221" s="40"/>
      <c r="AB221" s="34"/>
      <c r="AC221" s="34"/>
      <c r="AD221" s="40"/>
      <c r="AE221" s="40"/>
      <c r="AF221" s="40"/>
      <c r="AG221" s="40"/>
      <c r="AH221" s="34"/>
      <c r="AI221" s="34"/>
      <c r="AJ221" s="34"/>
      <c r="AK221" s="40"/>
      <c r="AL221" s="34"/>
      <c r="AM221" s="40"/>
      <c r="AN221" s="40"/>
      <c r="AO221" s="40"/>
      <c r="AP221" s="40"/>
      <c r="AQ221" s="40"/>
      <c r="AR221" s="40"/>
      <c r="AS221" s="40"/>
      <c r="AT221" s="40"/>
      <c r="AU221" s="40"/>
    </row>
    <row r="222" spans="1:47" ht="15.75" customHeight="1" x14ac:dyDescent="0.25">
      <c r="A222" s="34"/>
      <c r="B222" s="35"/>
      <c r="C222" s="36"/>
      <c r="D222" s="37"/>
      <c r="E222" s="38"/>
      <c r="F222" s="39"/>
      <c r="G222" s="17"/>
      <c r="H222" s="39"/>
      <c r="I222" s="34"/>
      <c r="J222" s="40"/>
      <c r="K222" s="34"/>
      <c r="L222" s="34"/>
      <c r="M222" s="40"/>
      <c r="N222" s="34"/>
      <c r="O222" s="40"/>
      <c r="P222" s="34"/>
      <c r="Q222" s="34"/>
      <c r="R222" s="40"/>
      <c r="S222" s="40"/>
      <c r="T222" s="34"/>
      <c r="U222" s="40"/>
      <c r="V222" s="34"/>
      <c r="W222" s="40"/>
      <c r="X222" s="34"/>
      <c r="Y222" s="34"/>
      <c r="Z222" s="40"/>
      <c r="AA222" s="40"/>
      <c r="AB222" s="34"/>
      <c r="AC222" s="34"/>
      <c r="AD222" s="40"/>
      <c r="AE222" s="40"/>
      <c r="AF222" s="40"/>
      <c r="AG222" s="40"/>
      <c r="AH222" s="34"/>
      <c r="AI222" s="34"/>
      <c r="AJ222" s="34"/>
      <c r="AK222" s="40"/>
      <c r="AL222" s="34"/>
      <c r="AM222" s="40"/>
      <c r="AN222" s="40"/>
      <c r="AO222" s="40"/>
      <c r="AP222" s="40"/>
      <c r="AQ222" s="40"/>
      <c r="AR222" s="40"/>
      <c r="AS222" s="40"/>
      <c r="AT222" s="40"/>
      <c r="AU222" s="40"/>
    </row>
    <row r="223" spans="1:47" ht="15.75" customHeight="1" x14ac:dyDescent="0.25">
      <c r="A223" s="34"/>
      <c r="B223" s="35"/>
      <c r="C223" s="36"/>
      <c r="D223" s="37"/>
      <c r="E223" s="38"/>
      <c r="F223" s="39"/>
      <c r="G223" s="17"/>
      <c r="H223" s="39"/>
      <c r="I223" s="34"/>
      <c r="J223" s="40"/>
      <c r="K223" s="34"/>
      <c r="L223" s="34"/>
      <c r="M223" s="40"/>
      <c r="N223" s="34"/>
      <c r="O223" s="40"/>
      <c r="P223" s="34"/>
      <c r="Q223" s="34"/>
      <c r="R223" s="40"/>
      <c r="S223" s="40"/>
      <c r="T223" s="34"/>
      <c r="U223" s="40"/>
      <c r="V223" s="34"/>
      <c r="W223" s="40"/>
      <c r="X223" s="34"/>
      <c r="Y223" s="34"/>
      <c r="Z223" s="40"/>
      <c r="AA223" s="40"/>
      <c r="AB223" s="34"/>
      <c r="AC223" s="34"/>
      <c r="AD223" s="40"/>
      <c r="AE223" s="40"/>
      <c r="AF223" s="40"/>
      <c r="AG223" s="40"/>
      <c r="AH223" s="34"/>
      <c r="AI223" s="34"/>
      <c r="AJ223" s="34"/>
      <c r="AK223" s="40"/>
      <c r="AL223" s="34"/>
      <c r="AM223" s="40"/>
      <c r="AN223" s="40"/>
      <c r="AO223" s="40"/>
      <c r="AP223" s="40"/>
      <c r="AQ223" s="40"/>
      <c r="AR223" s="40"/>
      <c r="AS223" s="40"/>
      <c r="AT223" s="40"/>
      <c r="AU223" s="40"/>
    </row>
    <row r="224" spans="1:47" ht="15.75" customHeight="1" x14ac:dyDescent="0.25">
      <c r="A224" s="34"/>
      <c r="B224" s="35"/>
      <c r="C224" s="36"/>
      <c r="D224" s="37"/>
      <c r="E224" s="38"/>
      <c r="F224" s="39"/>
      <c r="G224" s="17"/>
      <c r="H224" s="39"/>
      <c r="I224" s="34"/>
      <c r="J224" s="40"/>
      <c r="K224" s="34"/>
      <c r="L224" s="34"/>
      <c r="M224" s="40"/>
      <c r="N224" s="34"/>
      <c r="O224" s="40"/>
      <c r="P224" s="34"/>
      <c r="Q224" s="34"/>
      <c r="R224" s="40"/>
      <c r="S224" s="40"/>
      <c r="T224" s="34"/>
      <c r="U224" s="40"/>
      <c r="V224" s="34"/>
      <c r="W224" s="40"/>
      <c r="X224" s="34"/>
      <c r="Y224" s="34"/>
      <c r="Z224" s="40"/>
      <c r="AA224" s="40"/>
      <c r="AB224" s="34"/>
      <c r="AC224" s="34"/>
      <c r="AD224" s="40"/>
      <c r="AE224" s="40"/>
      <c r="AF224" s="40"/>
      <c r="AG224" s="40"/>
      <c r="AH224" s="34"/>
      <c r="AI224" s="34"/>
      <c r="AJ224" s="34"/>
      <c r="AK224" s="40"/>
      <c r="AL224" s="34"/>
      <c r="AM224" s="40"/>
      <c r="AN224" s="40"/>
      <c r="AO224" s="40"/>
      <c r="AP224" s="40"/>
      <c r="AQ224" s="40"/>
      <c r="AR224" s="40"/>
      <c r="AS224" s="40"/>
      <c r="AT224" s="40"/>
      <c r="AU224" s="40"/>
    </row>
    <row r="225" spans="1:47" ht="15.75" customHeight="1" x14ac:dyDescent="0.25">
      <c r="A225" s="34"/>
      <c r="B225" s="35"/>
      <c r="C225" s="36"/>
      <c r="D225" s="37"/>
      <c r="E225" s="38"/>
      <c r="F225" s="39"/>
      <c r="G225" s="17"/>
      <c r="H225" s="39"/>
      <c r="I225" s="34"/>
      <c r="J225" s="40"/>
      <c r="K225" s="34"/>
      <c r="L225" s="34"/>
      <c r="M225" s="40"/>
      <c r="N225" s="34"/>
      <c r="O225" s="40"/>
      <c r="P225" s="34"/>
      <c r="Q225" s="34"/>
      <c r="R225" s="40"/>
      <c r="S225" s="40"/>
      <c r="T225" s="34"/>
      <c r="U225" s="40"/>
      <c r="V225" s="34"/>
      <c r="W225" s="40"/>
      <c r="X225" s="34"/>
      <c r="Y225" s="34"/>
      <c r="Z225" s="40"/>
      <c r="AA225" s="40"/>
      <c r="AB225" s="34"/>
      <c r="AC225" s="34"/>
      <c r="AD225" s="40"/>
      <c r="AE225" s="40"/>
      <c r="AF225" s="40"/>
      <c r="AG225" s="40"/>
      <c r="AH225" s="34"/>
      <c r="AI225" s="34"/>
      <c r="AJ225" s="34"/>
      <c r="AK225" s="40"/>
      <c r="AL225" s="34"/>
      <c r="AM225" s="40"/>
      <c r="AN225" s="40"/>
      <c r="AO225" s="40"/>
      <c r="AP225" s="40"/>
      <c r="AQ225" s="40"/>
      <c r="AR225" s="40"/>
      <c r="AS225" s="40"/>
      <c r="AT225" s="40"/>
      <c r="AU225" s="40"/>
    </row>
    <row r="226" spans="1:47" ht="15.75" customHeight="1" x14ac:dyDescent="0.25">
      <c r="A226" s="34"/>
      <c r="B226" s="35"/>
      <c r="C226" s="36"/>
      <c r="D226" s="37"/>
      <c r="E226" s="38"/>
      <c r="F226" s="39"/>
      <c r="G226" s="17"/>
      <c r="H226" s="39"/>
      <c r="I226" s="34"/>
      <c r="J226" s="40"/>
      <c r="K226" s="34"/>
      <c r="L226" s="34"/>
      <c r="M226" s="40"/>
      <c r="N226" s="34"/>
      <c r="O226" s="40"/>
      <c r="P226" s="34"/>
      <c r="Q226" s="34"/>
      <c r="R226" s="40"/>
      <c r="S226" s="40"/>
      <c r="T226" s="34"/>
      <c r="U226" s="40"/>
      <c r="V226" s="34"/>
      <c r="W226" s="40"/>
      <c r="X226" s="34"/>
      <c r="Y226" s="34"/>
      <c r="Z226" s="40"/>
      <c r="AA226" s="40"/>
      <c r="AB226" s="34"/>
      <c r="AC226" s="34"/>
      <c r="AD226" s="40"/>
      <c r="AE226" s="40"/>
      <c r="AF226" s="40"/>
      <c r="AG226" s="40"/>
      <c r="AH226" s="34"/>
      <c r="AI226" s="34"/>
      <c r="AJ226" s="34"/>
      <c r="AK226" s="40"/>
      <c r="AL226" s="34"/>
      <c r="AM226" s="40"/>
      <c r="AN226" s="40"/>
      <c r="AO226" s="40"/>
      <c r="AP226" s="40"/>
      <c r="AQ226" s="40"/>
      <c r="AR226" s="40"/>
      <c r="AS226" s="40"/>
      <c r="AT226" s="40"/>
      <c r="AU226" s="40"/>
    </row>
    <row r="227" spans="1:47" ht="15.75" customHeight="1" x14ac:dyDescent="0.25">
      <c r="A227" s="34"/>
      <c r="B227" s="35"/>
      <c r="C227" s="36"/>
      <c r="D227" s="37"/>
      <c r="E227" s="38"/>
      <c r="F227" s="39"/>
      <c r="G227" s="17"/>
      <c r="H227" s="39"/>
      <c r="I227" s="34"/>
      <c r="J227" s="40"/>
      <c r="K227" s="34"/>
      <c r="L227" s="34"/>
      <c r="M227" s="40"/>
      <c r="N227" s="34"/>
      <c r="O227" s="40"/>
      <c r="P227" s="34"/>
      <c r="Q227" s="34"/>
      <c r="R227" s="40"/>
      <c r="S227" s="40"/>
      <c r="T227" s="34"/>
      <c r="U227" s="40"/>
      <c r="V227" s="34"/>
      <c r="W227" s="40"/>
      <c r="X227" s="34"/>
      <c r="Y227" s="34"/>
      <c r="Z227" s="40"/>
      <c r="AA227" s="40"/>
      <c r="AB227" s="34"/>
      <c r="AC227" s="34"/>
      <c r="AD227" s="40"/>
      <c r="AE227" s="40"/>
      <c r="AF227" s="40"/>
      <c r="AG227" s="40"/>
      <c r="AH227" s="34"/>
      <c r="AI227" s="34"/>
      <c r="AJ227" s="34"/>
      <c r="AK227" s="40"/>
      <c r="AL227" s="34"/>
      <c r="AM227" s="40"/>
      <c r="AN227" s="40"/>
      <c r="AO227" s="40"/>
      <c r="AP227" s="40"/>
      <c r="AQ227" s="40"/>
      <c r="AR227" s="40"/>
      <c r="AS227" s="40"/>
      <c r="AT227" s="40"/>
      <c r="AU227" s="40"/>
    </row>
    <row r="228" spans="1:47" ht="15.75" customHeight="1" x14ac:dyDescent="0.25">
      <c r="A228" s="34"/>
      <c r="B228" s="35"/>
      <c r="C228" s="36"/>
      <c r="D228" s="37"/>
      <c r="E228" s="38"/>
      <c r="F228" s="39"/>
      <c r="G228" s="17"/>
      <c r="H228" s="39"/>
      <c r="I228" s="34"/>
      <c r="J228" s="40"/>
      <c r="K228" s="34"/>
      <c r="L228" s="34"/>
      <c r="M228" s="40"/>
      <c r="N228" s="34"/>
      <c r="O228" s="40"/>
      <c r="P228" s="34"/>
      <c r="Q228" s="34"/>
      <c r="R228" s="40"/>
      <c r="S228" s="40"/>
      <c r="T228" s="34"/>
      <c r="U228" s="40"/>
      <c r="V228" s="34"/>
      <c r="W228" s="40"/>
      <c r="X228" s="34"/>
      <c r="Y228" s="34"/>
      <c r="Z228" s="40"/>
      <c r="AA228" s="40"/>
      <c r="AB228" s="34"/>
      <c r="AC228" s="34"/>
      <c r="AD228" s="40"/>
      <c r="AE228" s="40"/>
      <c r="AF228" s="40"/>
      <c r="AG228" s="40"/>
      <c r="AH228" s="34"/>
      <c r="AI228" s="34"/>
      <c r="AJ228" s="34"/>
      <c r="AK228" s="40"/>
      <c r="AL228" s="34"/>
      <c r="AM228" s="40"/>
      <c r="AN228" s="40"/>
      <c r="AO228" s="40"/>
      <c r="AP228" s="40"/>
      <c r="AQ228" s="40"/>
      <c r="AR228" s="40"/>
      <c r="AS228" s="40"/>
      <c r="AT228" s="40"/>
      <c r="AU228" s="40"/>
    </row>
    <row r="229" spans="1:47" ht="15.75" customHeight="1" x14ac:dyDescent="0.25">
      <c r="A229" s="34"/>
      <c r="B229" s="35"/>
      <c r="C229" s="36"/>
      <c r="D229" s="37"/>
      <c r="E229" s="38"/>
      <c r="F229" s="39"/>
      <c r="G229" s="17"/>
      <c r="H229" s="39"/>
      <c r="I229" s="34"/>
      <c r="J229" s="40"/>
      <c r="K229" s="34"/>
      <c r="L229" s="34"/>
      <c r="M229" s="40"/>
      <c r="N229" s="34"/>
      <c r="O229" s="40"/>
      <c r="P229" s="34"/>
      <c r="Q229" s="34"/>
      <c r="R229" s="40"/>
      <c r="S229" s="40"/>
      <c r="T229" s="34"/>
      <c r="U229" s="40"/>
      <c r="V229" s="34"/>
      <c r="W229" s="40"/>
      <c r="X229" s="34"/>
      <c r="Y229" s="34"/>
      <c r="Z229" s="40"/>
      <c r="AA229" s="40"/>
      <c r="AB229" s="34"/>
      <c r="AC229" s="34"/>
      <c r="AD229" s="40"/>
      <c r="AE229" s="40"/>
      <c r="AF229" s="40"/>
      <c r="AG229" s="40"/>
      <c r="AH229" s="34"/>
      <c r="AI229" s="34"/>
      <c r="AJ229" s="34"/>
      <c r="AK229" s="40"/>
      <c r="AL229" s="34"/>
      <c r="AM229" s="40"/>
      <c r="AN229" s="40"/>
      <c r="AO229" s="40"/>
      <c r="AP229" s="40"/>
      <c r="AQ229" s="40"/>
      <c r="AR229" s="40"/>
      <c r="AS229" s="40"/>
      <c r="AT229" s="40"/>
      <c r="AU229" s="40"/>
    </row>
    <row r="230" spans="1:47" ht="15.75" customHeight="1" x14ac:dyDescent="0.25">
      <c r="A230" s="34"/>
      <c r="B230" s="35"/>
      <c r="C230" s="36"/>
      <c r="D230" s="37"/>
      <c r="E230" s="38"/>
      <c r="F230" s="39"/>
      <c r="G230" s="17"/>
      <c r="H230" s="39"/>
      <c r="I230" s="34"/>
      <c r="J230" s="40"/>
      <c r="K230" s="34"/>
      <c r="L230" s="34"/>
      <c r="M230" s="40"/>
      <c r="N230" s="34"/>
      <c r="O230" s="40"/>
      <c r="P230" s="34"/>
      <c r="Q230" s="34"/>
      <c r="R230" s="40"/>
      <c r="S230" s="40"/>
      <c r="T230" s="34"/>
      <c r="U230" s="40"/>
      <c r="V230" s="34"/>
      <c r="W230" s="40"/>
      <c r="X230" s="34"/>
      <c r="Y230" s="34"/>
      <c r="Z230" s="40"/>
      <c r="AA230" s="40"/>
      <c r="AB230" s="34"/>
      <c r="AC230" s="34"/>
      <c r="AD230" s="40"/>
      <c r="AE230" s="40"/>
      <c r="AF230" s="40"/>
      <c r="AG230" s="40"/>
      <c r="AH230" s="34"/>
      <c r="AI230" s="34"/>
      <c r="AJ230" s="34"/>
      <c r="AK230" s="40"/>
      <c r="AL230" s="34"/>
      <c r="AM230" s="40"/>
      <c r="AN230" s="40"/>
      <c r="AO230" s="40"/>
      <c r="AP230" s="40"/>
      <c r="AQ230" s="40"/>
      <c r="AR230" s="40"/>
      <c r="AS230" s="40"/>
      <c r="AT230" s="40"/>
      <c r="AU230" s="40"/>
    </row>
    <row r="231" spans="1:47" ht="15.75" customHeight="1" x14ac:dyDescent="0.25">
      <c r="A231" s="34"/>
      <c r="B231" s="35"/>
      <c r="C231" s="36"/>
      <c r="D231" s="37"/>
      <c r="E231" s="38"/>
      <c r="F231" s="39"/>
      <c r="G231" s="17"/>
      <c r="H231" s="39"/>
      <c r="I231" s="34"/>
      <c r="J231" s="40"/>
      <c r="K231" s="34"/>
      <c r="L231" s="34"/>
      <c r="M231" s="40"/>
      <c r="N231" s="34"/>
      <c r="O231" s="40"/>
      <c r="P231" s="34"/>
      <c r="Q231" s="34"/>
      <c r="R231" s="40"/>
      <c r="S231" s="40"/>
      <c r="T231" s="34"/>
      <c r="U231" s="40"/>
      <c r="V231" s="34"/>
      <c r="W231" s="40"/>
      <c r="X231" s="34"/>
      <c r="Y231" s="34"/>
      <c r="Z231" s="40"/>
      <c r="AA231" s="40"/>
      <c r="AB231" s="34"/>
      <c r="AC231" s="34"/>
      <c r="AD231" s="40"/>
      <c r="AE231" s="40"/>
      <c r="AF231" s="40"/>
      <c r="AG231" s="40"/>
      <c r="AH231" s="34"/>
      <c r="AI231" s="34"/>
      <c r="AJ231" s="34"/>
      <c r="AK231" s="40"/>
      <c r="AL231" s="34"/>
      <c r="AM231" s="40"/>
      <c r="AN231" s="40"/>
      <c r="AO231" s="40"/>
      <c r="AP231" s="40"/>
      <c r="AQ231" s="40"/>
      <c r="AR231" s="40"/>
      <c r="AS231" s="40"/>
      <c r="AT231" s="40"/>
      <c r="AU231" s="40"/>
    </row>
    <row r="232" spans="1:47" ht="15.75" customHeight="1" x14ac:dyDescent="0.25">
      <c r="A232" s="34"/>
      <c r="B232" s="35"/>
      <c r="C232" s="36"/>
      <c r="D232" s="37"/>
      <c r="E232" s="38"/>
      <c r="F232" s="39"/>
      <c r="G232" s="17"/>
      <c r="H232" s="39"/>
      <c r="I232" s="34"/>
      <c r="J232" s="40"/>
      <c r="K232" s="34"/>
      <c r="L232" s="34"/>
      <c r="M232" s="40"/>
      <c r="N232" s="34"/>
      <c r="O232" s="40"/>
      <c r="P232" s="34"/>
      <c r="Q232" s="34"/>
      <c r="R232" s="40"/>
      <c r="S232" s="40"/>
      <c r="T232" s="34"/>
      <c r="U232" s="40"/>
      <c r="V232" s="34"/>
      <c r="W232" s="40"/>
      <c r="X232" s="34"/>
      <c r="Y232" s="34"/>
      <c r="Z232" s="40"/>
      <c r="AA232" s="40"/>
      <c r="AB232" s="34"/>
      <c r="AC232" s="34"/>
      <c r="AD232" s="40"/>
      <c r="AE232" s="40"/>
      <c r="AF232" s="40"/>
      <c r="AG232" s="40"/>
      <c r="AH232" s="34"/>
      <c r="AI232" s="34"/>
      <c r="AJ232" s="34"/>
      <c r="AK232" s="40"/>
      <c r="AL232" s="34"/>
      <c r="AM232" s="40"/>
      <c r="AN232" s="40"/>
      <c r="AO232" s="40"/>
      <c r="AP232" s="40"/>
      <c r="AQ232" s="40"/>
      <c r="AR232" s="40"/>
      <c r="AS232" s="40"/>
      <c r="AT232" s="40"/>
      <c r="AU232" s="40"/>
    </row>
    <row r="233" spans="1:47" ht="15.75" customHeight="1" x14ac:dyDescent="0.25">
      <c r="A233" s="34"/>
      <c r="B233" s="35"/>
      <c r="C233" s="36"/>
      <c r="D233" s="37"/>
      <c r="E233" s="38"/>
      <c r="F233" s="39"/>
      <c r="G233" s="17"/>
      <c r="H233" s="39"/>
      <c r="I233" s="34"/>
      <c r="J233" s="40"/>
      <c r="K233" s="34"/>
      <c r="L233" s="34"/>
      <c r="M233" s="40"/>
      <c r="N233" s="34"/>
      <c r="O233" s="40"/>
      <c r="P233" s="34"/>
      <c r="Q233" s="34"/>
      <c r="R233" s="40"/>
      <c r="S233" s="40"/>
      <c r="T233" s="34"/>
      <c r="U233" s="40"/>
      <c r="V233" s="34"/>
      <c r="W233" s="40"/>
      <c r="X233" s="34"/>
      <c r="Y233" s="34"/>
      <c r="Z233" s="40"/>
      <c r="AA233" s="40"/>
      <c r="AB233" s="34"/>
      <c r="AC233" s="34"/>
      <c r="AD233" s="40"/>
      <c r="AE233" s="40"/>
      <c r="AF233" s="40"/>
      <c r="AG233" s="40"/>
      <c r="AH233" s="34"/>
      <c r="AI233" s="34"/>
      <c r="AJ233" s="34"/>
      <c r="AK233" s="40"/>
      <c r="AL233" s="34"/>
      <c r="AM233" s="40"/>
      <c r="AN233" s="40"/>
      <c r="AO233" s="40"/>
      <c r="AP233" s="40"/>
      <c r="AQ233" s="40"/>
      <c r="AR233" s="40"/>
      <c r="AS233" s="40"/>
      <c r="AT233" s="40"/>
      <c r="AU233" s="40"/>
    </row>
    <row r="234" spans="1:47" ht="15.75" customHeight="1" x14ac:dyDescent="0.25">
      <c r="A234" s="34"/>
      <c r="B234" s="35"/>
      <c r="C234" s="36"/>
      <c r="D234" s="37"/>
      <c r="E234" s="38"/>
      <c r="F234" s="39"/>
      <c r="G234" s="17"/>
      <c r="H234" s="39"/>
      <c r="I234" s="34"/>
      <c r="J234" s="40"/>
      <c r="K234" s="34"/>
      <c r="L234" s="34"/>
      <c r="M234" s="40"/>
      <c r="N234" s="34"/>
      <c r="O234" s="40"/>
      <c r="P234" s="34"/>
      <c r="Q234" s="34"/>
      <c r="R234" s="40"/>
      <c r="S234" s="40"/>
      <c r="T234" s="34"/>
      <c r="U234" s="40"/>
      <c r="V234" s="34"/>
      <c r="W234" s="40"/>
      <c r="X234" s="34"/>
      <c r="Y234" s="34"/>
      <c r="Z234" s="40"/>
      <c r="AA234" s="40"/>
      <c r="AB234" s="34"/>
      <c r="AC234" s="34"/>
      <c r="AD234" s="40"/>
      <c r="AE234" s="40"/>
      <c r="AF234" s="40"/>
      <c r="AG234" s="40"/>
      <c r="AH234" s="34"/>
      <c r="AI234" s="34"/>
      <c r="AJ234" s="34"/>
      <c r="AK234" s="40"/>
      <c r="AL234" s="34"/>
      <c r="AM234" s="40"/>
      <c r="AN234" s="40"/>
      <c r="AO234" s="40"/>
      <c r="AP234" s="40"/>
      <c r="AQ234" s="40"/>
      <c r="AR234" s="40"/>
      <c r="AS234" s="40"/>
      <c r="AT234" s="40"/>
      <c r="AU234" s="40"/>
    </row>
    <row r="235" spans="1:47" ht="15.75" customHeight="1" x14ac:dyDescent="0.25">
      <c r="A235" s="34"/>
      <c r="B235" s="35"/>
      <c r="C235" s="36"/>
      <c r="D235" s="37"/>
      <c r="E235" s="38"/>
      <c r="F235" s="39"/>
      <c r="G235" s="17"/>
      <c r="H235" s="39"/>
      <c r="I235" s="34"/>
      <c r="J235" s="40"/>
      <c r="K235" s="34"/>
      <c r="L235" s="34"/>
      <c r="M235" s="40"/>
      <c r="N235" s="34"/>
      <c r="O235" s="40"/>
      <c r="P235" s="34"/>
      <c r="Q235" s="34"/>
      <c r="R235" s="40"/>
      <c r="S235" s="40"/>
      <c r="T235" s="34"/>
      <c r="U235" s="40"/>
      <c r="V235" s="34"/>
      <c r="W235" s="40"/>
      <c r="X235" s="34"/>
      <c r="Y235" s="34"/>
      <c r="Z235" s="40"/>
      <c r="AA235" s="40"/>
      <c r="AB235" s="34"/>
      <c r="AC235" s="34"/>
      <c r="AD235" s="40"/>
      <c r="AE235" s="40"/>
      <c r="AF235" s="40"/>
      <c r="AG235" s="40"/>
      <c r="AH235" s="34"/>
      <c r="AI235" s="34"/>
      <c r="AJ235" s="34"/>
      <c r="AK235" s="40"/>
      <c r="AL235" s="34"/>
      <c r="AM235" s="40"/>
      <c r="AN235" s="40"/>
      <c r="AO235" s="40"/>
      <c r="AP235" s="40"/>
      <c r="AQ235" s="40"/>
      <c r="AR235" s="40"/>
      <c r="AS235" s="40"/>
      <c r="AT235" s="40"/>
      <c r="AU235" s="40"/>
    </row>
    <row r="236" spans="1:47" ht="15.75" customHeight="1" x14ac:dyDescent="0.25">
      <c r="A236" s="34"/>
      <c r="B236" s="35"/>
      <c r="C236" s="36"/>
      <c r="D236" s="37"/>
      <c r="E236" s="38"/>
      <c r="F236" s="39"/>
      <c r="G236" s="17"/>
      <c r="H236" s="39"/>
      <c r="I236" s="34"/>
      <c r="J236" s="40"/>
      <c r="K236" s="34"/>
      <c r="L236" s="34"/>
      <c r="M236" s="40"/>
      <c r="N236" s="34"/>
      <c r="O236" s="40"/>
      <c r="P236" s="34"/>
      <c r="Q236" s="34"/>
      <c r="R236" s="40"/>
      <c r="S236" s="40"/>
      <c r="T236" s="34"/>
      <c r="U236" s="40"/>
      <c r="V236" s="34"/>
      <c r="W236" s="40"/>
      <c r="X236" s="34"/>
      <c r="Y236" s="34"/>
      <c r="Z236" s="40"/>
      <c r="AA236" s="40"/>
      <c r="AB236" s="34"/>
      <c r="AC236" s="34"/>
      <c r="AD236" s="40"/>
      <c r="AE236" s="40"/>
      <c r="AF236" s="40"/>
      <c r="AG236" s="40"/>
      <c r="AH236" s="34"/>
      <c r="AI236" s="34"/>
      <c r="AJ236" s="34"/>
      <c r="AK236" s="40"/>
      <c r="AL236" s="34"/>
      <c r="AM236" s="40"/>
      <c r="AN236" s="40"/>
      <c r="AO236" s="40"/>
      <c r="AP236" s="40"/>
      <c r="AQ236" s="40"/>
      <c r="AR236" s="40"/>
      <c r="AS236" s="40"/>
      <c r="AT236" s="40"/>
      <c r="AU236" s="40"/>
    </row>
    <row r="237" spans="1:47" ht="15.75" customHeight="1" x14ac:dyDescent="0.25">
      <c r="A237" s="34"/>
      <c r="B237" s="35"/>
      <c r="C237" s="36"/>
      <c r="D237" s="37"/>
      <c r="E237" s="38"/>
      <c r="F237" s="39"/>
      <c r="G237" s="17"/>
      <c r="H237" s="39"/>
      <c r="I237" s="34"/>
      <c r="J237" s="40"/>
      <c r="K237" s="34"/>
      <c r="L237" s="34"/>
      <c r="M237" s="40"/>
      <c r="N237" s="34"/>
      <c r="O237" s="40"/>
      <c r="P237" s="34"/>
      <c r="Q237" s="34"/>
      <c r="R237" s="40"/>
      <c r="S237" s="40"/>
      <c r="T237" s="34"/>
      <c r="U237" s="40"/>
      <c r="V237" s="34"/>
      <c r="W237" s="40"/>
      <c r="X237" s="34"/>
      <c r="Y237" s="34"/>
      <c r="Z237" s="40"/>
      <c r="AA237" s="40"/>
      <c r="AB237" s="34"/>
      <c r="AC237" s="34"/>
      <c r="AD237" s="40"/>
      <c r="AE237" s="40"/>
      <c r="AF237" s="40"/>
      <c r="AG237" s="40"/>
      <c r="AH237" s="34"/>
      <c r="AI237" s="34"/>
      <c r="AJ237" s="34"/>
      <c r="AK237" s="40"/>
      <c r="AL237" s="34"/>
      <c r="AM237" s="40"/>
      <c r="AN237" s="40"/>
      <c r="AO237" s="40"/>
      <c r="AP237" s="40"/>
      <c r="AQ237" s="40"/>
      <c r="AR237" s="40"/>
      <c r="AS237" s="40"/>
      <c r="AT237" s="40"/>
      <c r="AU237" s="40"/>
    </row>
    <row r="238" spans="1:47" ht="15.75" customHeight="1" x14ac:dyDescent="0.25">
      <c r="A238" s="34"/>
      <c r="B238" s="35"/>
      <c r="C238" s="36"/>
      <c r="D238" s="37"/>
      <c r="E238" s="38"/>
      <c r="F238" s="39"/>
      <c r="G238" s="17"/>
      <c r="H238" s="39"/>
      <c r="I238" s="34"/>
      <c r="J238" s="40"/>
      <c r="K238" s="34"/>
      <c r="L238" s="34"/>
      <c r="M238" s="40"/>
      <c r="N238" s="34"/>
      <c r="O238" s="40"/>
      <c r="P238" s="34"/>
      <c r="Q238" s="34"/>
      <c r="R238" s="40"/>
      <c r="S238" s="40"/>
      <c r="T238" s="34"/>
      <c r="U238" s="40"/>
      <c r="V238" s="34"/>
      <c r="W238" s="40"/>
      <c r="X238" s="34"/>
      <c r="Y238" s="34"/>
      <c r="Z238" s="40"/>
      <c r="AA238" s="40"/>
      <c r="AB238" s="34"/>
      <c r="AC238" s="34"/>
      <c r="AD238" s="40"/>
      <c r="AE238" s="40"/>
      <c r="AF238" s="40"/>
      <c r="AG238" s="40"/>
      <c r="AH238" s="34"/>
      <c r="AI238" s="34"/>
      <c r="AJ238" s="34"/>
      <c r="AK238" s="40"/>
      <c r="AL238" s="34"/>
      <c r="AM238" s="40"/>
      <c r="AN238" s="40"/>
      <c r="AO238" s="40"/>
      <c r="AP238" s="40"/>
      <c r="AQ238" s="40"/>
      <c r="AR238" s="40"/>
      <c r="AS238" s="40"/>
      <c r="AT238" s="40"/>
      <c r="AU238" s="40"/>
    </row>
    <row r="239" spans="1:47" ht="15.75" customHeight="1" x14ac:dyDescent="0.25">
      <c r="A239" s="34"/>
      <c r="B239" s="35"/>
      <c r="C239" s="36"/>
      <c r="D239" s="37"/>
      <c r="E239" s="38"/>
      <c r="F239" s="39"/>
      <c r="G239" s="17"/>
      <c r="H239" s="39"/>
      <c r="I239" s="34"/>
      <c r="J239" s="40"/>
      <c r="K239" s="34"/>
      <c r="L239" s="34"/>
      <c r="M239" s="40"/>
      <c r="N239" s="34"/>
      <c r="O239" s="40"/>
      <c r="P239" s="34"/>
      <c r="Q239" s="34"/>
      <c r="R239" s="40"/>
      <c r="S239" s="40"/>
      <c r="T239" s="34"/>
      <c r="U239" s="40"/>
      <c r="V239" s="34"/>
      <c r="W239" s="40"/>
      <c r="X239" s="34"/>
      <c r="Y239" s="34"/>
      <c r="Z239" s="40"/>
      <c r="AA239" s="40"/>
      <c r="AB239" s="34"/>
      <c r="AC239" s="34"/>
      <c r="AD239" s="40"/>
      <c r="AE239" s="40"/>
      <c r="AF239" s="40"/>
      <c r="AG239" s="40"/>
      <c r="AH239" s="34"/>
      <c r="AI239" s="34"/>
      <c r="AJ239" s="34"/>
      <c r="AK239" s="40"/>
      <c r="AL239" s="34"/>
      <c r="AM239" s="40"/>
      <c r="AN239" s="40"/>
      <c r="AO239" s="40"/>
      <c r="AP239" s="40"/>
      <c r="AQ239" s="40"/>
      <c r="AR239" s="40"/>
      <c r="AS239" s="40"/>
      <c r="AT239" s="40"/>
      <c r="AU239" s="40"/>
    </row>
    <row r="240" spans="1:47" ht="15.75" customHeight="1" x14ac:dyDescent="0.25">
      <c r="A240" s="34"/>
      <c r="B240" s="35"/>
      <c r="C240" s="36"/>
      <c r="D240" s="37"/>
      <c r="E240" s="38"/>
      <c r="F240" s="39"/>
      <c r="G240" s="17"/>
      <c r="H240" s="39"/>
      <c r="I240" s="34"/>
      <c r="J240" s="40"/>
      <c r="K240" s="34"/>
      <c r="L240" s="34"/>
      <c r="M240" s="40"/>
      <c r="N240" s="34"/>
      <c r="O240" s="40"/>
      <c r="P240" s="34"/>
      <c r="Q240" s="34"/>
      <c r="R240" s="40"/>
      <c r="S240" s="40"/>
      <c r="T240" s="34"/>
      <c r="U240" s="40"/>
      <c r="V240" s="34"/>
      <c r="W240" s="40"/>
      <c r="X240" s="34"/>
      <c r="Y240" s="34"/>
      <c r="Z240" s="40"/>
      <c r="AA240" s="40"/>
      <c r="AB240" s="34"/>
      <c r="AC240" s="34"/>
      <c r="AD240" s="40"/>
      <c r="AE240" s="40"/>
      <c r="AF240" s="40"/>
      <c r="AG240" s="40"/>
      <c r="AH240" s="34"/>
      <c r="AI240" s="34"/>
      <c r="AJ240" s="34"/>
      <c r="AK240" s="40"/>
      <c r="AL240" s="34"/>
      <c r="AM240" s="40"/>
      <c r="AN240" s="40"/>
      <c r="AO240" s="40"/>
      <c r="AP240" s="40"/>
      <c r="AQ240" s="40"/>
      <c r="AR240" s="40"/>
      <c r="AS240" s="40"/>
      <c r="AT240" s="40"/>
      <c r="AU240" s="40"/>
    </row>
    <row r="241" spans="1:47" ht="15.75" customHeight="1" x14ac:dyDescent="0.25">
      <c r="A241" s="34"/>
      <c r="B241" s="35"/>
      <c r="C241" s="36"/>
      <c r="D241" s="37"/>
      <c r="E241" s="38"/>
      <c r="F241" s="39"/>
      <c r="G241" s="17"/>
      <c r="H241" s="39"/>
      <c r="I241" s="34"/>
      <c r="J241" s="40"/>
      <c r="K241" s="34"/>
      <c r="L241" s="34"/>
      <c r="M241" s="40"/>
      <c r="N241" s="34"/>
      <c r="O241" s="40"/>
      <c r="P241" s="34"/>
      <c r="Q241" s="34"/>
      <c r="R241" s="40"/>
      <c r="S241" s="40"/>
      <c r="T241" s="34"/>
      <c r="U241" s="40"/>
      <c r="V241" s="34"/>
      <c r="W241" s="40"/>
      <c r="X241" s="34"/>
      <c r="Y241" s="34"/>
      <c r="Z241" s="40"/>
      <c r="AA241" s="40"/>
      <c r="AB241" s="34"/>
      <c r="AC241" s="34"/>
      <c r="AD241" s="40"/>
      <c r="AE241" s="40"/>
      <c r="AF241" s="40"/>
      <c r="AG241" s="40"/>
      <c r="AH241" s="34"/>
      <c r="AI241" s="34"/>
      <c r="AJ241" s="34"/>
      <c r="AK241" s="40"/>
      <c r="AL241" s="34"/>
      <c r="AM241" s="40"/>
      <c r="AN241" s="40"/>
      <c r="AO241" s="40"/>
      <c r="AP241" s="40"/>
      <c r="AQ241" s="40"/>
      <c r="AR241" s="40"/>
      <c r="AS241" s="40"/>
      <c r="AT241" s="40"/>
      <c r="AU241" s="40"/>
    </row>
    <row r="242" spans="1:47" ht="15.75" customHeight="1" x14ac:dyDescent="0.25">
      <c r="A242" s="34"/>
      <c r="B242" s="35"/>
      <c r="C242" s="36"/>
      <c r="D242" s="37"/>
      <c r="E242" s="38"/>
      <c r="F242" s="39"/>
      <c r="G242" s="17"/>
      <c r="H242" s="39"/>
      <c r="I242" s="34"/>
      <c r="J242" s="40"/>
      <c r="K242" s="34"/>
      <c r="L242" s="34"/>
      <c r="M242" s="40"/>
      <c r="N242" s="34"/>
      <c r="O242" s="40"/>
      <c r="P242" s="34"/>
      <c r="Q242" s="34"/>
      <c r="R242" s="40"/>
      <c r="S242" s="40"/>
      <c r="T242" s="34"/>
      <c r="U242" s="40"/>
      <c r="V242" s="34"/>
      <c r="W242" s="40"/>
      <c r="X242" s="34"/>
      <c r="Y242" s="34"/>
      <c r="Z242" s="40"/>
      <c r="AA242" s="40"/>
      <c r="AB242" s="34"/>
      <c r="AC242" s="34"/>
      <c r="AD242" s="40"/>
      <c r="AE242" s="40"/>
      <c r="AF242" s="40"/>
      <c r="AG242" s="40"/>
      <c r="AH242" s="34"/>
      <c r="AI242" s="34"/>
      <c r="AJ242" s="34"/>
      <c r="AK242" s="40"/>
      <c r="AL242" s="34"/>
      <c r="AM242" s="40"/>
      <c r="AN242" s="40"/>
      <c r="AO242" s="40"/>
      <c r="AP242" s="40"/>
      <c r="AQ242" s="40"/>
      <c r="AR242" s="40"/>
      <c r="AS242" s="40"/>
      <c r="AT242" s="40"/>
      <c r="AU242" s="40"/>
    </row>
    <row r="243" spans="1:47" ht="15.75" customHeight="1" x14ac:dyDescent="0.25">
      <c r="A243" s="34"/>
      <c r="B243" s="35"/>
      <c r="C243" s="36"/>
      <c r="D243" s="37"/>
      <c r="E243" s="38"/>
      <c r="F243" s="39"/>
      <c r="G243" s="17"/>
      <c r="H243" s="39"/>
      <c r="I243" s="34"/>
      <c r="J243" s="40"/>
      <c r="K243" s="34"/>
      <c r="L243" s="34"/>
      <c r="M243" s="40"/>
      <c r="N243" s="34"/>
      <c r="O243" s="40"/>
      <c r="P243" s="34"/>
      <c r="Q243" s="34"/>
      <c r="R243" s="40"/>
      <c r="S243" s="40"/>
      <c r="T243" s="34"/>
      <c r="U243" s="40"/>
      <c r="V243" s="34"/>
      <c r="W243" s="40"/>
      <c r="X243" s="34"/>
      <c r="Y243" s="34"/>
      <c r="Z243" s="40"/>
      <c r="AA243" s="40"/>
      <c r="AB243" s="34"/>
      <c r="AC243" s="34"/>
      <c r="AD243" s="40"/>
      <c r="AE243" s="40"/>
      <c r="AF243" s="40"/>
      <c r="AG243" s="40"/>
      <c r="AH243" s="34"/>
      <c r="AI243" s="34"/>
      <c r="AJ243" s="34"/>
      <c r="AK243" s="40"/>
      <c r="AL243" s="34"/>
      <c r="AM243" s="40"/>
      <c r="AN243" s="40"/>
      <c r="AO243" s="40"/>
      <c r="AP243" s="40"/>
      <c r="AQ243" s="40"/>
      <c r="AR243" s="40"/>
      <c r="AS243" s="40"/>
      <c r="AT243" s="40"/>
      <c r="AU243" s="40"/>
    </row>
    <row r="244" spans="1:47" ht="15.75" customHeight="1" x14ac:dyDescent="0.25">
      <c r="A244" s="34"/>
      <c r="B244" s="35"/>
      <c r="C244" s="36"/>
      <c r="D244" s="37"/>
      <c r="E244" s="38"/>
      <c r="F244" s="39"/>
      <c r="G244" s="17"/>
      <c r="H244" s="39"/>
      <c r="I244" s="34"/>
      <c r="J244" s="40"/>
      <c r="K244" s="34"/>
      <c r="L244" s="34"/>
      <c r="M244" s="40"/>
      <c r="N244" s="34"/>
      <c r="O244" s="40"/>
      <c r="P244" s="34"/>
      <c r="Q244" s="34"/>
      <c r="R244" s="40"/>
      <c r="S244" s="40"/>
      <c r="T244" s="34"/>
      <c r="U244" s="40"/>
      <c r="V244" s="34"/>
      <c r="W244" s="40"/>
      <c r="X244" s="34"/>
      <c r="Y244" s="34"/>
      <c r="Z244" s="40"/>
      <c r="AA244" s="40"/>
      <c r="AB244" s="34"/>
      <c r="AC244" s="34"/>
      <c r="AD244" s="40"/>
      <c r="AE244" s="40"/>
      <c r="AF244" s="40"/>
      <c r="AG244" s="40"/>
      <c r="AH244" s="34"/>
      <c r="AI244" s="34"/>
      <c r="AJ244" s="34"/>
      <c r="AK244" s="40"/>
      <c r="AL244" s="34"/>
      <c r="AM244" s="40"/>
      <c r="AN244" s="40"/>
      <c r="AO244" s="40"/>
      <c r="AP244" s="40"/>
      <c r="AQ244" s="40"/>
      <c r="AR244" s="40"/>
      <c r="AS244" s="40"/>
      <c r="AT244" s="40"/>
      <c r="AU244" s="40"/>
    </row>
    <row r="245" spans="1:47" ht="15.75" customHeight="1" x14ac:dyDescent="0.25">
      <c r="A245" s="34"/>
      <c r="B245" s="35"/>
      <c r="C245" s="36"/>
      <c r="D245" s="37"/>
      <c r="E245" s="38"/>
      <c r="F245" s="39"/>
      <c r="G245" s="17"/>
      <c r="H245" s="39"/>
      <c r="I245" s="34"/>
      <c r="J245" s="40"/>
      <c r="K245" s="34"/>
      <c r="L245" s="34"/>
      <c r="M245" s="40"/>
      <c r="N245" s="34"/>
      <c r="O245" s="40"/>
      <c r="P245" s="34"/>
      <c r="Q245" s="34"/>
      <c r="R245" s="40"/>
      <c r="S245" s="40"/>
      <c r="T245" s="34"/>
      <c r="U245" s="40"/>
      <c r="V245" s="34"/>
      <c r="W245" s="40"/>
      <c r="X245" s="34"/>
      <c r="Y245" s="34"/>
      <c r="Z245" s="40"/>
      <c r="AA245" s="40"/>
      <c r="AB245" s="34"/>
      <c r="AC245" s="34"/>
      <c r="AD245" s="40"/>
      <c r="AE245" s="40"/>
      <c r="AF245" s="40"/>
      <c r="AG245" s="40"/>
      <c r="AH245" s="34"/>
      <c r="AI245" s="34"/>
      <c r="AJ245" s="34"/>
      <c r="AK245" s="40"/>
      <c r="AL245" s="34"/>
      <c r="AM245" s="40"/>
      <c r="AN245" s="40"/>
      <c r="AO245" s="40"/>
      <c r="AP245" s="40"/>
      <c r="AQ245" s="40"/>
      <c r="AR245" s="40"/>
      <c r="AS245" s="40"/>
      <c r="AT245" s="40"/>
      <c r="AU245" s="40"/>
    </row>
    <row r="246" spans="1:47" ht="15.75" customHeight="1" x14ac:dyDescent="0.25">
      <c r="A246" s="34"/>
      <c r="B246" s="35"/>
      <c r="C246" s="36"/>
      <c r="D246" s="37"/>
      <c r="E246" s="38"/>
      <c r="F246" s="39"/>
      <c r="G246" s="17"/>
      <c r="H246" s="39"/>
      <c r="I246" s="34"/>
      <c r="J246" s="40"/>
      <c r="K246" s="34"/>
      <c r="L246" s="34"/>
      <c r="M246" s="40"/>
      <c r="N246" s="34"/>
      <c r="O246" s="40"/>
      <c r="P246" s="34"/>
      <c r="Q246" s="34"/>
      <c r="R246" s="40"/>
      <c r="S246" s="40"/>
      <c r="T246" s="34"/>
      <c r="U246" s="40"/>
      <c r="V246" s="34"/>
      <c r="W246" s="40"/>
      <c r="X246" s="34"/>
      <c r="Y246" s="34"/>
      <c r="Z246" s="40"/>
      <c r="AA246" s="40"/>
      <c r="AB246" s="34"/>
      <c r="AC246" s="34"/>
      <c r="AD246" s="40"/>
      <c r="AE246" s="40"/>
      <c r="AF246" s="40"/>
      <c r="AG246" s="40"/>
      <c r="AH246" s="34"/>
      <c r="AI246" s="34"/>
      <c r="AJ246" s="34"/>
      <c r="AK246" s="40"/>
      <c r="AL246" s="34"/>
      <c r="AM246" s="40"/>
      <c r="AN246" s="40"/>
      <c r="AO246" s="40"/>
      <c r="AP246" s="40"/>
      <c r="AQ246" s="40"/>
      <c r="AR246" s="40"/>
      <c r="AS246" s="40"/>
      <c r="AT246" s="40"/>
      <c r="AU246" s="40"/>
    </row>
    <row r="247" spans="1:47" ht="15.75" customHeight="1" x14ac:dyDescent="0.25">
      <c r="A247" s="34"/>
      <c r="B247" s="35"/>
      <c r="C247" s="36"/>
      <c r="D247" s="37"/>
      <c r="E247" s="38"/>
      <c r="F247" s="39"/>
      <c r="G247" s="17"/>
      <c r="H247" s="39"/>
      <c r="I247" s="34"/>
      <c r="J247" s="40"/>
      <c r="K247" s="34"/>
      <c r="L247" s="34"/>
      <c r="M247" s="40"/>
      <c r="N247" s="34"/>
      <c r="O247" s="40"/>
      <c r="P247" s="34"/>
      <c r="Q247" s="34"/>
      <c r="R247" s="40"/>
      <c r="S247" s="40"/>
      <c r="T247" s="34"/>
      <c r="U247" s="40"/>
      <c r="V247" s="34"/>
      <c r="W247" s="40"/>
      <c r="X247" s="34"/>
      <c r="Y247" s="34"/>
      <c r="Z247" s="40"/>
      <c r="AA247" s="40"/>
      <c r="AB247" s="34"/>
      <c r="AC247" s="34"/>
      <c r="AD247" s="40"/>
      <c r="AE247" s="40"/>
      <c r="AF247" s="40"/>
      <c r="AG247" s="40"/>
      <c r="AH247" s="34"/>
      <c r="AI247" s="34"/>
      <c r="AJ247" s="34"/>
      <c r="AK247" s="40"/>
      <c r="AL247" s="34"/>
      <c r="AM247" s="40"/>
      <c r="AN247" s="40"/>
      <c r="AO247" s="40"/>
      <c r="AP247" s="40"/>
      <c r="AQ247" s="40"/>
      <c r="AR247" s="40"/>
      <c r="AS247" s="40"/>
      <c r="AT247" s="40"/>
      <c r="AU247" s="40"/>
    </row>
    <row r="248" spans="1:47" ht="15.75" customHeight="1" x14ac:dyDescent="0.25">
      <c r="A248" s="34"/>
      <c r="B248" s="35"/>
      <c r="C248" s="36"/>
      <c r="D248" s="37"/>
      <c r="E248" s="38"/>
      <c r="F248" s="39"/>
      <c r="G248" s="17"/>
      <c r="H248" s="39"/>
      <c r="I248" s="34"/>
      <c r="J248" s="40"/>
      <c r="K248" s="34"/>
      <c r="L248" s="34"/>
      <c r="M248" s="40"/>
      <c r="N248" s="34"/>
      <c r="O248" s="40"/>
      <c r="P248" s="34"/>
      <c r="Q248" s="34"/>
      <c r="R248" s="40"/>
      <c r="S248" s="40"/>
      <c r="T248" s="34"/>
      <c r="U248" s="40"/>
      <c r="V248" s="34"/>
      <c r="W248" s="40"/>
      <c r="X248" s="34"/>
      <c r="Y248" s="34"/>
      <c r="Z248" s="40"/>
      <c r="AA248" s="40"/>
      <c r="AB248" s="34"/>
      <c r="AC248" s="34"/>
      <c r="AD248" s="40"/>
      <c r="AE248" s="40"/>
      <c r="AF248" s="40"/>
      <c r="AG248" s="40"/>
      <c r="AH248" s="34"/>
      <c r="AI248" s="34"/>
      <c r="AJ248" s="34"/>
      <c r="AK248" s="40"/>
      <c r="AL248" s="34"/>
      <c r="AM248" s="40"/>
      <c r="AN248" s="40"/>
      <c r="AO248" s="40"/>
      <c r="AP248" s="40"/>
      <c r="AQ248" s="40"/>
      <c r="AR248" s="40"/>
      <c r="AS248" s="40"/>
      <c r="AT248" s="40"/>
      <c r="AU248" s="40"/>
    </row>
    <row r="249" spans="1:47" ht="15.75" customHeight="1" x14ac:dyDescent="0.25">
      <c r="A249" s="34"/>
      <c r="B249" s="35"/>
      <c r="C249" s="36"/>
      <c r="D249" s="37"/>
      <c r="E249" s="38"/>
      <c r="F249" s="39"/>
      <c r="G249" s="17"/>
      <c r="H249" s="39"/>
      <c r="I249" s="34"/>
      <c r="J249" s="40"/>
      <c r="K249" s="34"/>
      <c r="L249" s="34"/>
      <c r="M249" s="40"/>
      <c r="N249" s="34"/>
      <c r="O249" s="40"/>
      <c r="P249" s="34"/>
      <c r="Q249" s="34"/>
      <c r="R249" s="40"/>
      <c r="S249" s="40"/>
      <c r="T249" s="34"/>
      <c r="U249" s="40"/>
      <c r="V249" s="34"/>
      <c r="W249" s="40"/>
      <c r="X249" s="34"/>
      <c r="Y249" s="34"/>
      <c r="Z249" s="40"/>
      <c r="AA249" s="40"/>
      <c r="AB249" s="34"/>
      <c r="AC249" s="34"/>
      <c r="AD249" s="40"/>
      <c r="AE249" s="40"/>
      <c r="AF249" s="40"/>
      <c r="AG249" s="40"/>
      <c r="AH249" s="34"/>
      <c r="AI249" s="34"/>
      <c r="AJ249" s="34"/>
      <c r="AK249" s="40"/>
      <c r="AL249" s="34"/>
      <c r="AM249" s="40"/>
      <c r="AN249" s="40"/>
      <c r="AO249" s="40"/>
      <c r="AP249" s="40"/>
      <c r="AQ249" s="40"/>
      <c r="AR249" s="40"/>
      <c r="AS249" s="40"/>
      <c r="AT249" s="40"/>
      <c r="AU249" s="40"/>
    </row>
    <row r="250" spans="1:47" ht="15.75" customHeight="1" x14ac:dyDescent="0.25">
      <c r="A250" s="34"/>
      <c r="B250" s="35"/>
      <c r="C250" s="36"/>
      <c r="D250" s="37"/>
      <c r="E250" s="38"/>
      <c r="F250" s="39"/>
      <c r="G250" s="17"/>
      <c r="H250" s="39"/>
      <c r="I250" s="34"/>
      <c r="J250" s="40"/>
      <c r="K250" s="34"/>
      <c r="L250" s="34"/>
      <c r="M250" s="40"/>
      <c r="N250" s="34"/>
      <c r="O250" s="40"/>
      <c r="P250" s="34"/>
      <c r="Q250" s="34"/>
      <c r="R250" s="40"/>
      <c r="S250" s="40"/>
      <c r="T250" s="34"/>
      <c r="U250" s="40"/>
      <c r="V250" s="34"/>
      <c r="W250" s="40"/>
      <c r="X250" s="34"/>
      <c r="Y250" s="34"/>
      <c r="Z250" s="40"/>
      <c r="AA250" s="40"/>
      <c r="AB250" s="34"/>
      <c r="AC250" s="34"/>
      <c r="AD250" s="40"/>
      <c r="AE250" s="40"/>
      <c r="AF250" s="40"/>
      <c r="AG250" s="40"/>
      <c r="AH250" s="34"/>
      <c r="AI250" s="34"/>
      <c r="AJ250" s="34"/>
      <c r="AK250" s="40"/>
      <c r="AL250" s="34"/>
      <c r="AM250" s="40"/>
      <c r="AN250" s="40"/>
      <c r="AO250" s="40"/>
      <c r="AP250" s="40"/>
      <c r="AQ250" s="40"/>
      <c r="AR250" s="40"/>
      <c r="AS250" s="40"/>
      <c r="AT250" s="40"/>
      <c r="AU250" s="40"/>
    </row>
    <row r="251" spans="1:47" ht="15.75" customHeight="1" x14ac:dyDescent="0.25">
      <c r="A251" s="34"/>
      <c r="B251" s="35"/>
      <c r="C251" s="36"/>
      <c r="D251" s="37"/>
      <c r="E251" s="38"/>
      <c r="F251" s="39"/>
      <c r="G251" s="17"/>
      <c r="H251" s="39"/>
      <c r="I251" s="34"/>
      <c r="J251" s="40"/>
      <c r="K251" s="34"/>
      <c r="L251" s="34"/>
      <c r="M251" s="40"/>
      <c r="N251" s="34"/>
      <c r="O251" s="40"/>
      <c r="P251" s="34"/>
      <c r="Q251" s="34"/>
      <c r="R251" s="40"/>
      <c r="S251" s="40"/>
      <c r="T251" s="34"/>
      <c r="U251" s="40"/>
      <c r="V251" s="34"/>
      <c r="W251" s="40"/>
      <c r="X251" s="34"/>
      <c r="Y251" s="34"/>
      <c r="Z251" s="40"/>
      <c r="AA251" s="40"/>
      <c r="AB251" s="34"/>
      <c r="AC251" s="34"/>
      <c r="AD251" s="40"/>
      <c r="AE251" s="40"/>
      <c r="AF251" s="40"/>
      <c r="AG251" s="40"/>
      <c r="AH251" s="34"/>
      <c r="AI251" s="34"/>
      <c r="AJ251" s="34"/>
      <c r="AK251" s="40"/>
      <c r="AL251" s="34"/>
      <c r="AM251" s="40"/>
      <c r="AN251" s="40"/>
      <c r="AO251" s="40"/>
      <c r="AP251" s="40"/>
      <c r="AQ251" s="40"/>
      <c r="AR251" s="40"/>
      <c r="AS251" s="40"/>
      <c r="AT251" s="40"/>
      <c r="AU251" s="40"/>
    </row>
    <row r="252" spans="1:47" ht="15.75" customHeight="1" x14ac:dyDescent="0.25">
      <c r="A252" s="34"/>
      <c r="B252" s="35"/>
      <c r="C252" s="36"/>
      <c r="D252" s="37"/>
      <c r="E252" s="38"/>
      <c r="F252" s="39"/>
      <c r="G252" s="17"/>
      <c r="H252" s="39"/>
      <c r="I252" s="34"/>
      <c r="J252" s="40"/>
      <c r="K252" s="34"/>
      <c r="L252" s="34"/>
      <c r="M252" s="40"/>
      <c r="N252" s="34"/>
      <c r="O252" s="40"/>
      <c r="P252" s="34"/>
      <c r="Q252" s="34"/>
      <c r="R252" s="40"/>
      <c r="S252" s="40"/>
      <c r="T252" s="34"/>
      <c r="U252" s="40"/>
      <c r="V252" s="34"/>
      <c r="W252" s="40"/>
      <c r="X252" s="34"/>
      <c r="Y252" s="34"/>
      <c r="Z252" s="40"/>
      <c r="AA252" s="40"/>
      <c r="AB252" s="34"/>
      <c r="AC252" s="34"/>
      <c r="AD252" s="40"/>
      <c r="AE252" s="40"/>
      <c r="AF252" s="40"/>
      <c r="AG252" s="40"/>
      <c r="AH252" s="34"/>
      <c r="AI252" s="34"/>
      <c r="AJ252" s="34"/>
      <c r="AK252" s="40"/>
      <c r="AL252" s="34"/>
      <c r="AM252" s="40"/>
      <c r="AN252" s="40"/>
      <c r="AO252" s="40"/>
      <c r="AP252" s="40"/>
      <c r="AQ252" s="40"/>
      <c r="AR252" s="40"/>
      <c r="AS252" s="40"/>
      <c r="AT252" s="40"/>
      <c r="AU252" s="40"/>
    </row>
    <row r="253" spans="1:47" ht="15.75" customHeight="1" x14ac:dyDescent="0.25">
      <c r="A253" s="34"/>
      <c r="B253" s="35"/>
      <c r="C253" s="36"/>
      <c r="D253" s="37"/>
      <c r="E253" s="38"/>
      <c r="F253" s="39"/>
      <c r="G253" s="17"/>
      <c r="H253" s="39"/>
      <c r="I253" s="34"/>
      <c r="J253" s="40"/>
      <c r="K253" s="34"/>
      <c r="L253" s="34"/>
      <c r="M253" s="40"/>
      <c r="N253" s="34"/>
      <c r="O253" s="40"/>
      <c r="P253" s="34"/>
      <c r="Q253" s="34"/>
      <c r="R253" s="40"/>
      <c r="S253" s="40"/>
      <c r="T253" s="34"/>
      <c r="U253" s="40"/>
      <c r="V253" s="34"/>
      <c r="W253" s="40"/>
      <c r="X253" s="34"/>
      <c r="Y253" s="34"/>
      <c r="Z253" s="40"/>
      <c r="AA253" s="40"/>
      <c r="AB253" s="34"/>
      <c r="AC253" s="34"/>
      <c r="AD253" s="40"/>
      <c r="AE253" s="40"/>
      <c r="AF253" s="40"/>
      <c r="AG253" s="40"/>
      <c r="AH253" s="34"/>
      <c r="AI253" s="34"/>
      <c r="AJ253" s="34"/>
      <c r="AK253" s="40"/>
      <c r="AL253" s="34"/>
      <c r="AM253" s="40"/>
      <c r="AN253" s="40"/>
      <c r="AO253" s="40"/>
      <c r="AP253" s="40"/>
      <c r="AQ253" s="40"/>
      <c r="AR253" s="40"/>
      <c r="AS253" s="40"/>
      <c r="AT253" s="40"/>
      <c r="AU253" s="40"/>
    </row>
    <row r="254" spans="1:47" ht="15.75" customHeight="1" x14ac:dyDescent="0.25">
      <c r="A254" s="34"/>
      <c r="B254" s="35"/>
      <c r="C254" s="36"/>
      <c r="D254" s="37"/>
      <c r="E254" s="38"/>
      <c r="F254" s="39"/>
      <c r="G254" s="17"/>
      <c r="H254" s="39"/>
      <c r="I254" s="34"/>
      <c r="J254" s="40"/>
      <c r="K254" s="34"/>
      <c r="L254" s="34"/>
      <c r="M254" s="40"/>
      <c r="N254" s="34"/>
      <c r="O254" s="40"/>
      <c r="P254" s="34"/>
      <c r="Q254" s="34"/>
      <c r="R254" s="40"/>
      <c r="S254" s="40"/>
      <c r="T254" s="34"/>
      <c r="U254" s="40"/>
      <c r="V254" s="34"/>
      <c r="W254" s="40"/>
      <c r="X254" s="34"/>
      <c r="Y254" s="34"/>
      <c r="Z254" s="40"/>
      <c r="AA254" s="40"/>
      <c r="AB254" s="34"/>
      <c r="AC254" s="34"/>
      <c r="AD254" s="40"/>
      <c r="AE254" s="40"/>
      <c r="AF254" s="40"/>
      <c r="AG254" s="40"/>
      <c r="AH254" s="34"/>
      <c r="AI254" s="34"/>
      <c r="AJ254" s="34"/>
      <c r="AK254" s="40"/>
      <c r="AL254" s="34"/>
      <c r="AM254" s="40"/>
      <c r="AN254" s="40"/>
      <c r="AO254" s="40"/>
      <c r="AP254" s="40"/>
      <c r="AQ254" s="40"/>
      <c r="AR254" s="40"/>
      <c r="AS254" s="40"/>
      <c r="AT254" s="40"/>
      <c r="AU254" s="40"/>
    </row>
    <row r="255" spans="1:47" ht="15.75" customHeight="1" x14ac:dyDescent="0.25">
      <c r="A255" s="34"/>
      <c r="B255" s="35"/>
      <c r="C255" s="36"/>
      <c r="D255" s="37"/>
      <c r="E255" s="38"/>
      <c r="F255" s="39"/>
      <c r="G255" s="17"/>
      <c r="H255" s="39"/>
      <c r="I255" s="34"/>
      <c r="J255" s="40"/>
      <c r="K255" s="34"/>
      <c r="L255" s="34"/>
      <c r="M255" s="40"/>
      <c r="N255" s="34"/>
      <c r="O255" s="40"/>
      <c r="P255" s="34"/>
      <c r="Q255" s="34"/>
      <c r="R255" s="40"/>
      <c r="S255" s="40"/>
      <c r="T255" s="34"/>
      <c r="U255" s="40"/>
      <c r="V255" s="34"/>
      <c r="W255" s="40"/>
      <c r="X255" s="34"/>
      <c r="Y255" s="34"/>
      <c r="Z255" s="40"/>
      <c r="AA255" s="40"/>
      <c r="AB255" s="34"/>
      <c r="AC255" s="34"/>
      <c r="AD255" s="40"/>
      <c r="AE255" s="40"/>
      <c r="AF255" s="40"/>
      <c r="AG255" s="40"/>
      <c r="AH255" s="34"/>
      <c r="AI255" s="34"/>
      <c r="AJ255" s="34"/>
      <c r="AK255" s="40"/>
      <c r="AL255" s="34"/>
      <c r="AM255" s="40"/>
      <c r="AN255" s="40"/>
      <c r="AO255" s="40"/>
      <c r="AP255" s="40"/>
      <c r="AQ255" s="40"/>
      <c r="AR255" s="40"/>
      <c r="AS255" s="40"/>
      <c r="AT255" s="40"/>
      <c r="AU255" s="40"/>
    </row>
    <row r="256" spans="1:47" ht="15.75" customHeight="1" x14ac:dyDescent="0.25">
      <c r="A256" s="34"/>
      <c r="B256" s="35"/>
      <c r="C256" s="36"/>
      <c r="D256" s="37"/>
      <c r="E256" s="38"/>
      <c r="F256" s="39"/>
      <c r="G256" s="17"/>
      <c r="H256" s="39"/>
      <c r="I256" s="34"/>
      <c r="J256" s="40"/>
      <c r="K256" s="34"/>
      <c r="L256" s="34"/>
      <c r="M256" s="40"/>
      <c r="N256" s="34"/>
      <c r="O256" s="40"/>
      <c r="P256" s="34"/>
      <c r="Q256" s="34"/>
      <c r="R256" s="40"/>
      <c r="S256" s="40"/>
      <c r="T256" s="34"/>
      <c r="U256" s="40"/>
      <c r="V256" s="34"/>
      <c r="W256" s="40"/>
      <c r="X256" s="34"/>
      <c r="Y256" s="34"/>
      <c r="Z256" s="40"/>
      <c r="AA256" s="40"/>
      <c r="AB256" s="34"/>
      <c r="AC256" s="34"/>
      <c r="AD256" s="40"/>
      <c r="AE256" s="40"/>
      <c r="AF256" s="40"/>
      <c r="AG256" s="40"/>
      <c r="AH256" s="34"/>
      <c r="AI256" s="34"/>
      <c r="AJ256" s="34"/>
      <c r="AK256" s="40"/>
      <c r="AL256" s="34"/>
      <c r="AM256" s="40"/>
      <c r="AN256" s="40"/>
      <c r="AO256" s="40"/>
      <c r="AP256" s="40"/>
      <c r="AQ256" s="40"/>
      <c r="AR256" s="40"/>
      <c r="AS256" s="40"/>
      <c r="AT256" s="40"/>
      <c r="AU256" s="40"/>
    </row>
    <row r="257" spans="1:47" ht="15.75" customHeight="1" x14ac:dyDescent="0.25">
      <c r="A257" s="34"/>
      <c r="B257" s="35"/>
      <c r="C257" s="36"/>
      <c r="D257" s="37"/>
      <c r="E257" s="38"/>
      <c r="F257" s="39"/>
      <c r="G257" s="17"/>
      <c r="H257" s="39"/>
      <c r="I257" s="34"/>
      <c r="J257" s="40"/>
      <c r="K257" s="34"/>
      <c r="L257" s="34"/>
      <c r="M257" s="40"/>
      <c r="N257" s="34"/>
      <c r="O257" s="40"/>
      <c r="P257" s="34"/>
      <c r="Q257" s="34"/>
      <c r="R257" s="40"/>
      <c r="S257" s="40"/>
      <c r="T257" s="34"/>
      <c r="U257" s="40"/>
      <c r="V257" s="34"/>
      <c r="W257" s="40"/>
      <c r="X257" s="34"/>
      <c r="Y257" s="34"/>
      <c r="Z257" s="40"/>
      <c r="AA257" s="40"/>
      <c r="AB257" s="34"/>
      <c r="AC257" s="34"/>
      <c r="AD257" s="40"/>
      <c r="AE257" s="40"/>
      <c r="AF257" s="40"/>
      <c r="AG257" s="40"/>
      <c r="AH257" s="34"/>
      <c r="AI257" s="34"/>
      <c r="AJ257" s="34"/>
      <c r="AK257" s="40"/>
      <c r="AL257" s="34"/>
      <c r="AM257" s="40"/>
      <c r="AN257" s="40"/>
      <c r="AO257" s="40"/>
      <c r="AP257" s="40"/>
      <c r="AQ257" s="40"/>
      <c r="AR257" s="40"/>
      <c r="AS257" s="40"/>
      <c r="AT257" s="40"/>
      <c r="AU257" s="40"/>
    </row>
    <row r="258" spans="1:47" ht="15.75" customHeight="1" x14ac:dyDescent="0.25">
      <c r="A258" s="34"/>
      <c r="B258" s="35"/>
      <c r="C258" s="36"/>
      <c r="D258" s="37"/>
      <c r="E258" s="38"/>
      <c r="F258" s="39"/>
      <c r="G258" s="17"/>
      <c r="H258" s="39"/>
      <c r="I258" s="34"/>
      <c r="J258" s="40"/>
      <c r="K258" s="34"/>
      <c r="L258" s="34"/>
      <c r="M258" s="40"/>
      <c r="N258" s="34"/>
      <c r="O258" s="40"/>
      <c r="P258" s="34"/>
      <c r="Q258" s="34"/>
      <c r="R258" s="40"/>
      <c r="S258" s="40"/>
      <c r="T258" s="34"/>
      <c r="U258" s="40"/>
      <c r="V258" s="34"/>
      <c r="W258" s="40"/>
      <c r="X258" s="34"/>
      <c r="Y258" s="34"/>
      <c r="Z258" s="40"/>
      <c r="AA258" s="40"/>
      <c r="AB258" s="34"/>
      <c r="AC258" s="34"/>
      <c r="AD258" s="40"/>
      <c r="AE258" s="40"/>
      <c r="AF258" s="40"/>
      <c r="AG258" s="40"/>
      <c r="AH258" s="34"/>
      <c r="AI258" s="34"/>
      <c r="AJ258" s="34"/>
      <c r="AK258" s="40"/>
      <c r="AL258" s="34"/>
      <c r="AM258" s="40"/>
      <c r="AN258" s="40"/>
      <c r="AO258" s="40"/>
      <c r="AP258" s="40"/>
      <c r="AQ258" s="40"/>
      <c r="AR258" s="40"/>
      <c r="AS258" s="40"/>
      <c r="AT258" s="40"/>
      <c r="AU258" s="40"/>
    </row>
    <row r="259" spans="1:47" ht="15.75" customHeight="1" x14ac:dyDescent="0.25">
      <c r="A259" s="34"/>
      <c r="B259" s="35"/>
      <c r="C259" s="36"/>
      <c r="D259" s="37"/>
      <c r="E259" s="38"/>
      <c r="F259" s="39"/>
      <c r="G259" s="17"/>
      <c r="H259" s="39"/>
      <c r="I259" s="34"/>
      <c r="J259" s="40"/>
      <c r="K259" s="34"/>
      <c r="L259" s="34"/>
      <c r="M259" s="40"/>
      <c r="N259" s="34"/>
      <c r="O259" s="40"/>
      <c r="P259" s="34"/>
      <c r="Q259" s="34"/>
      <c r="R259" s="40"/>
      <c r="S259" s="40"/>
      <c r="T259" s="34"/>
      <c r="U259" s="40"/>
      <c r="V259" s="34"/>
      <c r="W259" s="40"/>
      <c r="X259" s="34"/>
      <c r="Y259" s="34"/>
      <c r="Z259" s="40"/>
      <c r="AA259" s="40"/>
      <c r="AB259" s="34"/>
      <c r="AC259" s="34"/>
      <c r="AD259" s="40"/>
      <c r="AE259" s="40"/>
      <c r="AF259" s="40"/>
      <c r="AG259" s="40"/>
      <c r="AH259" s="34"/>
      <c r="AI259" s="34"/>
      <c r="AJ259" s="34"/>
      <c r="AK259" s="40"/>
      <c r="AL259" s="34"/>
      <c r="AM259" s="40"/>
      <c r="AN259" s="40"/>
      <c r="AO259" s="40"/>
      <c r="AP259" s="40"/>
      <c r="AQ259" s="40"/>
      <c r="AR259" s="40"/>
      <c r="AS259" s="40"/>
      <c r="AT259" s="40"/>
      <c r="AU259" s="40"/>
    </row>
    <row r="260" spans="1:47" ht="15.75" customHeight="1" x14ac:dyDescent="0.25">
      <c r="A260" s="34"/>
      <c r="B260" s="35"/>
      <c r="C260" s="36"/>
      <c r="D260" s="37"/>
      <c r="E260" s="38"/>
      <c r="F260" s="39"/>
      <c r="G260" s="17"/>
      <c r="H260" s="39"/>
      <c r="I260" s="34"/>
      <c r="J260" s="40"/>
      <c r="K260" s="34"/>
      <c r="L260" s="34"/>
      <c r="M260" s="40"/>
      <c r="N260" s="34"/>
      <c r="O260" s="40"/>
      <c r="P260" s="34"/>
      <c r="Q260" s="34"/>
      <c r="R260" s="40"/>
      <c r="S260" s="40"/>
      <c r="T260" s="34"/>
      <c r="U260" s="40"/>
      <c r="V260" s="34"/>
      <c r="W260" s="40"/>
      <c r="X260" s="34"/>
      <c r="Y260" s="34"/>
      <c r="Z260" s="40"/>
      <c r="AA260" s="40"/>
      <c r="AB260" s="34"/>
      <c r="AC260" s="34"/>
      <c r="AD260" s="40"/>
      <c r="AE260" s="40"/>
      <c r="AF260" s="40"/>
      <c r="AG260" s="40"/>
      <c r="AH260" s="34"/>
      <c r="AI260" s="34"/>
      <c r="AJ260" s="34"/>
      <c r="AK260" s="40"/>
      <c r="AL260" s="34"/>
      <c r="AM260" s="40"/>
      <c r="AN260" s="40"/>
      <c r="AO260" s="40"/>
      <c r="AP260" s="40"/>
      <c r="AQ260" s="40"/>
      <c r="AR260" s="40"/>
      <c r="AS260" s="40"/>
      <c r="AT260" s="40"/>
      <c r="AU260" s="40"/>
    </row>
    <row r="261" spans="1:47" ht="15.75" customHeight="1" x14ac:dyDescent="0.25">
      <c r="A261" s="34"/>
      <c r="B261" s="35"/>
      <c r="C261" s="36"/>
      <c r="D261" s="37"/>
      <c r="E261" s="38"/>
      <c r="F261" s="39"/>
      <c r="G261" s="17"/>
      <c r="H261" s="39"/>
      <c r="I261" s="34"/>
      <c r="J261" s="40"/>
      <c r="K261" s="34"/>
      <c r="L261" s="34"/>
      <c r="M261" s="40"/>
      <c r="N261" s="34"/>
      <c r="O261" s="40"/>
      <c r="P261" s="34"/>
      <c r="Q261" s="34"/>
      <c r="R261" s="40"/>
      <c r="S261" s="40"/>
      <c r="T261" s="34"/>
      <c r="U261" s="40"/>
      <c r="V261" s="34"/>
      <c r="W261" s="40"/>
      <c r="X261" s="34"/>
      <c r="Y261" s="34"/>
      <c r="Z261" s="40"/>
      <c r="AA261" s="40"/>
      <c r="AB261" s="34"/>
      <c r="AC261" s="34"/>
      <c r="AD261" s="40"/>
      <c r="AE261" s="40"/>
      <c r="AF261" s="40"/>
      <c r="AG261" s="40"/>
      <c r="AH261" s="34"/>
      <c r="AI261" s="34"/>
      <c r="AJ261" s="34"/>
      <c r="AK261" s="40"/>
      <c r="AL261" s="34"/>
      <c r="AM261" s="40"/>
      <c r="AN261" s="40"/>
      <c r="AO261" s="40"/>
      <c r="AP261" s="40"/>
      <c r="AQ261" s="40"/>
      <c r="AR261" s="40"/>
      <c r="AS261" s="40"/>
      <c r="AT261" s="40"/>
      <c r="AU261" s="40"/>
    </row>
    <row r="262" spans="1:47" ht="15.75" customHeight="1" x14ac:dyDescent="0.25">
      <c r="A262" s="34"/>
      <c r="B262" s="35"/>
      <c r="C262" s="36"/>
      <c r="D262" s="37"/>
      <c r="E262" s="38"/>
      <c r="F262" s="39"/>
      <c r="G262" s="17"/>
      <c r="H262" s="39"/>
      <c r="I262" s="34"/>
      <c r="J262" s="40"/>
      <c r="K262" s="34"/>
      <c r="L262" s="34"/>
      <c r="M262" s="40"/>
      <c r="N262" s="34"/>
      <c r="O262" s="40"/>
      <c r="P262" s="34"/>
      <c r="Q262" s="34"/>
      <c r="R262" s="40"/>
      <c r="S262" s="40"/>
      <c r="T262" s="34"/>
      <c r="U262" s="40"/>
      <c r="V262" s="34"/>
      <c r="W262" s="40"/>
      <c r="X262" s="34"/>
      <c r="Y262" s="34"/>
      <c r="Z262" s="40"/>
      <c r="AA262" s="40"/>
      <c r="AB262" s="34"/>
      <c r="AC262" s="34"/>
      <c r="AD262" s="40"/>
      <c r="AE262" s="40"/>
      <c r="AF262" s="40"/>
      <c r="AG262" s="40"/>
      <c r="AH262" s="34"/>
      <c r="AI262" s="34"/>
      <c r="AJ262" s="34"/>
      <c r="AK262" s="40"/>
      <c r="AL262" s="34"/>
      <c r="AM262" s="40"/>
      <c r="AN262" s="40"/>
      <c r="AO262" s="40"/>
      <c r="AP262" s="40"/>
      <c r="AQ262" s="40"/>
      <c r="AR262" s="40"/>
      <c r="AS262" s="40"/>
      <c r="AT262" s="40"/>
      <c r="AU262" s="40"/>
    </row>
    <row r="263" spans="1:47" ht="15.75" customHeight="1" x14ac:dyDescent="0.25">
      <c r="A263" s="34"/>
      <c r="B263" s="35"/>
      <c r="C263" s="36"/>
      <c r="D263" s="37"/>
      <c r="E263" s="38"/>
      <c r="F263" s="39"/>
      <c r="G263" s="17"/>
      <c r="H263" s="39"/>
      <c r="I263" s="34"/>
      <c r="J263" s="40"/>
      <c r="K263" s="34"/>
      <c r="L263" s="34"/>
      <c r="M263" s="40"/>
      <c r="N263" s="34"/>
      <c r="O263" s="40"/>
      <c r="P263" s="34"/>
      <c r="Q263" s="34"/>
      <c r="R263" s="40"/>
      <c r="S263" s="40"/>
      <c r="T263" s="34"/>
      <c r="U263" s="40"/>
      <c r="V263" s="34"/>
      <c r="W263" s="40"/>
      <c r="X263" s="34"/>
      <c r="Y263" s="34"/>
      <c r="Z263" s="40"/>
      <c r="AA263" s="40"/>
      <c r="AB263" s="34"/>
      <c r="AC263" s="34"/>
      <c r="AD263" s="40"/>
      <c r="AE263" s="40"/>
      <c r="AF263" s="40"/>
      <c r="AG263" s="40"/>
      <c r="AH263" s="34"/>
      <c r="AI263" s="34"/>
      <c r="AJ263" s="34"/>
      <c r="AK263" s="40"/>
      <c r="AL263" s="34"/>
      <c r="AM263" s="40"/>
      <c r="AN263" s="40"/>
      <c r="AO263" s="40"/>
      <c r="AP263" s="40"/>
      <c r="AQ263" s="40"/>
      <c r="AR263" s="40"/>
      <c r="AS263" s="40"/>
      <c r="AT263" s="40"/>
      <c r="AU263" s="40"/>
    </row>
    <row r="264" spans="1:47" ht="15.75" customHeight="1" x14ac:dyDescent="0.25">
      <c r="A264" s="34"/>
      <c r="B264" s="35"/>
      <c r="C264" s="36"/>
      <c r="D264" s="37"/>
      <c r="E264" s="38"/>
      <c r="F264" s="39"/>
      <c r="G264" s="17"/>
      <c r="H264" s="39"/>
      <c r="I264" s="34"/>
      <c r="J264" s="40"/>
      <c r="K264" s="34"/>
      <c r="L264" s="34"/>
      <c r="M264" s="40"/>
      <c r="N264" s="34"/>
      <c r="O264" s="40"/>
      <c r="P264" s="34"/>
      <c r="Q264" s="34"/>
      <c r="R264" s="40"/>
      <c r="S264" s="40"/>
      <c r="T264" s="34"/>
      <c r="U264" s="40"/>
      <c r="V264" s="34"/>
      <c r="W264" s="40"/>
      <c r="X264" s="34"/>
      <c r="Y264" s="34"/>
      <c r="Z264" s="40"/>
      <c r="AA264" s="40"/>
      <c r="AB264" s="34"/>
      <c r="AC264" s="34"/>
      <c r="AD264" s="40"/>
      <c r="AE264" s="40"/>
      <c r="AF264" s="40"/>
      <c r="AG264" s="40"/>
      <c r="AH264" s="34"/>
      <c r="AI264" s="34"/>
      <c r="AJ264" s="34"/>
      <c r="AK264" s="40"/>
      <c r="AL264" s="34"/>
      <c r="AM264" s="40"/>
      <c r="AN264" s="40"/>
      <c r="AO264" s="40"/>
      <c r="AP264" s="40"/>
      <c r="AQ264" s="40"/>
      <c r="AR264" s="40"/>
      <c r="AS264" s="40"/>
      <c r="AT264" s="40"/>
      <c r="AU264" s="40"/>
    </row>
    <row r="265" spans="1:47" ht="15.75" customHeight="1" x14ac:dyDescent="0.25">
      <c r="A265" s="34"/>
      <c r="B265" s="35"/>
      <c r="C265" s="36"/>
      <c r="D265" s="37"/>
      <c r="E265" s="38"/>
      <c r="F265" s="39"/>
      <c r="G265" s="17"/>
      <c r="H265" s="39"/>
      <c r="I265" s="34"/>
      <c r="J265" s="40"/>
      <c r="K265" s="34"/>
      <c r="L265" s="34"/>
      <c r="M265" s="40"/>
      <c r="N265" s="34"/>
      <c r="O265" s="40"/>
      <c r="P265" s="34"/>
      <c r="Q265" s="34"/>
      <c r="R265" s="40"/>
      <c r="S265" s="40"/>
      <c r="T265" s="34"/>
      <c r="U265" s="40"/>
      <c r="V265" s="34"/>
      <c r="W265" s="40"/>
      <c r="X265" s="34"/>
      <c r="Y265" s="34"/>
      <c r="Z265" s="40"/>
      <c r="AA265" s="40"/>
      <c r="AB265" s="34"/>
      <c r="AC265" s="34"/>
      <c r="AD265" s="40"/>
      <c r="AE265" s="40"/>
      <c r="AF265" s="40"/>
      <c r="AG265" s="40"/>
      <c r="AH265" s="34"/>
      <c r="AI265" s="34"/>
      <c r="AJ265" s="34"/>
      <c r="AK265" s="40"/>
      <c r="AL265" s="34"/>
      <c r="AM265" s="40"/>
      <c r="AN265" s="40"/>
      <c r="AO265" s="40"/>
      <c r="AP265" s="40"/>
      <c r="AQ265" s="40"/>
      <c r="AR265" s="40"/>
      <c r="AS265" s="40"/>
      <c r="AT265" s="40"/>
      <c r="AU265" s="40"/>
    </row>
    <row r="266" spans="1:47" ht="15.75" customHeight="1" x14ac:dyDescent="0.25">
      <c r="A266" s="34"/>
      <c r="B266" s="35"/>
      <c r="C266" s="36"/>
      <c r="D266" s="37"/>
      <c r="E266" s="38"/>
      <c r="F266" s="39"/>
      <c r="G266" s="17"/>
      <c r="H266" s="39"/>
      <c r="I266" s="34"/>
      <c r="J266" s="40"/>
      <c r="K266" s="34"/>
      <c r="L266" s="34"/>
      <c r="M266" s="40"/>
      <c r="N266" s="34"/>
      <c r="O266" s="40"/>
      <c r="P266" s="34"/>
      <c r="Q266" s="34"/>
      <c r="R266" s="40"/>
      <c r="S266" s="40"/>
      <c r="T266" s="34"/>
      <c r="U266" s="40"/>
      <c r="V266" s="34"/>
      <c r="W266" s="40"/>
      <c r="X266" s="34"/>
      <c r="Y266" s="34"/>
      <c r="Z266" s="40"/>
      <c r="AA266" s="40"/>
      <c r="AB266" s="34"/>
      <c r="AC266" s="34"/>
      <c r="AD266" s="40"/>
      <c r="AE266" s="40"/>
      <c r="AF266" s="40"/>
      <c r="AG266" s="40"/>
      <c r="AH266" s="34"/>
      <c r="AI266" s="34"/>
      <c r="AJ266" s="34"/>
      <c r="AK266" s="40"/>
      <c r="AL266" s="34"/>
      <c r="AM266" s="40"/>
      <c r="AN266" s="40"/>
      <c r="AO266" s="40"/>
      <c r="AP266" s="40"/>
      <c r="AQ266" s="40"/>
      <c r="AR266" s="40"/>
      <c r="AS266" s="40"/>
      <c r="AT266" s="40"/>
      <c r="AU266" s="40"/>
    </row>
    <row r="267" spans="1:47" ht="15.75" customHeight="1" x14ac:dyDescent="0.25">
      <c r="A267" s="34"/>
      <c r="B267" s="35"/>
      <c r="C267" s="36"/>
      <c r="D267" s="37"/>
      <c r="E267" s="38"/>
      <c r="F267" s="39"/>
      <c r="G267" s="17"/>
      <c r="H267" s="39"/>
      <c r="I267" s="34"/>
      <c r="J267" s="40"/>
      <c r="K267" s="34"/>
      <c r="L267" s="34"/>
      <c r="M267" s="40"/>
      <c r="N267" s="34"/>
      <c r="O267" s="40"/>
      <c r="P267" s="34"/>
      <c r="Q267" s="34"/>
      <c r="R267" s="40"/>
      <c r="S267" s="40"/>
      <c r="T267" s="34"/>
      <c r="U267" s="40"/>
      <c r="V267" s="34"/>
      <c r="W267" s="40"/>
      <c r="X267" s="34"/>
      <c r="Y267" s="34"/>
      <c r="Z267" s="40"/>
      <c r="AA267" s="40"/>
      <c r="AB267" s="34"/>
      <c r="AC267" s="34"/>
      <c r="AD267" s="40"/>
      <c r="AE267" s="40"/>
      <c r="AF267" s="40"/>
      <c r="AG267" s="40"/>
      <c r="AH267" s="34"/>
      <c r="AI267" s="34"/>
      <c r="AJ267" s="34"/>
      <c r="AK267" s="40"/>
      <c r="AL267" s="34"/>
      <c r="AM267" s="40"/>
      <c r="AN267" s="40"/>
      <c r="AO267" s="40"/>
      <c r="AP267" s="40"/>
      <c r="AQ267" s="40"/>
      <c r="AR267" s="40"/>
      <c r="AS267" s="40"/>
      <c r="AT267" s="40"/>
      <c r="AU267" s="40"/>
    </row>
    <row r="268" spans="1:47" ht="15.75" customHeight="1" x14ac:dyDescent="0.25">
      <c r="A268" s="34"/>
      <c r="B268" s="35"/>
      <c r="C268" s="36"/>
      <c r="D268" s="37"/>
      <c r="E268" s="38"/>
      <c r="F268" s="39"/>
      <c r="G268" s="17"/>
      <c r="H268" s="39"/>
      <c r="I268" s="34"/>
      <c r="J268" s="40"/>
      <c r="K268" s="34"/>
      <c r="L268" s="34"/>
      <c r="M268" s="40"/>
      <c r="N268" s="34"/>
      <c r="O268" s="40"/>
      <c r="P268" s="34"/>
      <c r="Q268" s="34"/>
      <c r="R268" s="40"/>
      <c r="S268" s="40"/>
      <c r="T268" s="34"/>
      <c r="U268" s="40"/>
      <c r="V268" s="34"/>
      <c r="W268" s="40"/>
      <c r="X268" s="34"/>
      <c r="Y268" s="34"/>
      <c r="Z268" s="40"/>
      <c r="AA268" s="40"/>
      <c r="AB268" s="34"/>
      <c r="AC268" s="34"/>
      <c r="AD268" s="40"/>
      <c r="AE268" s="40"/>
      <c r="AF268" s="40"/>
      <c r="AG268" s="40"/>
      <c r="AH268" s="34"/>
      <c r="AI268" s="34"/>
      <c r="AJ268" s="34"/>
      <c r="AK268" s="40"/>
      <c r="AL268" s="34"/>
      <c r="AM268" s="40"/>
      <c r="AN268" s="40"/>
      <c r="AO268" s="40"/>
      <c r="AP268" s="40"/>
      <c r="AQ268" s="40"/>
      <c r="AR268" s="40"/>
      <c r="AS268" s="40"/>
      <c r="AT268" s="40"/>
      <c r="AU268" s="40"/>
    </row>
    <row r="269" spans="1:47" ht="15.75" customHeight="1" x14ac:dyDescent="0.25">
      <c r="A269" s="34"/>
      <c r="B269" s="35"/>
      <c r="C269" s="36"/>
      <c r="D269" s="37"/>
      <c r="E269" s="38"/>
      <c r="F269" s="39"/>
      <c r="G269" s="17"/>
      <c r="H269" s="39"/>
      <c r="I269" s="34"/>
      <c r="J269" s="40"/>
      <c r="K269" s="34"/>
      <c r="L269" s="34"/>
      <c r="M269" s="40"/>
      <c r="N269" s="34"/>
      <c r="O269" s="40"/>
      <c r="P269" s="34"/>
      <c r="Q269" s="34"/>
      <c r="R269" s="40"/>
      <c r="S269" s="40"/>
      <c r="T269" s="34"/>
      <c r="U269" s="40"/>
      <c r="V269" s="34"/>
      <c r="W269" s="40"/>
      <c r="X269" s="34"/>
      <c r="Y269" s="34"/>
      <c r="Z269" s="40"/>
      <c r="AA269" s="40"/>
      <c r="AB269" s="34"/>
      <c r="AC269" s="34"/>
      <c r="AD269" s="40"/>
      <c r="AE269" s="40"/>
      <c r="AF269" s="40"/>
      <c r="AG269" s="40"/>
      <c r="AH269" s="34"/>
      <c r="AI269" s="34"/>
      <c r="AJ269" s="34"/>
      <c r="AK269" s="40"/>
      <c r="AL269" s="34"/>
      <c r="AM269" s="40"/>
      <c r="AN269" s="40"/>
      <c r="AO269" s="40"/>
      <c r="AP269" s="40"/>
      <c r="AQ269" s="40"/>
      <c r="AR269" s="40"/>
      <c r="AS269" s="40"/>
      <c r="AT269" s="40"/>
      <c r="AU269" s="40"/>
    </row>
    <row r="270" spans="1:47" ht="15.75" customHeight="1" x14ac:dyDescent="0.25">
      <c r="A270" s="34"/>
      <c r="B270" s="35"/>
      <c r="C270" s="36"/>
      <c r="D270" s="37"/>
      <c r="E270" s="38"/>
      <c r="F270" s="39"/>
      <c r="G270" s="17"/>
      <c r="H270" s="39"/>
      <c r="I270" s="34"/>
      <c r="J270" s="40"/>
      <c r="K270" s="34"/>
      <c r="L270" s="34"/>
      <c r="M270" s="40"/>
      <c r="N270" s="34"/>
      <c r="O270" s="40"/>
      <c r="P270" s="34"/>
      <c r="Q270" s="34"/>
      <c r="R270" s="40"/>
      <c r="S270" s="40"/>
      <c r="T270" s="34"/>
      <c r="U270" s="40"/>
      <c r="V270" s="34"/>
      <c r="W270" s="40"/>
      <c r="X270" s="34"/>
      <c r="Y270" s="34"/>
      <c r="Z270" s="40"/>
      <c r="AA270" s="40"/>
      <c r="AB270" s="34"/>
      <c r="AC270" s="34"/>
      <c r="AD270" s="40"/>
      <c r="AE270" s="40"/>
      <c r="AF270" s="40"/>
      <c r="AG270" s="40"/>
      <c r="AH270" s="34"/>
      <c r="AI270" s="34"/>
      <c r="AJ270" s="34"/>
      <c r="AK270" s="40"/>
      <c r="AL270" s="34"/>
      <c r="AM270" s="40"/>
      <c r="AN270" s="40"/>
      <c r="AO270" s="40"/>
      <c r="AP270" s="40"/>
      <c r="AQ270" s="40"/>
      <c r="AR270" s="40"/>
      <c r="AS270" s="40"/>
      <c r="AT270" s="40"/>
      <c r="AU270" s="40"/>
    </row>
    <row r="271" spans="1:47" ht="15.75" customHeight="1" x14ac:dyDescent="0.25">
      <c r="A271" s="34"/>
      <c r="B271" s="35"/>
      <c r="C271" s="36"/>
      <c r="D271" s="37"/>
      <c r="E271" s="38"/>
      <c r="F271" s="39"/>
      <c r="G271" s="17"/>
      <c r="H271" s="39"/>
      <c r="I271" s="34"/>
      <c r="J271" s="40"/>
      <c r="K271" s="34"/>
      <c r="L271" s="34"/>
      <c r="M271" s="40"/>
      <c r="N271" s="34"/>
      <c r="O271" s="40"/>
      <c r="P271" s="34"/>
      <c r="Q271" s="34"/>
      <c r="R271" s="40"/>
      <c r="S271" s="40"/>
      <c r="T271" s="34"/>
      <c r="U271" s="40"/>
      <c r="V271" s="34"/>
      <c r="W271" s="40"/>
      <c r="X271" s="34"/>
      <c r="Y271" s="34"/>
      <c r="Z271" s="40"/>
      <c r="AA271" s="40"/>
      <c r="AB271" s="34"/>
      <c r="AC271" s="34"/>
      <c r="AD271" s="40"/>
      <c r="AE271" s="40"/>
      <c r="AF271" s="40"/>
      <c r="AG271" s="40"/>
      <c r="AH271" s="34"/>
      <c r="AI271" s="34"/>
      <c r="AJ271" s="34"/>
      <c r="AK271" s="40"/>
      <c r="AL271" s="34"/>
      <c r="AM271" s="40"/>
      <c r="AN271" s="40"/>
      <c r="AO271" s="40"/>
      <c r="AP271" s="40"/>
      <c r="AQ271" s="40"/>
      <c r="AR271" s="40"/>
      <c r="AS271" s="40"/>
      <c r="AT271" s="40"/>
      <c r="AU271" s="40"/>
    </row>
    <row r="272" spans="1:47" ht="15.75" customHeight="1" x14ac:dyDescent="0.25">
      <c r="A272" s="34"/>
      <c r="B272" s="35"/>
      <c r="C272" s="36"/>
      <c r="D272" s="37"/>
      <c r="E272" s="38"/>
      <c r="F272" s="39"/>
      <c r="G272" s="17"/>
      <c r="H272" s="39"/>
      <c r="I272" s="34"/>
      <c r="J272" s="40"/>
      <c r="K272" s="34"/>
      <c r="L272" s="34"/>
      <c r="M272" s="40"/>
      <c r="N272" s="34"/>
      <c r="O272" s="40"/>
      <c r="P272" s="34"/>
      <c r="Q272" s="34"/>
      <c r="R272" s="40"/>
      <c r="S272" s="40"/>
      <c r="T272" s="34"/>
      <c r="U272" s="40"/>
      <c r="V272" s="34"/>
      <c r="W272" s="40"/>
      <c r="X272" s="34"/>
      <c r="Y272" s="34"/>
      <c r="Z272" s="40"/>
      <c r="AA272" s="40"/>
      <c r="AB272" s="34"/>
      <c r="AC272" s="34"/>
      <c r="AD272" s="40"/>
      <c r="AE272" s="40"/>
      <c r="AF272" s="40"/>
      <c r="AG272" s="40"/>
      <c r="AH272" s="34"/>
      <c r="AI272" s="34"/>
      <c r="AJ272" s="34"/>
      <c r="AK272" s="40"/>
      <c r="AL272" s="34"/>
      <c r="AM272" s="40"/>
      <c r="AN272" s="40"/>
      <c r="AO272" s="40"/>
      <c r="AP272" s="40"/>
      <c r="AQ272" s="40"/>
      <c r="AR272" s="40"/>
      <c r="AS272" s="40"/>
      <c r="AT272" s="40"/>
      <c r="AU272" s="40"/>
    </row>
    <row r="273" spans="1:47" ht="15.75" customHeight="1" x14ac:dyDescent="0.25">
      <c r="A273" s="34"/>
      <c r="B273" s="35"/>
      <c r="C273" s="36"/>
      <c r="D273" s="37"/>
      <c r="E273" s="38"/>
      <c r="F273" s="39"/>
      <c r="G273" s="17"/>
      <c r="H273" s="39"/>
      <c r="I273" s="34"/>
      <c r="J273" s="40"/>
      <c r="K273" s="34"/>
      <c r="L273" s="34"/>
      <c r="M273" s="40"/>
      <c r="N273" s="34"/>
      <c r="O273" s="40"/>
      <c r="P273" s="34"/>
      <c r="Q273" s="34"/>
      <c r="R273" s="40"/>
      <c r="S273" s="40"/>
      <c r="T273" s="34"/>
      <c r="U273" s="40"/>
      <c r="V273" s="34"/>
      <c r="W273" s="40"/>
      <c r="X273" s="34"/>
      <c r="Y273" s="34"/>
      <c r="Z273" s="40"/>
      <c r="AA273" s="40"/>
      <c r="AB273" s="34"/>
      <c r="AC273" s="34"/>
      <c r="AD273" s="40"/>
      <c r="AE273" s="40"/>
      <c r="AF273" s="40"/>
      <c r="AG273" s="40"/>
      <c r="AH273" s="34"/>
      <c r="AI273" s="34"/>
      <c r="AJ273" s="34"/>
      <c r="AK273" s="40"/>
      <c r="AL273" s="34"/>
      <c r="AM273" s="40"/>
      <c r="AN273" s="40"/>
      <c r="AO273" s="40"/>
      <c r="AP273" s="40"/>
      <c r="AQ273" s="40"/>
      <c r="AR273" s="40"/>
      <c r="AS273" s="40"/>
      <c r="AT273" s="40"/>
      <c r="AU273" s="40"/>
    </row>
    <row r="274" spans="1:47" ht="15.75" customHeight="1" x14ac:dyDescent="0.25">
      <c r="A274" s="34"/>
      <c r="B274" s="35"/>
      <c r="C274" s="36"/>
      <c r="D274" s="37"/>
      <c r="E274" s="38"/>
      <c r="F274" s="39"/>
      <c r="G274" s="17"/>
      <c r="H274" s="39"/>
      <c r="I274" s="34"/>
      <c r="J274" s="40"/>
      <c r="K274" s="34"/>
      <c r="L274" s="34"/>
      <c r="M274" s="40"/>
      <c r="N274" s="34"/>
      <c r="O274" s="40"/>
      <c r="P274" s="34"/>
      <c r="Q274" s="34"/>
      <c r="R274" s="40"/>
      <c r="S274" s="40"/>
      <c r="T274" s="34"/>
      <c r="U274" s="40"/>
      <c r="V274" s="34"/>
      <c r="W274" s="40"/>
      <c r="X274" s="34"/>
      <c r="Y274" s="34"/>
      <c r="Z274" s="40"/>
      <c r="AA274" s="40"/>
      <c r="AB274" s="34"/>
      <c r="AC274" s="34"/>
      <c r="AD274" s="40"/>
      <c r="AE274" s="40"/>
      <c r="AF274" s="40"/>
      <c r="AG274" s="40"/>
      <c r="AH274" s="34"/>
      <c r="AI274" s="34"/>
      <c r="AJ274" s="34"/>
      <c r="AK274" s="40"/>
      <c r="AL274" s="34"/>
      <c r="AM274" s="40"/>
      <c r="AN274" s="40"/>
      <c r="AO274" s="40"/>
      <c r="AP274" s="40"/>
      <c r="AQ274" s="40"/>
      <c r="AR274" s="40"/>
      <c r="AS274" s="40"/>
      <c r="AT274" s="40"/>
      <c r="AU274" s="40"/>
    </row>
    <row r="275" spans="1:47" ht="15.75" customHeight="1" x14ac:dyDescent="0.25">
      <c r="A275" s="34"/>
      <c r="B275" s="35"/>
      <c r="C275" s="36"/>
      <c r="D275" s="37"/>
      <c r="E275" s="38"/>
      <c r="F275" s="39"/>
      <c r="G275" s="17"/>
      <c r="H275" s="39"/>
      <c r="I275" s="34"/>
      <c r="J275" s="40"/>
      <c r="K275" s="34"/>
      <c r="L275" s="34"/>
      <c r="M275" s="40"/>
      <c r="N275" s="34"/>
      <c r="O275" s="40"/>
      <c r="P275" s="34"/>
      <c r="Q275" s="34"/>
      <c r="R275" s="40"/>
      <c r="S275" s="40"/>
      <c r="T275" s="34"/>
      <c r="U275" s="40"/>
      <c r="V275" s="34"/>
      <c r="W275" s="40"/>
      <c r="X275" s="34"/>
      <c r="Y275" s="34"/>
      <c r="Z275" s="40"/>
      <c r="AA275" s="40"/>
      <c r="AB275" s="34"/>
      <c r="AC275" s="34"/>
      <c r="AD275" s="40"/>
      <c r="AE275" s="40"/>
      <c r="AF275" s="40"/>
      <c r="AG275" s="40"/>
      <c r="AH275" s="34"/>
      <c r="AI275" s="34"/>
      <c r="AJ275" s="34"/>
      <c r="AK275" s="40"/>
      <c r="AL275" s="34"/>
      <c r="AM275" s="40"/>
      <c r="AN275" s="40"/>
      <c r="AO275" s="40"/>
      <c r="AP275" s="40"/>
      <c r="AQ275" s="40"/>
      <c r="AR275" s="40"/>
      <c r="AS275" s="40"/>
      <c r="AT275" s="40"/>
      <c r="AU275" s="40"/>
    </row>
    <row r="276" spans="1:47" ht="15.75" customHeight="1" x14ac:dyDescent="0.25">
      <c r="A276" s="34"/>
      <c r="B276" s="35"/>
      <c r="C276" s="36"/>
      <c r="D276" s="37"/>
      <c r="E276" s="38"/>
      <c r="F276" s="39"/>
      <c r="G276" s="17"/>
      <c r="H276" s="39"/>
      <c r="I276" s="34"/>
      <c r="J276" s="40"/>
      <c r="K276" s="34"/>
      <c r="L276" s="34"/>
      <c r="M276" s="40"/>
      <c r="N276" s="34"/>
      <c r="O276" s="40"/>
      <c r="P276" s="34"/>
      <c r="Q276" s="34"/>
      <c r="R276" s="40"/>
      <c r="S276" s="40"/>
      <c r="T276" s="34"/>
      <c r="U276" s="40"/>
      <c r="V276" s="34"/>
      <c r="W276" s="40"/>
      <c r="X276" s="34"/>
      <c r="Y276" s="34"/>
      <c r="Z276" s="40"/>
      <c r="AA276" s="40"/>
      <c r="AB276" s="34"/>
      <c r="AC276" s="34"/>
      <c r="AD276" s="40"/>
      <c r="AE276" s="40"/>
      <c r="AF276" s="40"/>
      <c r="AG276" s="40"/>
      <c r="AH276" s="34"/>
      <c r="AI276" s="34"/>
      <c r="AJ276" s="34"/>
      <c r="AK276" s="40"/>
      <c r="AL276" s="34"/>
      <c r="AM276" s="40"/>
      <c r="AN276" s="40"/>
      <c r="AO276" s="40"/>
      <c r="AP276" s="40"/>
      <c r="AQ276" s="40"/>
      <c r="AR276" s="40"/>
      <c r="AS276" s="40"/>
      <c r="AT276" s="40"/>
      <c r="AU276" s="40"/>
    </row>
    <row r="277" spans="1:47" ht="15.75" customHeight="1" x14ac:dyDescent="0.25">
      <c r="A277" s="34"/>
      <c r="B277" s="35"/>
      <c r="C277" s="36"/>
      <c r="D277" s="37"/>
      <c r="E277" s="38"/>
      <c r="F277" s="39"/>
      <c r="G277" s="17"/>
      <c r="H277" s="39"/>
      <c r="I277" s="34"/>
      <c r="J277" s="40"/>
      <c r="K277" s="34"/>
      <c r="L277" s="34"/>
      <c r="M277" s="40"/>
      <c r="N277" s="34"/>
      <c r="O277" s="40"/>
      <c r="P277" s="34"/>
      <c r="Q277" s="34"/>
      <c r="R277" s="40"/>
      <c r="S277" s="40"/>
      <c r="T277" s="34"/>
      <c r="U277" s="40"/>
      <c r="V277" s="34"/>
      <c r="W277" s="40"/>
      <c r="X277" s="34"/>
      <c r="Y277" s="34"/>
      <c r="Z277" s="40"/>
      <c r="AA277" s="40"/>
      <c r="AB277" s="34"/>
      <c r="AC277" s="34"/>
      <c r="AD277" s="40"/>
      <c r="AE277" s="40"/>
      <c r="AF277" s="40"/>
      <c r="AG277" s="40"/>
      <c r="AH277" s="34"/>
      <c r="AI277" s="34"/>
      <c r="AJ277" s="34"/>
      <c r="AK277" s="40"/>
      <c r="AL277" s="34"/>
      <c r="AM277" s="40"/>
      <c r="AN277" s="40"/>
      <c r="AO277" s="40"/>
      <c r="AP277" s="40"/>
      <c r="AQ277" s="40"/>
      <c r="AR277" s="40"/>
      <c r="AS277" s="40"/>
      <c r="AT277" s="40"/>
      <c r="AU277" s="40"/>
    </row>
    <row r="278" spans="1:47" ht="15.75" customHeight="1" x14ac:dyDescent="0.25">
      <c r="A278" s="34"/>
      <c r="B278" s="35"/>
      <c r="C278" s="36"/>
      <c r="D278" s="37"/>
      <c r="E278" s="38"/>
      <c r="F278" s="39"/>
      <c r="G278" s="17"/>
      <c r="H278" s="39"/>
      <c r="I278" s="34"/>
      <c r="J278" s="40"/>
      <c r="K278" s="34"/>
      <c r="L278" s="34"/>
      <c r="M278" s="40"/>
      <c r="N278" s="34"/>
      <c r="O278" s="40"/>
      <c r="P278" s="34"/>
      <c r="Q278" s="34"/>
      <c r="R278" s="40"/>
      <c r="S278" s="40"/>
      <c r="T278" s="34"/>
      <c r="U278" s="40"/>
      <c r="V278" s="34"/>
      <c r="W278" s="40"/>
      <c r="X278" s="34"/>
      <c r="Y278" s="34"/>
      <c r="Z278" s="40"/>
      <c r="AA278" s="40"/>
      <c r="AB278" s="34"/>
      <c r="AC278" s="34"/>
      <c r="AD278" s="40"/>
      <c r="AE278" s="40"/>
      <c r="AF278" s="40"/>
      <c r="AG278" s="40"/>
      <c r="AH278" s="34"/>
      <c r="AI278" s="34"/>
      <c r="AJ278" s="34"/>
      <c r="AK278" s="40"/>
      <c r="AL278" s="34"/>
      <c r="AM278" s="40"/>
      <c r="AN278" s="40"/>
      <c r="AO278" s="40"/>
      <c r="AP278" s="40"/>
      <c r="AQ278" s="40"/>
      <c r="AR278" s="40"/>
      <c r="AS278" s="40"/>
      <c r="AT278" s="40"/>
      <c r="AU278" s="40"/>
    </row>
    <row r="279" spans="1:47" ht="15.75" customHeight="1" x14ac:dyDescent="0.25">
      <c r="A279" s="34"/>
      <c r="B279" s="35"/>
      <c r="C279" s="36"/>
      <c r="D279" s="37"/>
      <c r="E279" s="38"/>
      <c r="F279" s="39"/>
      <c r="G279" s="17"/>
      <c r="H279" s="39"/>
      <c r="I279" s="34"/>
      <c r="J279" s="40"/>
      <c r="K279" s="34"/>
      <c r="L279" s="34"/>
      <c r="M279" s="40"/>
      <c r="N279" s="34"/>
      <c r="O279" s="40"/>
      <c r="P279" s="34"/>
      <c r="Q279" s="34"/>
      <c r="R279" s="40"/>
      <c r="S279" s="40"/>
      <c r="T279" s="34"/>
      <c r="U279" s="40"/>
      <c r="V279" s="34"/>
      <c r="W279" s="40"/>
      <c r="X279" s="34"/>
      <c r="Y279" s="34"/>
      <c r="Z279" s="40"/>
      <c r="AA279" s="40"/>
      <c r="AB279" s="34"/>
      <c r="AC279" s="34"/>
      <c r="AD279" s="40"/>
      <c r="AE279" s="40"/>
      <c r="AF279" s="40"/>
      <c r="AG279" s="40"/>
      <c r="AH279" s="34"/>
      <c r="AI279" s="34"/>
      <c r="AJ279" s="34"/>
      <c r="AK279" s="40"/>
      <c r="AL279" s="34"/>
      <c r="AM279" s="40"/>
      <c r="AN279" s="40"/>
      <c r="AO279" s="40"/>
      <c r="AP279" s="40"/>
      <c r="AQ279" s="40"/>
      <c r="AR279" s="40"/>
      <c r="AS279" s="40"/>
      <c r="AT279" s="40"/>
      <c r="AU279" s="40"/>
    </row>
    <row r="280" spans="1:47" ht="15.75" customHeight="1" x14ac:dyDescent="0.25">
      <c r="A280" s="34"/>
      <c r="B280" s="35"/>
      <c r="C280" s="36"/>
      <c r="D280" s="37"/>
      <c r="E280" s="38"/>
      <c r="F280" s="39"/>
      <c r="G280" s="17"/>
      <c r="H280" s="39"/>
      <c r="I280" s="34"/>
      <c r="J280" s="40"/>
      <c r="K280" s="34"/>
      <c r="L280" s="34"/>
      <c r="M280" s="40"/>
      <c r="N280" s="34"/>
      <c r="O280" s="40"/>
      <c r="P280" s="34"/>
      <c r="Q280" s="34"/>
      <c r="R280" s="40"/>
      <c r="S280" s="40"/>
      <c r="T280" s="34"/>
      <c r="U280" s="40"/>
      <c r="V280" s="34"/>
      <c r="W280" s="40"/>
      <c r="X280" s="34"/>
      <c r="Y280" s="34"/>
      <c r="Z280" s="40"/>
      <c r="AA280" s="40"/>
      <c r="AB280" s="34"/>
      <c r="AC280" s="34"/>
      <c r="AD280" s="40"/>
      <c r="AE280" s="40"/>
      <c r="AF280" s="40"/>
      <c r="AG280" s="40"/>
      <c r="AH280" s="34"/>
      <c r="AI280" s="34"/>
      <c r="AJ280" s="34"/>
      <c r="AK280" s="40"/>
      <c r="AL280" s="34"/>
      <c r="AM280" s="40"/>
      <c r="AN280" s="40"/>
      <c r="AO280" s="40"/>
      <c r="AP280" s="40"/>
      <c r="AQ280" s="40"/>
      <c r="AR280" s="40"/>
      <c r="AS280" s="40"/>
      <c r="AT280" s="40"/>
      <c r="AU280" s="40"/>
    </row>
    <row r="281" spans="1:47" ht="15.75" customHeight="1" x14ac:dyDescent="0.25">
      <c r="A281" s="34"/>
      <c r="B281" s="35"/>
      <c r="C281" s="36"/>
      <c r="D281" s="37"/>
      <c r="E281" s="38"/>
      <c r="F281" s="39"/>
      <c r="G281" s="17"/>
      <c r="H281" s="39"/>
      <c r="I281" s="34"/>
      <c r="J281" s="40"/>
      <c r="K281" s="34"/>
      <c r="L281" s="34"/>
      <c r="M281" s="40"/>
      <c r="N281" s="34"/>
      <c r="O281" s="40"/>
      <c r="P281" s="34"/>
      <c r="Q281" s="34"/>
      <c r="R281" s="40"/>
      <c r="S281" s="40"/>
      <c r="T281" s="34"/>
      <c r="U281" s="40"/>
      <c r="V281" s="34"/>
      <c r="W281" s="40"/>
      <c r="X281" s="34"/>
      <c r="Y281" s="34"/>
      <c r="Z281" s="40"/>
      <c r="AA281" s="40"/>
      <c r="AB281" s="34"/>
      <c r="AC281" s="34"/>
      <c r="AD281" s="40"/>
      <c r="AE281" s="40"/>
      <c r="AF281" s="40"/>
      <c r="AG281" s="40"/>
      <c r="AH281" s="34"/>
      <c r="AI281" s="34"/>
      <c r="AJ281" s="34"/>
      <c r="AK281" s="40"/>
      <c r="AL281" s="34"/>
      <c r="AM281" s="40"/>
      <c r="AN281" s="40"/>
      <c r="AO281" s="40"/>
      <c r="AP281" s="40"/>
      <c r="AQ281" s="40"/>
      <c r="AR281" s="40"/>
      <c r="AS281" s="40"/>
      <c r="AT281" s="40"/>
      <c r="AU281" s="40"/>
    </row>
    <row r="282" spans="1:47" ht="15.75" customHeight="1" x14ac:dyDescent="0.25">
      <c r="A282" s="34"/>
      <c r="B282" s="35"/>
      <c r="C282" s="36"/>
      <c r="D282" s="37"/>
      <c r="E282" s="38"/>
      <c r="F282" s="39"/>
      <c r="G282" s="17"/>
      <c r="H282" s="39"/>
      <c r="I282" s="34"/>
      <c r="J282" s="40"/>
      <c r="K282" s="34"/>
      <c r="L282" s="34"/>
      <c r="M282" s="40"/>
      <c r="N282" s="34"/>
      <c r="O282" s="40"/>
      <c r="P282" s="34"/>
      <c r="Q282" s="34"/>
      <c r="R282" s="40"/>
      <c r="S282" s="40"/>
      <c r="T282" s="34"/>
      <c r="U282" s="40"/>
      <c r="V282" s="34"/>
      <c r="W282" s="40"/>
      <c r="X282" s="34"/>
      <c r="Y282" s="34"/>
      <c r="Z282" s="40"/>
      <c r="AA282" s="40"/>
      <c r="AB282" s="34"/>
      <c r="AC282" s="34"/>
      <c r="AD282" s="40"/>
      <c r="AE282" s="40"/>
      <c r="AF282" s="40"/>
      <c r="AG282" s="40"/>
      <c r="AH282" s="34"/>
      <c r="AI282" s="34"/>
      <c r="AJ282" s="34"/>
      <c r="AK282" s="40"/>
      <c r="AL282" s="34"/>
      <c r="AM282" s="40"/>
      <c r="AN282" s="40"/>
      <c r="AO282" s="40"/>
      <c r="AP282" s="40"/>
      <c r="AQ282" s="40"/>
      <c r="AR282" s="40"/>
      <c r="AS282" s="40"/>
      <c r="AT282" s="40"/>
      <c r="AU282" s="40"/>
    </row>
    <row r="283" spans="1:47" ht="15.75" customHeight="1" x14ac:dyDescent="0.25">
      <c r="A283" s="34"/>
      <c r="B283" s="35"/>
      <c r="C283" s="36"/>
      <c r="D283" s="37"/>
      <c r="E283" s="38"/>
      <c r="F283" s="39"/>
      <c r="G283" s="17"/>
      <c r="H283" s="39"/>
      <c r="I283" s="34"/>
      <c r="J283" s="40"/>
      <c r="K283" s="34"/>
      <c r="L283" s="34"/>
      <c r="M283" s="40"/>
      <c r="N283" s="34"/>
      <c r="O283" s="40"/>
      <c r="P283" s="34"/>
      <c r="Q283" s="34"/>
      <c r="R283" s="40"/>
      <c r="S283" s="40"/>
      <c r="T283" s="34"/>
      <c r="U283" s="40"/>
      <c r="V283" s="34"/>
      <c r="W283" s="40"/>
      <c r="X283" s="34"/>
      <c r="Y283" s="34"/>
      <c r="Z283" s="40"/>
      <c r="AA283" s="40"/>
      <c r="AB283" s="34"/>
      <c r="AC283" s="34"/>
      <c r="AD283" s="40"/>
      <c r="AE283" s="40"/>
      <c r="AF283" s="40"/>
      <c r="AG283" s="40"/>
      <c r="AH283" s="34"/>
      <c r="AI283" s="34"/>
      <c r="AJ283" s="34"/>
      <c r="AK283" s="40"/>
      <c r="AL283" s="34"/>
      <c r="AM283" s="40"/>
      <c r="AN283" s="40"/>
      <c r="AO283" s="40"/>
      <c r="AP283" s="40"/>
      <c r="AQ283" s="40"/>
      <c r="AR283" s="40"/>
      <c r="AS283" s="40"/>
      <c r="AT283" s="40"/>
      <c r="AU283" s="40"/>
    </row>
    <row r="284" spans="1:47" ht="15.75" customHeight="1" x14ac:dyDescent="0.25">
      <c r="A284" s="34"/>
      <c r="B284" s="35"/>
      <c r="C284" s="36"/>
      <c r="D284" s="37"/>
      <c r="E284" s="38"/>
      <c r="F284" s="39"/>
      <c r="G284" s="17"/>
      <c r="H284" s="39"/>
      <c r="I284" s="34"/>
      <c r="J284" s="40"/>
      <c r="K284" s="34"/>
      <c r="L284" s="34"/>
      <c r="M284" s="40"/>
      <c r="N284" s="34"/>
      <c r="O284" s="40"/>
      <c r="P284" s="34"/>
      <c r="Q284" s="34"/>
      <c r="R284" s="40"/>
      <c r="S284" s="40"/>
      <c r="T284" s="34"/>
      <c r="U284" s="40"/>
      <c r="V284" s="34"/>
      <c r="W284" s="40"/>
      <c r="X284" s="34"/>
      <c r="Y284" s="34"/>
      <c r="Z284" s="40"/>
      <c r="AA284" s="40"/>
      <c r="AB284" s="34"/>
      <c r="AC284" s="34"/>
      <c r="AD284" s="40"/>
      <c r="AE284" s="40"/>
      <c r="AF284" s="40"/>
      <c r="AG284" s="40"/>
      <c r="AH284" s="34"/>
      <c r="AI284" s="34"/>
      <c r="AJ284" s="34"/>
      <c r="AK284" s="40"/>
      <c r="AL284" s="34"/>
      <c r="AM284" s="40"/>
      <c r="AN284" s="40"/>
      <c r="AO284" s="40"/>
      <c r="AP284" s="40"/>
      <c r="AQ284" s="40"/>
      <c r="AR284" s="40"/>
      <c r="AS284" s="40"/>
      <c r="AT284" s="40"/>
      <c r="AU284" s="40"/>
    </row>
    <row r="285" spans="1:47" ht="15.75" customHeight="1" x14ac:dyDescent="0.25">
      <c r="A285" s="34"/>
      <c r="B285" s="35"/>
      <c r="C285" s="36"/>
      <c r="D285" s="37"/>
      <c r="E285" s="38"/>
      <c r="F285" s="39"/>
      <c r="G285" s="17"/>
      <c r="H285" s="39"/>
      <c r="I285" s="34"/>
      <c r="J285" s="40"/>
      <c r="K285" s="34"/>
      <c r="L285" s="34"/>
      <c r="M285" s="40"/>
      <c r="N285" s="34"/>
      <c r="O285" s="40"/>
      <c r="P285" s="34"/>
      <c r="Q285" s="34"/>
      <c r="R285" s="40"/>
      <c r="S285" s="40"/>
      <c r="T285" s="34"/>
      <c r="U285" s="40"/>
      <c r="V285" s="34"/>
      <c r="W285" s="40"/>
      <c r="X285" s="34"/>
      <c r="Y285" s="34"/>
      <c r="Z285" s="40"/>
      <c r="AA285" s="40"/>
      <c r="AB285" s="34"/>
      <c r="AC285" s="34"/>
      <c r="AD285" s="40"/>
      <c r="AE285" s="40"/>
      <c r="AF285" s="40"/>
      <c r="AG285" s="40"/>
      <c r="AH285" s="34"/>
      <c r="AI285" s="34"/>
      <c r="AJ285" s="34"/>
      <c r="AK285" s="40"/>
      <c r="AL285" s="34"/>
      <c r="AM285" s="40"/>
      <c r="AN285" s="40"/>
      <c r="AO285" s="40"/>
      <c r="AP285" s="40"/>
      <c r="AQ285" s="40"/>
      <c r="AR285" s="40"/>
      <c r="AS285" s="40"/>
      <c r="AT285" s="40"/>
      <c r="AU285" s="40"/>
    </row>
    <row r="286" spans="1:47" ht="15.75" customHeight="1" x14ac:dyDescent="0.25">
      <c r="A286" s="34"/>
      <c r="B286" s="35"/>
      <c r="C286" s="36"/>
      <c r="D286" s="37"/>
      <c r="E286" s="38"/>
      <c r="F286" s="39"/>
      <c r="G286" s="17"/>
      <c r="H286" s="39"/>
      <c r="I286" s="34"/>
      <c r="J286" s="40"/>
      <c r="K286" s="34"/>
      <c r="L286" s="34"/>
      <c r="M286" s="40"/>
      <c r="N286" s="34"/>
      <c r="O286" s="40"/>
      <c r="P286" s="34"/>
      <c r="Q286" s="34"/>
      <c r="R286" s="40"/>
      <c r="S286" s="40"/>
      <c r="T286" s="34"/>
      <c r="U286" s="40"/>
      <c r="V286" s="34"/>
      <c r="W286" s="40"/>
      <c r="X286" s="34"/>
      <c r="Y286" s="34"/>
      <c r="Z286" s="40"/>
      <c r="AA286" s="40"/>
      <c r="AB286" s="34"/>
      <c r="AC286" s="34"/>
      <c r="AD286" s="40"/>
      <c r="AE286" s="40"/>
      <c r="AF286" s="40"/>
      <c r="AG286" s="40"/>
      <c r="AH286" s="34"/>
      <c r="AI286" s="34"/>
      <c r="AJ286" s="34"/>
      <c r="AK286" s="40"/>
      <c r="AL286" s="34"/>
      <c r="AM286" s="40"/>
      <c r="AN286" s="40"/>
      <c r="AO286" s="40"/>
      <c r="AP286" s="40"/>
      <c r="AQ286" s="40"/>
      <c r="AR286" s="40"/>
      <c r="AS286" s="40"/>
      <c r="AT286" s="40"/>
      <c r="AU286" s="40"/>
    </row>
    <row r="287" spans="1:47" ht="15.75" customHeight="1" x14ac:dyDescent="0.25">
      <c r="A287" s="34"/>
      <c r="B287" s="35"/>
      <c r="C287" s="36"/>
      <c r="D287" s="37"/>
      <c r="E287" s="38"/>
      <c r="F287" s="39"/>
      <c r="G287" s="17"/>
      <c r="H287" s="39"/>
      <c r="I287" s="34"/>
      <c r="J287" s="40"/>
      <c r="K287" s="34"/>
      <c r="L287" s="34"/>
      <c r="M287" s="40"/>
      <c r="N287" s="34"/>
      <c r="O287" s="40"/>
      <c r="P287" s="34"/>
      <c r="Q287" s="34"/>
      <c r="R287" s="40"/>
      <c r="S287" s="40"/>
      <c r="T287" s="34"/>
      <c r="U287" s="40"/>
      <c r="V287" s="34"/>
      <c r="W287" s="40"/>
      <c r="X287" s="34"/>
      <c r="Y287" s="34"/>
      <c r="Z287" s="40"/>
      <c r="AA287" s="40"/>
      <c r="AB287" s="34"/>
      <c r="AC287" s="34"/>
      <c r="AD287" s="40"/>
      <c r="AE287" s="40"/>
      <c r="AF287" s="40"/>
      <c r="AG287" s="40"/>
      <c r="AH287" s="34"/>
      <c r="AI287" s="34"/>
      <c r="AJ287" s="34"/>
      <c r="AK287" s="40"/>
      <c r="AL287" s="34"/>
      <c r="AM287" s="40"/>
      <c r="AN287" s="40"/>
      <c r="AO287" s="40"/>
      <c r="AP287" s="40"/>
      <c r="AQ287" s="40"/>
      <c r="AR287" s="40"/>
      <c r="AS287" s="40"/>
      <c r="AT287" s="40"/>
      <c r="AU287" s="40"/>
    </row>
    <row r="288" spans="1:47" ht="15.75" customHeight="1" x14ac:dyDescent="0.25">
      <c r="A288" s="34"/>
      <c r="B288" s="35"/>
      <c r="C288" s="36"/>
      <c r="D288" s="37"/>
      <c r="E288" s="38"/>
      <c r="F288" s="39"/>
      <c r="G288" s="17"/>
      <c r="H288" s="39"/>
      <c r="I288" s="34"/>
      <c r="J288" s="40"/>
      <c r="K288" s="34"/>
      <c r="L288" s="34"/>
      <c r="M288" s="40"/>
      <c r="N288" s="34"/>
      <c r="O288" s="40"/>
      <c r="P288" s="34"/>
      <c r="Q288" s="34"/>
      <c r="R288" s="40"/>
      <c r="S288" s="40"/>
      <c r="T288" s="34"/>
      <c r="U288" s="40"/>
      <c r="V288" s="34"/>
      <c r="W288" s="40"/>
      <c r="X288" s="34"/>
      <c r="Y288" s="34"/>
      <c r="Z288" s="40"/>
      <c r="AA288" s="40"/>
      <c r="AB288" s="34"/>
      <c r="AC288" s="34"/>
      <c r="AD288" s="40"/>
      <c r="AE288" s="40"/>
      <c r="AF288" s="40"/>
      <c r="AG288" s="40"/>
      <c r="AH288" s="34"/>
      <c r="AI288" s="34"/>
      <c r="AJ288" s="34"/>
      <c r="AK288" s="40"/>
      <c r="AL288" s="34"/>
      <c r="AM288" s="40"/>
      <c r="AN288" s="40"/>
      <c r="AO288" s="40"/>
      <c r="AP288" s="40"/>
      <c r="AQ288" s="40"/>
      <c r="AR288" s="40"/>
      <c r="AS288" s="40"/>
      <c r="AT288" s="40"/>
      <c r="AU288" s="40"/>
    </row>
    <row r="289" spans="1:47" ht="15.75" customHeight="1" x14ac:dyDescent="0.25">
      <c r="A289" s="34"/>
      <c r="B289" s="35"/>
      <c r="C289" s="36"/>
      <c r="D289" s="37"/>
      <c r="E289" s="38"/>
      <c r="F289" s="39"/>
      <c r="G289" s="17"/>
      <c r="H289" s="39"/>
      <c r="I289" s="34"/>
      <c r="J289" s="40"/>
      <c r="K289" s="34"/>
      <c r="L289" s="34"/>
      <c r="M289" s="40"/>
      <c r="N289" s="34"/>
      <c r="O289" s="40"/>
      <c r="P289" s="34"/>
      <c r="Q289" s="34"/>
      <c r="R289" s="40"/>
      <c r="S289" s="40"/>
      <c r="T289" s="34"/>
      <c r="U289" s="40"/>
      <c r="V289" s="34"/>
      <c r="W289" s="40"/>
      <c r="X289" s="34"/>
      <c r="Y289" s="34"/>
      <c r="Z289" s="40"/>
      <c r="AA289" s="40"/>
      <c r="AB289" s="34"/>
      <c r="AC289" s="34"/>
      <c r="AD289" s="40"/>
      <c r="AE289" s="40"/>
      <c r="AF289" s="40"/>
      <c r="AG289" s="40"/>
      <c r="AH289" s="34"/>
      <c r="AI289" s="34"/>
      <c r="AJ289" s="34"/>
      <c r="AK289" s="40"/>
      <c r="AL289" s="34"/>
      <c r="AM289" s="40"/>
      <c r="AN289" s="40"/>
      <c r="AO289" s="40"/>
      <c r="AP289" s="40"/>
      <c r="AQ289" s="40"/>
      <c r="AR289" s="40"/>
      <c r="AS289" s="40"/>
      <c r="AT289" s="40"/>
      <c r="AU289" s="40"/>
    </row>
    <row r="290" spans="1:47" ht="15.75" customHeight="1" x14ac:dyDescent="0.25">
      <c r="A290" s="34"/>
      <c r="B290" s="35"/>
      <c r="C290" s="36"/>
      <c r="D290" s="37"/>
      <c r="E290" s="38"/>
      <c r="F290" s="39"/>
      <c r="G290" s="17"/>
      <c r="H290" s="39"/>
      <c r="I290" s="34"/>
      <c r="J290" s="40"/>
      <c r="K290" s="34"/>
      <c r="L290" s="34"/>
      <c r="M290" s="40"/>
      <c r="N290" s="34"/>
      <c r="O290" s="40"/>
      <c r="P290" s="34"/>
      <c r="Q290" s="34"/>
      <c r="R290" s="40"/>
      <c r="S290" s="40"/>
      <c r="T290" s="34"/>
      <c r="U290" s="40"/>
      <c r="V290" s="34"/>
      <c r="W290" s="40"/>
      <c r="X290" s="34"/>
      <c r="Y290" s="34"/>
      <c r="Z290" s="40"/>
      <c r="AA290" s="40"/>
      <c r="AB290" s="34"/>
      <c r="AC290" s="34"/>
      <c r="AD290" s="40"/>
      <c r="AE290" s="40"/>
      <c r="AF290" s="40"/>
      <c r="AG290" s="40"/>
      <c r="AH290" s="34"/>
      <c r="AI290" s="34"/>
      <c r="AJ290" s="34"/>
      <c r="AK290" s="40"/>
      <c r="AL290" s="34"/>
      <c r="AM290" s="40"/>
      <c r="AN290" s="40"/>
      <c r="AO290" s="40"/>
      <c r="AP290" s="40"/>
      <c r="AQ290" s="40"/>
      <c r="AR290" s="40"/>
      <c r="AS290" s="40"/>
      <c r="AT290" s="40"/>
      <c r="AU290" s="40"/>
    </row>
    <row r="291" spans="1:47" ht="15.75" customHeight="1" x14ac:dyDescent="0.25">
      <c r="A291" s="34"/>
      <c r="B291" s="35"/>
      <c r="C291" s="36"/>
      <c r="D291" s="37"/>
      <c r="E291" s="38"/>
      <c r="F291" s="39"/>
      <c r="G291" s="17"/>
      <c r="H291" s="39"/>
      <c r="I291" s="34"/>
      <c r="J291" s="40"/>
      <c r="K291" s="34"/>
      <c r="L291" s="34"/>
      <c r="M291" s="40"/>
      <c r="N291" s="34"/>
      <c r="O291" s="40"/>
      <c r="P291" s="34"/>
      <c r="Q291" s="34"/>
      <c r="R291" s="40"/>
      <c r="S291" s="40"/>
      <c r="T291" s="34"/>
      <c r="U291" s="40"/>
      <c r="V291" s="34"/>
      <c r="W291" s="40"/>
      <c r="X291" s="34"/>
      <c r="Y291" s="34"/>
      <c r="Z291" s="40"/>
      <c r="AA291" s="40"/>
      <c r="AB291" s="34"/>
      <c r="AC291" s="34"/>
      <c r="AD291" s="40"/>
      <c r="AE291" s="40"/>
      <c r="AF291" s="40"/>
      <c r="AG291" s="40"/>
      <c r="AH291" s="34"/>
      <c r="AI291" s="34"/>
      <c r="AJ291" s="34"/>
      <c r="AK291" s="40"/>
      <c r="AL291" s="34"/>
      <c r="AM291" s="40"/>
      <c r="AN291" s="40"/>
      <c r="AO291" s="40"/>
      <c r="AP291" s="40"/>
      <c r="AQ291" s="40"/>
      <c r="AR291" s="40"/>
      <c r="AS291" s="40"/>
      <c r="AT291" s="40"/>
      <c r="AU291" s="40"/>
    </row>
    <row r="292" spans="1:47" ht="15.75" customHeight="1" x14ac:dyDescent="0.25">
      <c r="A292" s="34"/>
      <c r="B292" s="35"/>
      <c r="C292" s="36"/>
      <c r="D292" s="37"/>
      <c r="E292" s="38"/>
      <c r="F292" s="39"/>
      <c r="G292" s="17"/>
      <c r="H292" s="39"/>
      <c r="I292" s="34"/>
      <c r="J292" s="40"/>
      <c r="K292" s="34"/>
      <c r="L292" s="34"/>
      <c r="M292" s="40"/>
      <c r="N292" s="34"/>
      <c r="O292" s="40"/>
      <c r="P292" s="34"/>
      <c r="Q292" s="34"/>
      <c r="R292" s="40"/>
      <c r="S292" s="40"/>
      <c r="T292" s="34"/>
      <c r="U292" s="40"/>
      <c r="V292" s="34"/>
      <c r="W292" s="40"/>
      <c r="X292" s="34"/>
      <c r="Y292" s="34"/>
      <c r="Z292" s="40"/>
      <c r="AA292" s="40"/>
      <c r="AB292" s="34"/>
      <c r="AC292" s="34"/>
      <c r="AD292" s="40"/>
      <c r="AE292" s="40"/>
      <c r="AF292" s="40"/>
      <c r="AG292" s="40"/>
      <c r="AH292" s="34"/>
      <c r="AI292" s="34"/>
      <c r="AJ292" s="34"/>
      <c r="AK292" s="40"/>
      <c r="AL292" s="34"/>
      <c r="AM292" s="40"/>
      <c r="AN292" s="40"/>
      <c r="AO292" s="40"/>
      <c r="AP292" s="40"/>
      <c r="AQ292" s="40"/>
      <c r="AR292" s="40"/>
      <c r="AS292" s="40"/>
      <c r="AT292" s="40"/>
      <c r="AU292" s="40"/>
    </row>
    <row r="293" spans="1:47" ht="15.75" customHeight="1" x14ac:dyDescent="0.25">
      <c r="A293" s="34"/>
      <c r="B293" s="35"/>
      <c r="C293" s="36"/>
      <c r="D293" s="37"/>
      <c r="E293" s="38"/>
      <c r="F293" s="39"/>
      <c r="G293" s="17"/>
      <c r="H293" s="39"/>
      <c r="I293" s="34"/>
      <c r="J293" s="40"/>
      <c r="K293" s="34"/>
      <c r="L293" s="34"/>
      <c r="M293" s="40"/>
      <c r="N293" s="34"/>
      <c r="O293" s="40"/>
      <c r="P293" s="34"/>
      <c r="Q293" s="34"/>
      <c r="R293" s="40"/>
      <c r="S293" s="40"/>
      <c r="T293" s="34"/>
      <c r="U293" s="40"/>
      <c r="V293" s="34"/>
      <c r="W293" s="40"/>
      <c r="X293" s="34"/>
      <c r="Y293" s="34"/>
      <c r="Z293" s="40"/>
      <c r="AA293" s="40"/>
      <c r="AB293" s="34"/>
      <c r="AC293" s="34"/>
      <c r="AD293" s="40"/>
      <c r="AE293" s="40"/>
      <c r="AF293" s="40"/>
      <c r="AG293" s="40"/>
      <c r="AH293" s="34"/>
      <c r="AI293" s="34"/>
      <c r="AJ293" s="34"/>
      <c r="AK293" s="40"/>
      <c r="AL293" s="34"/>
      <c r="AM293" s="40"/>
      <c r="AN293" s="40"/>
      <c r="AO293" s="40"/>
      <c r="AP293" s="40"/>
      <c r="AQ293" s="40"/>
      <c r="AR293" s="40"/>
      <c r="AS293" s="40"/>
      <c r="AT293" s="40"/>
      <c r="AU293" s="40"/>
    </row>
    <row r="294" spans="1:47" ht="15.75" customHeight="1" x14ac:dyDescent="0.25">
      <c r="A294" s="34"/>
      <c r="B294" s="35"/>
      <c r="C294" s="36"/>
      <c r="D294" s="37"/>
      <c r="E294" s="38"/>
      <c r="F294" s="39"/>
      <c r="G294" s="17"/>
      <c r="H294" s="39"/>
      <c r="I294" s="34"/>
      <c r="J294" s="40"/>
      <c r="K294" s="34"/>
      <c r="L294" s="34"/>
      <c r="M294" s="40"/>
      <c r="N294" s="34"/>
      <c r="O294" s="40"/>
      <c r="P294" s="34"/>
      <c r="Q294" s="34"/>
      <c r="R294" s="40"/>
      <c r="S294" s="40"/>
      <c r="T294" s="34"/>
      <c r="U294" s="40"/>
      <c r="V294" s="34"/>
      <c r="W294" s="40"/>
      <c r="X294" s="34"/>
      <c r="Y294" s="34"/>
      <c r="Z294" s="40"/>
      <c r="AA294" s="40"/>
      <c r="AB294" s="34"/>
      <c r="AC294" s="34"/>
      <c r="AD294" s="40"/>
      <c r="AE294" s="40"/>
      <c r="AF294" s="40"/>
      <c r="AG294" s="40"/>
      <c r="AH294" s="34"/>
      <c r="AI294" s="34"/>
      <c r="AJ294" s="34"/>
      <c r="AK294" s="40"/>
      <c r="AL294" s="34"/>
      <c r="AM294" s="40"/>
      <c r="AN294" s="40"/>
      <c r="AO294" s="40"/>
      <c r="AP294" s="40"/>
      <c r="AQ294" s="40"/>
      <c r="AR294" s="40"/>
      <c r="AS294" s="40"/>
      <c r="AT294" s="40"/>
      <c r="AU294" s="40"/>
    </row>
    <row r="295" spans="1:47" ht="15.75" customHeight="1" x14ac:dyDescent="0.25">
      <c r="A295" s="34"/>
      <c r="B295" s="35"/>
      <c r="C295" s="36"/>
      <c r="D295" s="37"/>
      <c r="E295" s="38"/>
      <c r="F295" s="39"/>
      <c r="G295" s="17"/>
      <c r="H295" s="39"/>
      <c r="I295" s="34"/>
      <c r="J295" s="40"/>
      <c r="K295" s="34"/>
      <c r="L295" s="34"/>
      <c r="M295" s="40"/>
      <c r="N295" s="34"/>
      <c r="O295" s="40"/>
      <c r="P295" s="34"/>
      <c r="Q295" s="34"/>
      <c r="R295" s="40"/>
      <c r="S295" s="40"/>
      <c r="T295" s="34"/>
      <c r="U295" s="40"/>
      <c r="V295" s="34"/>
      <c r="W295" s="40"/>
      <c r="X295" s="34"/>
      <c r="Y295" s="34"/>
      <c r="Z295" s="40"/>
      <c r="AA295" s="40"/>
      <c r="AB295" s="34"/>
      <c r="AC295" s="34"/>
      <c r="AD295" s="40"/>
      <c r="AE295" s="40"/>
      <c r="AF295" s="40"/>
      <c r="AG295" s="40"/>
      <c r="AH295" s="34"/>
      <c r="AI295" s="34"/>
      <c r="AJ295" s="34"/>
      <c r="AK295" s="40"/>
      <c r="AL295" s="34"/>
      <c r="AM295" s="40"/>
      <c r="AN295" s="40"/>
      <c r="AO295" s="40"/>
      <c r="AP295" s="40"/>
      <c r="AQ295" s="40"/>
      <c r="AR295" s="40"/>
      <c r="AS295" s="40"/>
      <c r="AT295" s="40"/>
      <c r="AU295" s="40"/>
    </row>
    <row r="296" spans="1:47" ht="15.75" customHeight="1" x14ac:dyDescent="0.25">
      <c r="A296" s="34"/>
      <c r="B296" s="35"/>
      <c r="C296" s="36"/>
      <c r="D296" s="37"/>
      <c r="E296" s="38"/>
      <c r="F296" s="39"/>
      <c r="G296" s="17"/>
      <c r="H296" s="39"/>
      <c r="I296" s="34"/>
      <c r="J296" s="40"/>
      <c r="K296" s="34"/>
      <c r="L296" s="34"/>
      <c r="M296" s="40"/>
      <c r="N296" s="34"/>
      <c r="O296" s="40"/>
      <c r="P296" s="34"/>
      <c r="Q296" s="34"/>
      <c r="R296" s="40"/>
      <c r="S296" s="40"/>
      <c r="T296" s="34"/>
      <c r="U296" s="40"/>
      <c r="V296" s="34"/>
      <c r="W296" s="40"/>
      <c r="X296" s="34"/>
      <c r="Y296" s="34"/>
      <c r="Z296" s="40"/>
      <c r="AA296" s="40"/>
      <c r="AB296" s="34"/>
      <c r="AC296" s="34"/>
      <c r="AD296" s="40"/>
      <c r="AE296" s="40"/>
      <c r="AF296" s="40"/>
      <c r="AG296" s="40"/>
      <c r="AH296" s="34"/>
      <c r="AI296" s="34"/>
      <c r="AJ296" s="34"/>
      <c r="AK296" s="40"/>
      <c r="AL296" s="34"/>
      <c r="AM296" s="40"/>
      <c r="AN296" s="40"/>
      <c r="AO296" s="40"/>
      <c r="AP296" s="40"/>
      <c r="AQ296" s="40"/>
      <c r="AR296" s="40"/>
      <c r="AS296" s="40"/>
      <c r="AT296" s="40"/>
      <c r="AU296" s="40"/>
    </row>
    <row r="297" spans="1:47" ht="15.75" customHeight="1" x14ac:dyDescent="0.25">
      <c r="A297" s="34"/>
      <c r="B297" s="35"/>
      <c r="C297" s="36"/>
      <c r="D297" s="37"/>
      <c r="E297" s="38"/>
      <c r="F297" s="39"/>
      <c r="G297" s="17"/>
      <c r="H297" s="39"/>
      <c r="I297" s="34"/>
      <c r="J297" s="40"/>
      <c r="K297" s="34"/>
      <c r="L297" s="34"/>
      <c r="M297" s="40"/>
      <c r="N297" s="34"/>
      <c r="O297" s="40"/>
      <c r="P297" s="34"/>
      <c r="Q297" s="34"/>
      <c r="R297" s="40"/>
      <c r="S297" s="40"/>
      <c r="T297" s="34"/>
      <c r="U297" s="40"/>
      <c r="V297" s="34"/>
      <c r="W297" s="40"/>
      <c r="X297" s="34"/>
      <c r="Y297" s="34"/>
      <c r="Z297" s="40"/>
      <c r="AA297" s="40"/>
      <c r="AB297" s="34"/>
      <c r="AC297" s="34"/>
      <c r="AD297" s="40"/>
      <c r="AE297" s="40"/>
      <c r="AF297" s="40"/>
      <c r="AG297" s="40"/>
      <c r="AH297" s="34"/>
      <c r="AI297" s="34"/>
      <c r="AJ297" s="34"/>
      <c r="AK297" s="40"/>
      <c r="AL297" s="34"/>
      <c r="AM297" s="40"/>
      <c r="AN297" s="40"/>
      <c r="AO297" s="40"/>
      <c r="AP297" s="40"/>
      <c r="AQ297" s="40"/>
      <c r="AR297" s="40"/>
      <c r="AS297" s="40"/>
      <c r="AT297" s="40"/>
      <c r="AU297" s="40"/>
    </row>
    <row r="298" spans="1:47" ht="15.75" customHeight="1" x14ac:dyDescent="0.25">
      <c r="A298" s="34"/>
      <c r="B298" s="35"/>
      <c r="C298" s="36"/>
      <c r="D298" s="37"/>
      <c r="E298" s="38"/>
      <c r="F298" s="39"/>
      <c r="G298" s="17"/>
      <c r="H298" s="39"/>
      <c r="I298" s="34"/>
      <c r="J298" s="40"/>
      <c r="K298" s="34"/>
      <c r="L298" s="34"/>
      <c r="M298" s="40"/>
      <c r="N298" s="34"/>
      <c r="O298" s="40"/>
      <c r="P298" s="34"/>
      <c r="Q298" s="34"/>
      <c r="R298" s="40"/>
      <c r="S298" s="40"/>
      <c r="T298" s="34"/>
      <c r="U298" s="40"/>
      <c r="V298" s="34"/>
      <c r="W298" s="40"/>
      <c r="X298" s="34"/>
      <c r="Y298" s="34"/>
      <c r="Z298" s="40"/>
      <c r="AA298" s="40"/>
      <c r="AB298" s="34"/>
      <c r="AC298" s="34"/>
      <c r="AD298" s="40"/>
      <c r="AE298" s="40"/>
      <c r="AF298" s="40"/>
      <c r="AG298" s="40"/>
      <c r="AH298" s="34"/>
      <c r="AI298" s="34"/>
      <c r="AJ298" s="34"/>
      <c r="AK298" s="40"/>
      <c r="AL298" s="34"/>
      <c r="AM298" s="40"/>
      <c r="AN298" s="40"/>
      <c r="AO298" s="40"/>
      <c r="AP298" s="40"/>
      <c r="AQ298" s="40"/>
      <c r="AR298" s="40"/>
      <c r="AS298" s="40"/>
      <c r="AT298" s="40"/>
      <c r="AU298" s="40"/>
    </row>
    <row r="299" spans="1:47" ht="15.75" customHeight="1" x14ac:dyDescent="0.25">
      <c r="A299" s="34"/>
      <c r="B299" s="35"/>
      <c r="C299" s="36"/>
      <c r="D299" s="37"/>
      <c r="E299" s="38"/>
      <c r="F299" s="39"/>
      <c r="G299" s="17"/>
      <c r="H299" s="39"/>
      <c r="I299" s="34"/>
      <c r="J299" s="40"/>
      <c r="K299" s="34"/>
      <c r="L299" s="34"/>
      <c r="M299" s="40"/>
      <c r="N299" s="34"/>
      <c r="O299" s="40"/>
      <c r="P299" s="34"/>
      <c r="Q299" s="34"/>
      <c r="R299" s="40"/>
      <c r="S299" s="40"/>
      <c r="T299" s="34"/>
      <c r="U299" s="40"/>
      <c r="V299" s="34"/>
      <c r="W299" s="40"/>
      <c r="X299" s="34"/>
      <c r="Y299" s="34"/>
      <c r="Z299" s="40"/>
      <c r="AA299" s="40"/>
      <c r="AB299" s="34"/>
      <c r="AC299" s="34"/>
      <c r="AD299" s="40"/>
      <c r="AE299" s="40"/>
      <c r="AF299" s="40"/>
      <c r="AG299" s="40"/>
      <c r="AH299" s="34"/>
      <c r="AI299" s="34"/>
      <c r="AJ299" s="34"/>
      <c r="AK299" s="40"/>
      <c r="AL299" s="34"/>
      <c r="AM299" s="40"/>
      <c r="AN299" s="40"/>
      <c r="AO299" s="40"/>
      <c r="AP299" s="40"/>
      <c r="AQ299" s="40"/>
      <c r="AR299" s="40"/>
      <c r="AS299" s="40"/>
      <c r="AT299" s="40"/>
      <c r="AU299" s="40"/>
    </row>
    <row r="300" spans="1:47" ht="15.75" customHeight="1" x14ac:dyDescent="0.25">
      <c r="A300" s="34"/>
      <c r="B300" s="35"/>
      <c r="C300" s="36"/>
      <c r="D300" s="37"/>
      <c r="E300" s="38"/>
      <c r="F300" s="39"/>
      <c r="G300" s="17"/>
      <c r="H300" s="39"/>
      <c r="I300" s="34"/>
      <c r="J300" s="40"/>
      <c r="K300" s="34"/>
      <c r="L300" s="34"/>
      <c r="M300" s="40"/>
      <c r="N300" s="34"/>
      <c r="O300" s="40"/>
      <c r="P300" s="34"/>
      <c r="Q300" s="34"/>
      <c r="R300" s="40"/>
      <c r="S300" s="40"/>
      <c r="T300" s="34"/>
      <c r="U300" s="40"/>
      <c r="V300" s="34"/>
      <c r="W300" s="40"/>
      <c r="X300" s="34"/>
      <c r="Y300" s="34"/>
      <c r="Z300" s="40"/>
      <c r="AA300" s="40"/>
      <c r="AB300" s="34"/>
      <c r="AC300" s="34"/>
      <c r="AD300" s="40"/>
      <c r="AE300" s="40"/>
      <c r="AF300" s="40"/>
      <c r="AG300" s="40"/>
      <c r="AH300" s="34"/>
      <c r="AI300" s="34"/>
      <c r="AJ300" s="34"/>
      <c r="AK300" s="40"/>
      <c r="AL300" s="34"/>
      <c r="AM300" s="40"/>
      <c r="AN300" s="40"/>
      <c r="AO300" s="40"/>
      <c r="AP300" s="40"/>
      <c r="AQ300" s="40"/>
      <c r="AR300" s="40"/>
      <c r="AS300" s="40"/>
      <c r="AT300" s="40"/>
      <c r="AU300" s="40"/>
    </row>
    <row r="301" spans="1:47" ht="15.75" customHeight="1" x14ac:dyDescent="0.25">
      <c r="A301" s="34"/>
      <c r="B301" s="35"/>
      <c r="C301" s="36"/>
      <c r="D301" s="37"/>
      <c r="E301" s="38"/>
      <c r="F301" s="39"/>
      <c r="G301" s="17"/>
      <c r="H301" s="39"/>
      <c r="I301" s="34"/>
      <c r="J301" s="40"/>
      <c r="K301" s="34"/>
      <c r="L301" s="34"/>
      <c r="M301" s="40"/>
      <c r="N301" s="34"/>
      <c r="O301" s="40"/>
      <c r="P301" s="34"/>
      <c r="Q301" s="34"/>
      <c r="R301" s="40"/>
      <c r="S301" s="40"/>
      <c r="T301" s="34"/>
      <c r="U301" s="40"/>
      <c r="V301" s="34"/>
      <c r="W301" s="40"/>
      <c r="X301" s="34"/>
      <c r="Y301" s="34"/>
      <c r="Z301" s="40"/>
      <c r="AA301" s="40"/>
      <c r="AB301" s="34"/>
      <c r="AC301" s="34"/>
      <c r="AD301" s="40"/>
      <c r="AE301" s="40"/>
      <c r="AF301" s="40"/>
      <c r="AG301" s="40"/>
      <c r="AH301" s="34"/>
      <c r="AI301" s="34"/>
      <c r="AJ301" s="34"/>
      <c r="AK301" s="40"/>
      <c r="AL301" s="34"/>
      <c r="AM301" s="40"/>
      <c r="AN301" s="40"/>
      <c r="AO301" s="40"/>
      <c r="AP301" s="40"/>
      <c r="AQ301" s="40"/>
      <c r="AR301" s="40"/>
      <c r="AS301" s="40"/>
      <c r="AT301" s="40"/>
      <c r="AU301" s="40"/>
    </row>
    <row r="302" spans="1:47" ht="15.75" customHeight="1" x14ac:dyDescent="0.25">
      <c r="A302" s="34"/>
      <c r="B302" s="35"/>
      <c r="C302" s="36"/>
      <c r="D302" s="37"/>
      <c r="E302" s="38"/>
      <c r="F302" s="39"/>
      <c r="G302" s="17"/>
      <c r="H302" s="39"/>
      <c r="I302" s="34"/>
      <c r="J302" s="40"/>
      <c r="K302" s="34"/>
      <c r="L302" s="34"/>
      <c r="M302" s="40"/>
      <c r="N302" s="34"/>
      <c r="O302" s="40"/>
      <c r="P302" s="34"/>
      <c r="Q302" s="34"/>
      <c r="R302" s="40"/>
      <c r="S302" s="40"/>
      <c r="T302" s="34"/>
      <c r="U302" s="40"/>
      <c r="V302" s="34"/>
      <c r="W302" s="40"/>
      <c r="X302" s="34"/>
      <c r="Y302" s="34"/>
      <c r="Z302" s="40"/>
      <c r="AA302" s="40"/>
      <c r="AB302" s="34"/>
      <c r="AC302" s="34"/>
      <c r="AD302" s="40"/>
      <c r="AE302" s="40"/>
      <c r="AF302" s="40"/>
      <c r="AG302" s="40"/>
      <c r="AH302" s="34"/>
      <c r="AI302" s="34"/>
      <c r="AJ302" s="34"/>
      <c r="AK302" s="40"/>
      <c r="AL302" s="34"/>
      <c r="AM302" s="40"/>
      <c r="AN302" s="40"/>
      <c r="AO302" s="40"/>
      <c r="AP302" s="40"/>
      <c r="AQ302" s="40"/>
      <c r="AR302" s="40"/>
      <c r="AS302" s="40"/>
      <c r="AT302" s="40"/>
      <c r="AU302" s="40"/>
    </row>
    <row r="303" spans="1:47" ht="15.75" customHeight="1" x14ac:dyDescent="0.25">
      <c r="A303" s="34"/>
      <c r="B303" s="35"/>
      <c r="C303" s="36"/>
      <c r="D303" s="37"/>
      <c r="E303" s="38"/>
      <c r="F303" s="39"/>
      <c r="G303" s="17"/>
      <c r="H303" s="39"/>
      <c r="I303" s="34"/>
      <c r="J303" s="40"/>
      <c r="K303" s="34"/>
      <c r="L303" s="34"/>
      <c r="M303" s="40"/>
      <c r="N303" s="34"/>
      <c r="O303" s="40"/>
      <c r="P303" s="34"/>
      <c r="Q303" s="34"/>
      <c r="R303" s="40"/>
      <c r="S303" s="40"/>
      <c r="T303" s="34"/>
      <c r="U303" s="40"/>
      <c r="V303" s="34"/>
      <c r="W303" s="40"/>
      <c r="X303" s="34"/>
      <c r="Y303" s="34"/>
      <c r="Z303" s="40"/>
      <c r="AA303" s="40"/>
      <c r="AB303" s="34"/>
      <c r="AC303" s="34"/>
      <c r="AD303" s="40"/>
      <c r="AE303" s="40"/>
      <c r="AF303" s="40"/>
      <c r="AG303" s="40"/>
      <c r="AH303" s="34"/>
      <c r="AI303" s="34"/>
      <c r="AJ303" s="34"/>
      <c r="AK303" s="40"/>
      <c r="AL303" s="34"/>
      <c r="AM303" s="40"/>
      <c r="AN303" s="40"/>
      <c r="AO303" s="40"/>
      <c r="AP303" s="40"/>
      <c r="AQ303" s="40"/>
      <c r="AR303" s="40"/>
      <c r="AS303" s="40"/>
      <c r="AT303" s="40"/>
      <c r="AU303" s="40"/>
    </row>
    <row r="304" spans="1:47" ht="15.75" customHeight="1" x14ac:dyDescent="0.25">
      <c r="A304" s="34"/>
      <c r="B304" s="35"/>
      <c r="C304" s="36"/>
      <c r="D304" s="37"/>
      <c r="E304" s="38"/>
      <c r="F304" s="39"/>
      <c r="G304" s="17"/>
      <c r="H304" s="39"/>
      <c r="I304" s="34"/>
      <c r="J304" s="40"/>
      <c r="K304" s="34"/>
      <c r="L304" s="34"/>
      <c r="M304" s="40"/>
      <c r="N304" s="34"/>
      <c r="O304" s="40"/>
      <c r="P304" s="34"/>
      <c r="Q304" s="34"/>
      <c r="R304" s="40"/>
      <c r="S304" s="40"/>
      <c r="T304" s="34"/>
      <c r="U304" s="40"/>
      <c r="V304" s="34"/>
      <c r="W304" s="40"/>
      <c r="X304" s="34"/>
      <c r="Y304" s="34"/>
      <c r="Z304" s="40"/>
      <c r="AA304" s="40"/>
      <c r="AB304" s="34"/>
      <c r="AC304" s="34"/>
      <c r="AD304" s="40"/>
      <c r="AE304" s="40"/>
      <c r="AF304" s="40"/>
      <c r="AG304" s="40"/>
      <c r="AH304" s="34"/>
      <c r="AI304" s="34"/>
      <c r="AJ304" s="34"/>
      <c r="AK304" s="40"/>
      <c r="AL304" s="34"/>
      <c r="AM304" s="40"/>
      <c r="AN304" s="40"/>
      <c r="AO304" s="40"/>
      <c r="AP304" s="40"/>
      <c r="AQ304" s="40"/>
      <c r="AR304" s="40"/>
      <c r="AS304" s="40"/>
      <c r="AT304" s="40"/>
      <c r="AU304" s="40"/>
    </row>
    <row r="305" spans="1:47" ht="15.75" customHeight="1" x14ac:dyDescent="0.25">
      <c r="A305" s="34"/>
      <c r="B305" s="35"/>
      <c r="C305" s="36"/>
      <c r="D305" s="37"/>
      <c r="E305" s="38"/>
      <c r="F305" s="39"/>
      <c r="G305" s="17"/>
      <c r="H305" s="39"/>
      <c r="I305" s="34"/>
      <c r="J305" s="40"/>
      <c r="K305" s="34"/>
      <c r="L305" s="34"/>
      <c r="M305" s="40"/>
      <c r="N305" s="34"/>
      <c r="O305" s="40"/>
      <c r="P305" s="34"/>
      <c r="Q305" s="34"/>
      <c r="R305" s="40"/>
      <c r="S305" s="40"/>
      <c r="T305" s="34"/>
      <c r="U305" s="40"/>
      <c r="V305" s="34"/>
      <c r="W305" s="40"/>
      <c r="X305" s="34"/>
      <c r="Y305" s="34"/>
      <c r="Z305" s="40"/>
      <c r="AA305" s="40"/>
      <c r="AB305" s="34"/>
      <c r="AC305" s="34"/>
      <c r="AD305" s="40"/>
      <c r="AE305" s="40"/>
      <c r="AF305" s="40"/>
      <c r="AG305" s="40"/>
      <c r="AH305" s="34"/>
      <c r="AI305" s="34"/>
      <c r="AJ305" s="34"/>
      <c r="AK305" s="40"/>
      <c r="AL305" s="34"/>
      <c r="AM305" s="40"/>
      <c r="AN305" s="40"/>
      <c r="AO305" s="40"/>
      <c r="AP305" s="40"/>
      <c r="AQ305" s="40"/>
      <c r="AR305" s="40"/>
      <c r="AS305" s="40"/>
      <c r="AT305" s="40"/>
      <c r="AU305" s="40"/>
    </row>
    <row r="306" spans="1:47" ht="15.75" customHeight="1" x14ac:dyDescent="0.25">
      <c r="A306" s="34"/>
      <c r="B306" s="35"/>
      <c r="C306" s="36"/>
      <c r="D306" s="37"/>
      <c r="E306" s="38"/>
      <c r="F306" s="39"/>
      <c r="G306" s="17"/>
      <c r="H306" s="39"/>
      <c r="I306" s="34"/>
      <c r="J306" s="40"/>
      <c r="K306" s="34"/>
      <c r="L306" s="34"/>
      <c r="M306" s="40"/>
      <c r="N306" s="34"/>
      <c r="O306" s="40"/>
      <c r="P306" s="34"/>
      <c r="Q306" s="34"/>
      <c r="R306" s="40"/>
      <c r="S306" s="40"/>
      <c r="T306" s="34"/>
      <c r="U306" s="40"/>
      <c r="V306" s="34"/>
      <c r="W306" s="40"/>
      <c r="X306" s="34"/>
      <c r="Y306" s="34"/>
      <c r="Z306" s="40"/>
      <c r="AA306" s="40"/>
      <c r="AB306" s="34"/>
      <c r="AC306" s="34"/>
      <c r="AD306" s="40"/>
      <c r="AE306" s="40"/>
      <c r="AF306" s="40"/>
      <c r="AG306" s="40"/>
      <c r="AH306" s="34"/>
      <c r="AI306" s="34"/>
      <c r="AJ306" s="34"/>
      <c r="AK306" s="40"/>
      <c r="AL306" s="34"/>
      <c r="AM306" s="40"/>
      <c r="AN306" s="40"/>
      <c r="AO306" s="40"/>
      <c r="AP306" s="40"/>
      <c r="AQ306" s="40"/>
      <c r="AR306" s="40"/>
      <c r="AS306" s="40"/>
      <c r="AT306" s="40"/>
      <c r="AU306" s="40"/>
    </row>
    <row r="307" spans="1:47" ht="15.75" customHeight="1" x14ac:dyDescent="0.25">
      <c r="A307" s="34"/>
      <c r="B307" s="35"/>
      <c r="C307" s="36"/>
      <c r="D307" s="37"/>
      <c r="E307" s="38"/>
      <c r="F307" s="39"/>
      <c r="G307" s="17"/>
      <c r="H307" s="39"/>
      <c r="I307" s="34"/>
      <c r="J307" s="40"/>
      <c r="K307" s="34"/>
      <c r="L307" s="34"/>
      <c r="M307" s="40"/>
      <c r="N307" s="34"/>
      <c r="O307" s="40"/>
      <c r="P307" s="34"/>
      <c r="Q307" s="34"/>
      <c r="R307" s="40"/>
      <c r="S307" s="40"/>
      <c r="T307" s="34"/>
      <c r="U307" s="40"/>
      <c r="V307" s="34"/>
      <c r="W307" s="40"/>
      <c r="X307" s="34"/>
      <c r="Y307" s="34"/>
      <c r="Z307" s="40"/>
      <c r="AA307" s="40"/>
      <c r="AB307" s="34"/>
      <c r="AC307" s="34"/>
      <c r="AD307" s="40"/>
      <c r="AE307" s="40"/>
      <c r="AF307" s="40"/>
      <c r="AG307" s="40"/>
      <c r="AH307" s="34"/>
      <c r="AI307" s="34"/>
      <c r="AJ307" s="34"/>
      <c r="AK307" s="40"/>
      <c r="AL307" s="34"/>
      <c r="AM307" s="40"/>
      <c r="AN307" s="40"/>
      <c r="AO307" s="40"/>
      <c r="AP307" s="40"/>
      <c r="AQ307" s="40"/>
      <c r="AR307" s="40"/>
      <c r="AS307" s="40"/>
      <c r="AT307" s="40"/>
      <c r="AU307" s="40"/>
    </row>
    <row r="308" spans="1:47" ht="15.75" customHeight="1" x14ac:dyDescent="0.25">
      <c r="A308" s="34"/>
      <c r="B308" s="35"/>
      <c r="C308" s="36"/>
      <c r="D308" s="37"/>
      <c r="E308" s="38"/>
      <c r="F308" s="39"/>
      <c r="G308" s="17"/>
      <c r="H308" s="39"/>
      <c r="I308" s="34"/>
      <c r="J308" s="40"/>
      <c r="K308" s="34"/>
      <c r="L308" s="34"/>
      <c r="M308" s="40"/>
      <c r="N308" s="34"/>
      <c r="O308" s="40"/>
      <c r="P308" s="34"/>
      <c r="Q308" s="34"/>
      <c r="R308" s="40"/>
      <c r="S308" s="40"/>
      <c r="T308" s="34"/>
      <c r="U308" s="40"/>
      <c r="V308" s="34"/>
      <c r="W308" s="40"/>
      <c r="X308" s="34"/>
      <c r="Y308" s="34"/>
      <c r="Z308" s="40"/>
      <c r="AA308" s="40"/>
      <c r="AB308" s="34"/>
      <c r="AC308" s="34"/>
      <c r="AD308" s="40"/>
      <c r="AE308" s="40"/>
      <c r="AF308" s="40"/>
      <c r="AG308" s="40"/>
      <c r="AH308" s="34"/>
      <c r="AI308" s="34"/>
      <c r="AJ308" s="34"/>
      <c r="AK308" s="40"/>
      <c r="AL308" s="34"/>
      <c r="AM308" s="40"/>
      <c r="AN308" s="40"/>
      <c r="AO308" s="40"/>
      <c r="AP308" s="40"/>
      <c r="AQ308" s="40"/>
      <c r="AR308" s="40"/>
      <c r="AS308" s="40"/>
      <c r="AT308" s="40"/>
      <c r="AU308" s="40"/>
    </row>
    <row r="309" spans="1:47" ht="15.75" customHeight="1" x14ac:dyDescent="0.25">
      <c r="A309" s="34"/>
      <c r="B309" s="35"/>
      <c r="C309" s="36"/>
      <c r="D309" s="37"/>
      <c r="E309" s="38"/>
      <c r="F309" s="39"/>
      <c r="G309" s="17"/>
      <c r="H309" s="39"/>
      <c r="I309" s="34"/>
      <c r="J309" s="40"/>
      <c r="K309" s="34"/>
      <c r="L309" s="34"/>
      <c r="M309" s="40"/>
      <c r="N309" s="34"/>
      <c r="O309" s="40"/>
      <c r="P309" s="34"/>
      <c r="Q309" s="34"/>
      <c r="R309" s="40"/>
      <c r="S309" s="40"/>
      <c r="T309" s="34"/>
      <c r="U309" s="40"/>
      <c r="V309" s="34"/>
      <c r="W309" s="40"/>
      <c r="X309" s="34"/>
      <c r="Y309" s="34"/>
      <c r="Z309" s="40"/>
      <c r="AA309" s="40"/>
      <c r="AB309" s="34"/>
      <c r="AC309" s="34"/>
      <c r="AD309" s="40"/>
      <c r="AE309" s="40"/>
      <c r="AF309" s="40"/>
      <c r="AG309" s="40"/>
      <c r="AH309" s="34"/>
      <c r="AI309" s="34"/>
      <c r="AJ309" s="34"/>
      <c r="AK309" s="40"/>
      <c r="AL309" s="34"/>
      <c r="AM309" s="40"/>
      <c r="AN309" s="40"/>
      <c r="AO309" s="40"/>
      <c r="AP309" s="40"/>
      <c r="AQ309" s="40"/>
      <c r="AR309" s="40"/>
      <c r="AS309" s="40"/>
      <c r="AT309" s="40"/>
      <c r="AU309" s="40"/>
    </row>
    <row r="310" spans="1:47" ht="15.75" customHeight="1" x14ac:dyDescent="0.25">
      <c r="A310" s="34"/>
      <c r="B310" s="35"/>
      <c r="C310" s="36"/>
      <c r="D310" s="37"/>
      <c r="E310" s="38"/>
      <c r="F310" s="39"/>
      <c r="G310" s="17"/>
      <c r="H310" s="39"/>
      <c r="I310" s="34"/>
      <c r="J310" s="40"/>
      <c r="K310" s="34"/>
      <c r="L310" s="34"/>
      <c r="M310" s="40"/>
      <c r="N310" s="34"/>
      <c r="O310" s="40"/>
      <c r="P310" s="34"/>
      <c r="Q310" s="34"/>
      <c r="R310" s="40"/>
      <c r="S310" s="40"/>
      <c r="T310" s="34"/>
      <c r="U310" s="40"/>
      <c r="V310" s="34"/>
      <c r="W310" s="40"/>
      <c r="X310" s="34"/>
      <c r="Y310" s="34"/>
      <c r="Z310" s="40"/>
      <c r="AA310" s="40"/>
      <c r="AB310" s="34"/>
      <c r="AC310" s="34"/>
      <c r="AD310" s="40"/>
      <c r="AE310" s="40"/>
      <c r="AF310" s="40"/>
      <c r="AG310" s="40"/>
      <c r="AH310" s="34"/>
      <c r="AI310" s="34"/>
      <c r="AJ310" s="34"/>
      <c r="AK310" s="40"/>
      <c r="AL310" s="34"/>
      <c r="AM310" s="40"/>
      <c r="AN310" s="40"/>
      <c r="AO310" s="40"/>
      <c r="AP310" s="40"/>
      <c r="AQ310" s="40"/>
      <c r="AR310" s="40"/>
      <c r="AS310" s="40"/>
      <c r="AT310" s="40"/>
      <c r="AU310" s="40"/>
    </row>
    <row r="311" spans="1:47" ht="15.75" customHeight="1" x14ac:dyDescent="0.25">
      <c r="A311" s="34"/>
      <c r="B311" s="35"/>
      <c r="C311" s="36"/>
      <c r="D311" s="37"/>
      <c r="E311" s="38"/>
      <c r="F311" s="39"/>
      <c r="G311" s="17"/>
      <c r="H311" s="39"/>
      <c r="I311" s="34"/>
      <c r="J311" s="40"/>
      <c r="K311" s="34"/>
      <c r="L311" s="34"/>
      <c r="M311" s="40"/>
      <c r="N311" s="34"/>
      <c r="O311" s="40"/>
      <c r="P311" s="34"/>
      <c r="Q311" s="34"/>
      <c r="R311" s="40"/>
      <c r="S311" s="40"/>
      <c r="T311" s="34"/>
      <c r="U311" s="40"/>
      <c r="V311" s="34"/>
      <c r="W311" s="40"/>
      <c r="X311" s="34"/>
      <c r="Y311" s="34"/>
      <c r="Z311" s="40"/>
      <c r="AA311" s="40"/>
      <c r="AB311" s="34"/>
      <c r="AC311" s="34"/>
      <c r="AD311" s="40"/>
      <c r="AE311" s="40"/>
      <c r="AF311" s="40"/>
      <c r="AG311" s="40"/>
      <c r="AH311" s="34"/>
      <c r="AI311" s="34"/>
      <c r="AJ311" s="34"/>
      <c r="AK311" s="40"/>
      <c r="AL311" s="34"/>
      <c r="AM311" s="40"/>
      <c r="AN311" s="40"/>
      <c r="AO311" s="40"/>
      <c r="AP311" s="40"/>
      <c r="AQ311" s="40"/>
      <c r="AR311" s="40"/>
      <c r="AS311" s="40"/>
      <c r="AT311" s="40"/>
      <c r="AU311" s="40"/>
    </row>
    <row r="312" spans="1:47" ht="15.75" customHeight="1" x14ac:dyDescent="0.25">
      <c r="A312" s="34"/>
      <c r="B312" s="35"/>
      <c r="C312" s="36"/>
      <c r="D312" s="37"/>
      <c r="E312" s="38"/>
      <c r="F312" s="39"/>
      <c r="G312" s="17"/>
      <c r="H312" s="39"/>
      <c r="I312" s="34"/>
      <c r="J312" s="40"/>
      <c r="K312" s="34"/>
      <c r="L312" s="34"/>
      <c r="M312" s="40"/>
      <c r="N312" s="34"/>
      <c r="O312" s="40"/>
      <c r="P312" s="34"/>
      <c r="Q312" s="34"/>
      <c r="R312" s="40"/>
      <c r="S312" s="40"/>
      <c r="T312" s="34"/>
      <c r="U312" s="40"/>
      <c r="V312" s="34"/>
      <c r="W312" s="40"/>
      <c r="X312" s="34"/>
      <c r="Y312" s="34"/>
      <c r="Z312" s="40"/>
      <c r="AA312" s="40"/>
      <c r="AB312" s="34"/>
      <c r="AC312" s="34"/>
      <c r="AD312" s="40"/>
      <c r="AE312" s="40"/>
      <c r="AF312" s="40"/>
      <c r="AG312" s="40"/>
      <c r="AH312" s="34"/>
      <c r="AI312" s="34"/>
      <c r="AJ312" s="34"/>
      <c r="AK312" s="40"/>
      <c r="AL312" s="34"/>
      <c r="AM312" s="40"/>
      <c r="AN312" s="40"/>
      <c r="AO312" s="40"/>
      <c r="AP312" s="40"/>
      <c r="AQ312" s="40"/>
      <c r="AR312" s="40"/>
      <c r="AS312" s="40"/>
      <c r="AT312" s="40"/>
      <c r="AU312" s="40"/>
    </row>
    <row r="313" spans="1:47" ht="15.75" customHeight="1" x14ac:dyDescent="0.25">
      <c r="A313" s="34"/>
      <c r="B313" s="35"/>
      <c r="C313" s="36"/>
      <c r="D313" s="37"/>
      <c r="E313" s="38"/>
      <c r="F313" s="39"/>
      <c r="G313" s="17"/>
      <c r="H313" s="39"/>
      <c r="I313" s="34"/>
      <c r="J313" s="40"/>
      <c r="K313" s="34"/>
      <c r="L313" s="34"/>
      <c r="M313" s="40"/>
      <c r="N313" s="34"/>
      <c r="O313" s="40"/>
      <c r="P313" s="34"/>
      <c r="Q313" s="34"/>
      <c r="R313" s="40"/>
      <c r="S313" s="40"/>
      <c r="T313" s="34"/>
      <c r="U313" s="40"/>
      <c r="V313" s="34"/>
      <c r="W313" s="40"/>
      <c r="X313" s="34"/>
      <c r="Y313" s="34"/>
      <c r="Z313" s="40"/>
      <c r="AA313" s="40"/>
      <c r="AB313" s="34"/>
      <c r="AC313" s="34"/>
      <c r="AD313" s="40"/>
      <c r="AE313" s="40"/>
      <c r="AF313" s="40"/>
      <c r="AG313" s="40"/>
      <c r="AH313" s="34"/>
      <c r="AI313" s="34"/>
      <c r="AJ313" s="34"/>
      <c r="AK313" s="40"/>
      <c r="AL313" s="34"/>
      <c r="AM313" s="40"/>
      <c r="AN313" s="40"/>
      <c r="AO313" s="40"/>
      <c r="AP313" s="40"/>
      <c r="AQ313" s="40"/>
      <c r="AR313" s="40"/>
      <c r="AS313" s="40"/>
      <c r="AT313" s="40"/>
      <c r="AU313" s="40"/>
    </row>
    <row r="314" spans="1:47" ht="15.75" customHeight="1" x14ac:dyDescent="0.25">
      <c r="A314" s="34"/>
      <c r="B314" s="35"/>
      <c r="C314" s="36"/>
      <c r="D314" s="37"/>
      <c r="E314" s="38"/>
      <c r="F314" s="39"/>
      <c r="G314" s="17"/>
      <c r="H314" s="39"/>
      <c r="I314" s="34"/>
      <c r="J314" s="40"/>
      <c r="K314" s="34"/>
      <c r="L314" s="34"/>
      <c r="M314" s="40"/>
      <c r="N314" s="34"/>
      <c r="O314" s="40"/>
      <c r="P314" s="34"/>
      <c r="Q314" s="34"/>
      <c r="R314" s="40"/>
      <c r="S314" s="40"/>
      <c r="T314" s="34"/>
      <c r="U314" s="40"/>
      <c r="V314" s="34"/>
      <c r="W314" s="40"/>
      <c r="X314" s="34"/>
      <c r="Y314" s="34"/>
      <c r="Z314" s="40"/>
      <c r="AA314" s="40"/>
      <c r="AB314" s="34"/>
      <c r="AC314" s="34"/>
      <c r="AD314" s="40"/>
      <c r="AE314" s="40"/>
      <c r="AF314" s="40"/>
      <c r="AG314" s="40"/>
      <c r="AH314" s="34"/>
      <c r="AI314" s="34"/>
      <c r="AJ314" s="34"/>
      <c r="AK314" s="40"/>
      <c r="AL314" s="34"/>
      <c r="AM314" s="40"/>
      <c r="AN314" s="40"/>
      <c r="AO314" s="40"/>
      <c r="AP314" s="40"/>
      <c r="AQ314" s="40"/>
      <c r="AR314" s="40"/>
      <c r="AS314" s="40"/>
      <c r="AT314" s="40"/>
      <c r="AU314" s="40"/>
    </row>
    <row r="315" spans="1:47" ht="15.75" customHeight="1" x14ac:dyDescent="0.25">
      <c r="A315" s="34"/>
      <c r="B315" s="35"/>
      <c r="C315" s="36"/>
      <c r="D315" s="37"/>
      <c r="E315" s="38"/>
      <c r="F315" s="39"/>
      <c r="G315" s="17"/>
      <c r="H315" s="39"/>
      <c r="I315" s="34"/>
      <c r="J315" s="40"/>
      <c r="K315" s="34"/>
      <c r="L315" s="34"/>
      <c r="M315" s="40"/>
      <c r="N315" s="34"/>
      <c r="O315" s="40"/>
      <c r="P315" s="34"/>
      <c r="Q315" s="34"/>
      <c r="R315" s="40"/>
      <c r="S315" s="40"/>
      <c r="T315" s="34"/>
      <c r="U315" s="40"/>
      <c r="V315" s="34"/>
      <c r="W315" s="40"/>
      <c r="X315" s="34"/>
      <c r="Y315" s="34"/>
      <c r="Z315" s="40"/>
      <c r="AA315" s="40"/>
      <c r="AB315" s="34"/>
      <c r="AC315" s="34"/>
      <c r="AD315" s="40"/>
      <c r="AE315" s="40"/>
      <c r="AF315" s="40"/>
      <c r="AG315" s="40"/>
      <c r="AH315" s="34"/>
      <c r="AI315" s="34"/>
      <c r="AJ315" s="34"/>
      <c r="AK315" s="40"/>
      <c r="AL315" s="34"/>
      <c r="AM315" s="40"/>
      <c r="AN315" s="40"/>
      <c r="AO315" s="40"/>
      <c r="AP315" s="40"/>
      <c r="AQ315" s="40"/>
      <c r="AR315" s="40"/>
      <c r="AS315" s="40"/>
      <c r="AT315" s="40"/>
      <c r="AU315" s="40"/>
    </row>
    <row r="316" spans="1:47" ht="15.75" customHeight="1" x14ac:dyDescent="0.25">
      <c r="A316" s="34"/>
      <c r="B316" s="35"/>
      <c r="C316" s="36"/>
      <c r="D316" s="37"/>
      <c r="E316" s="38"/>
      <c r="F316" s="39"/>
      <c r="G316" s="17"/>
      <c r="H316" s="39"/>
      <c r="I316" s="34"/>
      <c r="J316" s="40"/>
      <c r="K316" s="34"/>
      <c r="L316" s="34"/>
      <c r="M316" s="40"/>
      <c r="N316" s="34"/>
      <c r="O316" s="40"/>
      <c r="P316" s="34"/>
      <c r="Q316" s="34"/>
      <c r="R316" s="40"/>
      <c r="S316" s="40"/>
      <c r="T316" s="34"/>
      <c r="U316" s="40"/>
      <c r="V316" s="34"/>
      <c r="W316" s="40"/>
      <c r="X316" s="34"/>
      <c r="Y316" s="34"/>
      <c r="Z316" s="40"/>
      <c r="AA316" s="40"/>
      <c r="AB316" s="34"/>
      <c r="AC316" s="34"/>
      <c r="AD316" s="40"/>
      <c r="AE316" s="40"/>
      <c r="AF316" s="40"/>
      <c r="AG316" s="40"/>
      <c r="AH316" s="34"/>
      <c r="AI316" s="34"/>
      <c r="AJ316" s="34"/>
      <c r="AK316" s="40"/>
      <c r="AL316" s="34"/>
      <c r="AM316" s="40"/>
      <c r="AN316" s="40"/>
      <c r="AO316" s="40"/>
      <c r="AP316" s="40"/>
      <c r="AQ316" s="40"/>
      <c r="AR316" s="40"/>
      <c r="AS316" s="40"/>
      <c r="AT316" s="40"/>
      <c r="AU316" s="40"/>
    </row>
    <row r="317" spans="1:47" ht="15.75" customHeight="1" x14ac:dyDescent="0.25">
      <c r="A317" s="34"/>
      <c r="B317" s="35"/>
      <c r="C317" s="36"/>
      <c r="D317" s="37"/>
      <c r="E317" s="38"/>
      <c r="F317" s="39"/>
      <c r="G317" s="17"/>
      <c r="H317" s="39"/>
      <c r="I317" s="34"/>
      <c r="J317" s="40"/>
      <c r="K317" s="34"/>
      <c r="L317" s="34"/>
      <c r="M317" s="40"/>
      <c r="N317" s="34"/>
      <c r="O317" s="40"/>
      <c r="P317" s="34"/>
      <c r="Q317" s="34"/>
      <c r="R317" s="40"/>
      <c r="S317" s="40"/>
      <c r="T317" s="34"/>
      <c r="U317" s="40"/>
      <c r="V317" s="34"/>
      <c r="W317" s="40"/>
      <c r="X317" s="34"/>
      <c r="Y317" s="34"/>
      <c r="Z317" s="40"/>
      <c r="AA317" s="40"/>
      <c r="AB317" s="34"/>
      <c r="AC317" s="34"/>
      <c r="AD317" s="40"/>
      <c r="AE317" s="40"/>
      <c r="AF317" s="40"/>
      <c r="AG317" s="40"/>
      <c r="AH317" s="34"/>
      <c r="AI317" s="34"/>
      <c r="AJ317" s="34"/>
      <c r="AK317" s="40"/>
      <c r="AL317" s="34"/>
      <c r="AM317" s="40"/>
      <c r="AN317" s="40"/>
      <c r="AO317" s="40"/>
      <c r="AP317" s="40"/>
      <c r="AQ317" s="40"/>
      <c r="AR317" s="40"/>
      <c r="AS317" s="40"/>
      <c r="AT317" s="40"/>
      <c r="AU317" s="40"/>
    </row>
    <row r="318" spans="1:47" ht="15.75" customHeight="1" x14ac:dyDescent="0.25">
      <c r="A318" s="34"/>
      <c r="B318" s="35"/>
      <c r="C318" s="36"/>
      <c r="D318" s="37"/>
      <c r="E318" s="38"/>
      <c r="F318" s="39"/>
      <c r="G318" s="17"/>
      <c r="H318" s="39"/>
      <c r="I318" s="34"/>
      <c r="J318" s="40"/>
      <c r="K318" s="34"/>
      <c r="L318" s="34"/>
      <c r="M318" s="40"/>
      <c r="N318" s="34"/>
      <c r="O318" s="40"/>
      <c r="P318" s="34"/>
      <c r="Q318" s="34"/>
      <c r="R318" s="40"/>
      <c r="S318" s="40"/>
      <c r="T318" s="34"/>
      <c r="U318" s="40"/>
      <c r="V318" s="34"/>
      <c r="W318" s="40"/>
      <c r="X318" s="34"/>
      <c r="Y318" s="34"/>
      <c r="Z318" s="40"/>
      <c r="AA318" s="40"/>
      <c r="AB318" s="34"/>
      <c r="AC318" s="34"/>
      <c r="AD318" s="40"/>
      <c r="AE318" s="40"/>
      <c r="AF318" s="40"/>
      <c r="AG318" s="40"/>
      <c r="AH318" s="34"/>
      <c r="AI318" s="34"/>
      <c r="AJ318" s="34"/>
      <c r="AK318" s="40"/>
      <c r="AL318" s="34"/>
      <c r="AM318" s="40"/>
      <c r="AN318" s="40"/>
      <c r="AO318" s="40"/>
      <c r="AP318" s="40"/>
      <c r="AQ318" s="40"/>
      <c r="AR318" s="40"/>
      <c r="AS318" s="40"/>
      <c r="AT318" s="40"/>
      <c r="AU318" s="40"/>
    </row>
    <row r="319" spans="1:47" ht="15.75" customHeight="1" x14ac:dyDescent="0.25">
      <c r="A319" s="34"/>
      <c r="B319" s="35"/>
      <c r="C319" s="36"/>
      <c r="D319" s="37"/>
      <c r="E319" s="38"/>
      <c r="F319" s="39"/>
      <c r="G319" s="17"/>
      <c r="H319" s="39"/>
      <c r="I319" s="34"/>
      <c r="J319" s="40"/>
      <c r="K319" s="34"/>
      <c r="L319" s="34"/>
      <c r="M319" s="40"/>
      <c r="N319" s="34"/>
      <c r="O319" s="40"/>
      <c r="P319" s="34"/>
      <c r="Q319" s="34"/>
      <c r="R319" s="40"/>
      <c r="S319" s="40"/>
      <c r="T319" s="34"/>
      <c r="U319" s="40"/>
      <c r="V319" s="34"/>
      <c r="W319" s="40"/>
      <c r="X319" s="34"/>
      <c r="Y319" s="34"/>
      <c r="Z319" s="40"/>
      <c r="AA319" s="40"/>
      <c r="AB319" s="34"/>
      <c r="AC319" s="34"/>
      <c r="AD319" s="40"/>
      <c r="AE319" s="40"/>
      <c r="AF319" s="40"/>
      <c r="AG319" s="40"/>
      <c r="AH319" s="34"/>
      <c r="AI319" s="34"/>
      <c r="AJ319" s="34"/>
      <c r="AK319" s="40"/>
      <c r="AL319" s="34"/>
      <c r="AM319" s="40"/>
      <c r="AN319" s="40"/>
      <c r="AO319" s="40"/>
      <c r="AP319" s="40"/>
      <c r="AQ319" s="40"/>
      <c r="AR319" s="40"/>
      <c r="AS319" s="40"/>
      <c r="AT319" s="40"/>
      <c r="AU319" s="40"/>
    </row>
    <row r="320" spans="1:47" ht="15.75" customHeight="1" x14ac:dyDescent="0.25">
      <c r="A320" s="34"/>
      <c r="B320" s="35"/>
      <c r="C320" s="36"/>
      <c r="D320" s="37"/>
      <c r="E320" s="38"/>
      <c r="F320" s="39"/>
      <c r="G320" s="17"/>
      <c r="H320" s="39"/>
      <c r="I320" s="34"/>
      <c r="J320" s="40"/>
      <c r="K320" s="34"/>
      <c r="L320" s="34"/>
      <c r="M320" s="40"/>
      <c r="N320" s="34"/>
      <c r="O320" s="40"/>
      <c r="P320" s="34"/>
      <c r="Q320" s="34"/>
      <c r="R320" s="40"/>
      <c r="S320" s="40"/>
      <c r="T320" s="34"/>
      <c r="U320" s="40"/>
      <c r="V320" s="34"/>
      <c r="W320" s="40"/>
      <c r="X320" s="34"/>
      <c r="Y320" s="34"/>
      <c r="Z320" s="40"/>
      <c r="AA320" s="40"/>
      <c r="AB320" s="34"/>
      <c r="AC320" s="34"/>
      <c r="AD320" s="40"/>
      <c r="AE320" s="40"/>
      <c r="AF320" s="40"/>
      <c r="AG320" s="40"/>
      <c r="AH320" s="34"/>
      <c r="AI320" s="34"/>
      <c r="AJ320" s="34"/>
      <c r="AK320" s="40"/>
      <c r="AL320" s="34"/>
      <c r="AM320" s="40"/>
      <c r="AN320" s="40"/>
      <c r="AO320" s="40"/>
      <c r="AP320" s="40"/>
      <c r="AQ320" s="40"/>
      <c r="AR320" s="40"/>
      <c r="AS320" s="40"/>
      <c r="AT320" s="40"/>
      <c r="AU320" s="40"/>
    </row>
    <row r="321" spans="1:47" ht="15.75" customHeight="1" x14ac:dyDescent="0.25">
      <c r="A321" s="34"/>
      <c r="B321" s="35"/>
      <c r="C321" s="36"/>
      <c r="D321" s="37"/>
      <c r="E321" s="38"/>
      <c r="F321" s="39"/>
      <c r="G321" s="17"/>
      <c r="H321" s="39"/>
      <c r="I321" s="34"/>
      <c r="J321" s="40"/>
      <c r="K321" s="34"/>
      <c r="L321" s="34"/>
      <c r="M321" s="40"/>
      <c r="N321" s="34"/>
      <c r="O321" s="40"/>
      <c r="P321" s="34"/>
      <c r="Q321" s="34"/>
      <c r="R321" s="40"/>
      <c r="S321" s="40"/>
      <c r="T321" s="34"/>
      <c r="U321" s="40"/>
      <c r="V321" s="34"/>
      <c r="W321" s="40"/>
      <c r="X321" s="34"/>
      <c r="Y321" s="34"/>
      <c r="Z321" s="40"/>
      <c r="AA321" s="40"/>
      <c r="AB321" s="34"/>
      <c r="AC321" s="34"/>
      <c r="AD321" s="40"/>
      <c r="AE321" s="40"/>
      <c r="AF321" s="40"/>
      <c r="AG321" s="40"/>
      <c r="AH321" s="34"/>
      <c r="AI321" s="34"/>
      <c r="AJ321" s="34"/>
      <c r="AK321" s="40"/>
      <c r="AL321" s="34"/>
      <c r="AM321" s="40"/>
      <c r="AN321" s="40"/>
      <c r="AO321" s="40"/>
      <c r="AP321" s="40"/>
      <c r="AQ321" s="40"/>
      <c r="AR321" s="40"/>
      <c r="AS321" s="40"/>
      <c r="AT321" s="40"/>
      <c r="AU321" s="40"/>
    </row>
    <row r="322" spans="1:47" ht="15.75" customHeight="1" x14ac:dyDescent="0.25">
      <c r="A322" s="34"/>
      <c r="B322" s="35"/>
      <c r="C322" s="36"/>
      <c r="D322" s="37"/>
      <c r="E322" s="38"/>
      <c r="F322" s="39"/>
      <c r="G322" s="17"/>
      <c r="H322" s="39"/>
      <c r="I322" s="34"/>
      <c r="J322" s="40"/>
      <c r="K322" s="34"/>
      <c r="L322" s="34"/>
      <c r="M322" s="40"/>
      <c r="N322" s="34"/>
      <c r="O322" s="40"/>
      <c r="P322" s="34"/>
      <c r="Q322" s="34"/>
      <c r="R322" s="40"/>
      <c r="S322" s="40"/>
      <c r="T322" s="34"/>
      <c r="U322" s="40"/>
      <c r="V322" s="34"/>
      <c r="W322" s="40"/>
      <c r="X322" s="34"/>
      <c r="Y322" s="34"/>
      <c r="Z322" s="40"/>
      <c r="AA322" s="40"/>
      <c r="AB322" s="34"/>
      <c r="AC322" s="34"/>
      <c r="AD322" s="40"/>
      <c r="AE322" s="40"/>
      <c r="AF322" s="40"/>
      <c r="AG322" s="40"/>
      <c r="AH322" s="34"/>
      <c r="AI322" s="34"/>
      <c r="AJ322" s="34"/>
      <c r="AK322" s="40"/>
      <c r="AL322" s="34"/>
      <c r="AM322" s="40"/>
      <c r="AN322" s="40"/>
      <c r="AO322" s="40"/>
      <c r="AP322" s="40"/>
      <c r="AQ322" s="40"/>
      <c r="AR322" s="40"/>
      <c r="AS322" s="40"/>
      <c r="AT322" s="40"/>
      <c r="AU322" s="40"/>
    </row>
    <row r="323" spans="1:47" ht="15.75" customHeight="1" x14ac:dyDescent="0.25">
      <c r="A323" s="34"/>
      <c r="B323" s="35"/>
      <c r="C323" s="36"/>
      <c r="D323" s="37"/>
      <c r="E323" s="38"/>
      <c r="F323" s="39"/>
      <c r="G323" s="17"/>
      <c r="H323" s="39"/>
      <c r="I323" s="34"/>
      <c r="J323" s="40"/>
      <c r="K323" s="34"/>
      <c r="L323" s="34"/>
      <c r="M323" s="40"/>
      <c r="N323" s="34"/>
      <c r="O323" s="40"/>
      <c r="P323" s="34"/>
      <c r="Q323" s="34"/>
      <c r="R323" s="40"/>
      <c r="S323" s="40"/>
      <c r="T323" s="34"/>
      <c r="U323" s="40"/>
      <c r="V323" s="34"/>
      <c r="W323" s="40"/>
      <c r="X323" s="34"/>
      <c r="Y323" s="34"/>
      <c r="Z323" s="40"/>
      <c r="AA323" s="40"/>
      <c r="AB323" s="34"/>
      <c r="AC323" s="34"/>
      <c r="AD323" s="40"/>
      <c r="AE323" s="40"/>
      <c r="AF323" s="40"/>
      <c r="AG323" s="40"/>
      <c r="AH323" s="34"/>
      <c r="AI323" s="34"/>
      <c r="AJ323" s="34"/>
      <c r="AK323" s="40"/>
      <c r="AL323" s="34"/>
      <c r="AM323" s="40"/>
      <c r="AN323" s="40"/>
      <c r="AO323" s="40"/>
      <c r="AP323" s="40"/>
      <c r="AQ323" s="40"/>
      <c r="AR323" s="40"/>
      <c r="AS323" s="40"/>
      <c r="AT323" s="40"/>
      <c r="AU323" s="40"/>
    </row>
    <row r="324" spans="1:47" ht="15.75" customHeight="1" x14ac:dyDescent="0.25">
      <c r="A324" s="34"/>
      <c r="B324" s="35"/>
      <c r="C324" s="36"/>
      <c r="D324" s="37"/>
      <c r="E324" s="38"/>
      <c r="F324" s="39"/>
      <c r="G324" s="17"/>
      <c r="H324" s="39"/>
      <c r="I324" s="34"/>
      <c r="J324" s="40"/>
      <c r="K324" s="34"/>
      <c r="L324" s="34"/>
      <c r="M324" s="40"/>
      <c r="N324" s="34"/>
      <c r="O324" s="40"/>
      <c r="P324" s="34"/>
      <c r="Q324" s="34"/>
      <c r="R324" s="40"/>
      <c r="S324" s="40"/>
      <c r="T324" s="34"/>
      <c r="U324" s="40"/>
      <c r="V324" s="34"/>
      <c r="W324" s="40"/>
      <c r="X324" s="34"/>
      <c r="Y324" s="34"/>
      <c r="Z324" s="40"/>
      <c r="AA324" s="40"/>
      <c r="AB324" s="34"/>
      <c r="AC324" s="34"/>
      <c r="AD324" s="40"/>
      <c r="AE324" s="40"/>
      <c r="AF324" s="40"/>
      <c r="AG324" s="40"/>
      <c r="AH324" s="34"/>
      <c r="AI324" s="34"/>
      <c r="AJ324" s="34"/>
      <c r="AK324" s="40"/>
      <c r="AL324" s="34"/>
      <c r="AM324" s="40"/>
      <c r="AN324" s="40"/>
      <c r="AO324" s="40"/>
      <c r="AP324" s="40"/>
      <c r="AQ324" s="40"/>
      <c r="AR324" s="40"/>
      <c r="AS324" s="40"/>
      <c r="AT324" s="40"/>
      <c r="AU324" s="40"/>
    </row>
    <row r="325" spans="1:47" ht="15.75" customHeight="1" x14ac:dyDescent="0.25">
      <c r="A325" s="34"/>
      <c r="B325" s="35"/>
      <c r="C325" s="36"/>
      <c r="D325" s="37"/>
      <c r="E325" s="38"/>
      <c r="F325" s="39"/>
      <c r="G325" s="17"/>
      <c r="H325" s="39"/>
      <c r="I325" s="34"/>
      <c r="J325" s="40"/>
      <c r="K325" s="34"/>
      <c r="L325" s="34"/>
      <c r="M325" s="40"/>
      <c r="N325" s="34"/>
      <c r="O325" s="40"/>
      <c r="P325" s="34"/>
      <c r="Q325" s="34"/>
      <c r="R325" s="40"/>
      <c r="S325" s="40"/>
      <c r="T325" s="34"/>
      <c r="U325" s="40"/>
      <c r="V325" s="34"/>
      <c r="W325" s="40"/>
      <c r="X325" s="34"/>
      <c r="Y325" s="34"/>
      <c r="Z325" s="40"/>
      <c r="AA325" s="40"/>
      <c r="AB325" s="34"/>
      <c r="AC325" s="34"/>
      <c r="AD325" s="40"/>
      <c r="AE325" s="40"/>
      <c r="AF325" s="40"/>
      <c r="AG325" s="40"/>
      <c r="AH325" s="34"/>
      <c r="AI325" s="34"/>
      <c r="AJ325" s="34"/>
      <c r="AK325" s="40"/>
      <c r="AL325" s="34"/>
      <c r="AM325" s="40"/>
      <c r="AN325" s="40"/>
      <c r="AO325" s="40"/>
      <c r="AP325" s="40"/>
      <c r="AQ325" s="40"/>
      <c r="AR325" s="40"/>
      <c r="AS325" s="40"/>
      <c r="AT325" s="40"/>
      <c r="AU325" s="40"/>
    </row>
    <row r="326" spans="1:47" ht="15.75" customHeight="1" x14ac:dyDescent="0.25">
      <c r="A326" s="34"/>
      <c r="B326" s="35"/>
      <c r="C326" s="36"/>
      <c r="D326" s="37"/>
      <c r="E326" s="38"/>
      <c r="F326" s="39"/>
      <c r="G326" s="17"/>
      <c r="H326" s="39"/>
      <c r="I326" s="34"/>
      <c r="J326" s="40"/>
      <c r="K326" s="34"/>
      <c r="L326" s="34"/>
      <c r="M326" s="40"/>
      <c r="N326" s="34"/>
      <c r="O326" s="40"/>
      <c r="P326" s="34"/>
      <c r="Q326" s="34"/>
      <c r="R326" s="40"/>
      <c r="S326" s="40"/>
      <c r="T326" s="34"/>
      <c r="U326" s="40"/>
      <c r="V326" s="34"/>
      <c r="W326" s="40"/>
      <c r="X326" s="34"/>
      <c r="Y326" s="34"/>
      <c r="Z326" s="40"/>
      <c r="AA326" s="40"/>
      <c r="AB326" s="34"/>
      <c r="AC326" s="34"/>
      <c r="AD326" s="40"/>
      <c r="AE326" s="40"/>
      <c r="AF326" s="40"/>
      <c r="AG326" s="40"/>
      <c r="AH326" s="34"/>
      <c r="AI326" s="34"/>
      <c r="AJ326" s="34"/>
      <c r="AK326" s="40"/>
      <c r="AL326" s="34"/>
      <c r="AM326" s="40"/>
      <c r="AN326" s="40"/>
      <c r="AO326" s="40"/>
      <c r="AP326" s="40"/>
      <c r="AQ326" s="40"/>
      <c r="AR326" s="40"/>
      <c r="AS326" s="40"/>
      <c r="AT326" s="40"/>
      <c r="AU326" s="40"/>
    </row>
    <row r="327" spans="1:47" ht="15.75" customHeight="1" x14ac:dyDescent="0.25">
      <c r="A327" s="34"/>
      <c r="B327" s="35"/>
      <c r="C327" s="36"/>
      <c r="D327" s="37"/>
      <c r="E327" s="38"/>
      <c r="F327" s="39"/>
      <c r="G327" s="17"/>
      <c r="H327" s="39"/>
      <c r="I327" s="34"/>
      <c r="J327" s="40"/>
      <c r="K327" s="34"/>
      <c r="L327" s="34"/>
      <c r="M327" s="40"/>
      <c r="N327" s="34"/>
      <c r="O327" s="40"/>
      <c r="P327" s="34"/>
      <c r="Q327" s="34"/>
      <c r="R327" s="40"/>
      <c r="S327" s="40"/>
      <c r="T327" s="34"/>
      <c r="U327" s="40"/>
      <c r="V327" s="34"/>
      <c r="W327" s="40"/>
      <c r="X327" s="34"/>
      <c r="Y327" s="34"/>
      <c r="Z327" s="40"/>
      <c r="AA327" s="40"/>
      <c r="AB327" s="34"/>
      <c r="AC327" s="34"/>
      <c r="AD327" s="40"/>
      <c r="AE327" s="40"/>
      <c r="AF327" s="40"/>
      <c r="AG327" s="40"/>
      <c r="AH327" s="34"/>
      <c r="AI327" s="34"/>
      <c r="AJ327" s="34"/>
      <c r="AK327" s="40"/>
      <c r="AL327" s="34"/>
      <c r="AM327" s="40"/>
      <c r="AN327" s="40"/>
      <c r="AO327" s="40"/>
      <c r="AP327" s="40"/>
      <c r="AQ327" s="40"/>
      <c r="AR327" s="40"/>
      <c r="AS327" s="40"/>
      <c r="AT327" s="40"/>
      <c r="AU327" s="40"/>
    </row>
    <row r="328" spans="1:47" ht="15.75" customHeight="1" x14ac:dyDescent="0.25">
      <c r="A328" s="34"/>
      <c r="B328" s="35"/>
      <c r="C328" s="36"/>
      <c r="D328" s="37"/>
      <c r="E328" s="38"/>
      <c r="F328" s="39"/>
      <c r="G328" s="17"/>
      <c r="H328" s="39"/>
      <c r="I328" s="34"/>
      <c r="J328" s="40"/>
      <c r="K328" s="34"/>
      <c r="L328" s="34"/>
      <c r="M328" s="40"/>
      <c r="N328" s="34"/>
      <c r="O328" s="40"/>
      <c r="P328" s="34"/>
      <c r="Q328" s="34"/>
      <c r="R328" s="40"/>
      <c r="S328" s="40"/>
      <c r="T328" s="34"/>
      <c r="U328" s="40"/>
      <c r="V328" s="34"/>
      <c r="W328" s="40"/>
      <c r="X328" s="34"/>
      <c r="Y328" s="34"/>
      <c r="Z328" s="40"/>
      <c r="AA328" s="40"/>
      <c r="AB328" s="34"/>
      <c r="AC328" s="34"/>
      <c r="AD328" s="40"/>
      <c r="AE328" s="40"/>
      <c r="AF328" s="40"/>
      <c r="AG328" s="40"/>
      <c r="AH328" s="34"/>
      <c r="AI328" s="34"/>
      <c r="AJ328" s="34"/>
      <c r="AK328" s="40"/>
      <c r="AL328" s="34"/>
      <c r="AM328" s="40"/>
      <c r="AN328" s="40"/>
      <c r="AO328" s="40"/>
      <c r="AP328" s="40"/>
      <c r="AQ328" s="40"/>
      <c r="AR328" s="40"/>
      <c r="AS328" s="40"/>
      <c r="AT328" s="40"/>
      <c r="AU328" s="40"/>
    </row>
    <row r="329" spans="1:47" ht="15.75" customHeight="1" x14ac:dyDescent="0.25">
      <c r="A329" s="34"/>
      <c r="B329" s="35"/>
      <c r="C329" s="36"/>
      <c r="D329" s="37"/>
      <c r="E329" s="38"/>
      <c r="F329" s="39"/>
      <c r="G329" s="17"/>
      <c r="H329" s="39"/>
      <c r="I329" s="34"/>
      <c r="J329" s="40"/>
      <c r="K329" s="34"/>
      <c r="L329" s="34"/>
      <c r="M329" s="40"/>
      <c r="N329" s="34"/>
      <c r="O329" s="40"/>
      <c r="P329" s="34"/>
      <c r="Q329" s="34"/>
      <c r="R329" s="40"/>
      <c r="S329" s="40"/>
      <c r="T329" s="34"/>
      <c r="U329" s="40"/>
      <c r="V329" s="34"/>
      <c r="W329" s="40"/>
      <c r="X329" s="34"/>
      <c r="Y329" s="34"/>
      <c r="Z329" s="40"/>
      <c r="AA329" s="40"/>
      <c r="AB329" s="34"/>
      <c r="AC329" s="34"/>
      <c r="AD329" s="40"/>
      <c r="AE329" s="40"/>
      <c r="AF329" s="40"/>
      <c r="AG329" s="40"/>
      <c r="AH329" s="34"/>
      <c r="AI329" s="34"/>
      <c r="AJ329" s="34"/>
      <c r="AK329" s="40"/>
      <c r="AL329" s="34"/>
      <c r="AM329" s="40"/>
      <c r="AN329" s="40"/>
      <c r="AO329" s="40"/>
      <c r="AP329" s="40"/>
      <c r="AQ329" s="40"/>
      <c r="AR329" s="40"/>
      <c r="AS329" s="40"/>
      <c r="AT329" s="40"/>
      <c r="AU329" s="40"/>
    </row>
    <row r="330" spans="1:47" ht="15.75" customHeight="1" x14ac:dyDescent="0.25">
      <c r="A330" s="34"/>
      <c r="B330" s="35"/>
      <c r="C330" s="36"/>
      <c r="D330" s="37"/>
      <c r="E330" s="38"/>
      <c r="F330" s="39"/>
      <c r="G330" s="17"/>
      <c r="H330" s="39"/>
      <c r="I330" s="34"/>
      <c r="J330" s="40"/>
      <c r="K330" s="34"/>
      <c r="L330" s="34"/>
      <c r="M330" s="40"/>
      <c r="N330" s="34"/>
      <c r="O330" s="40"/>
      <c r="P330" s="34"/>
      <c r="Q330" s="34"/>
      <c r="R330" s="40"/>
      <c r="S330" s="40"/>
      <c r="T330" s="34"/>
      <c r="U330" s="40"/>
      <c r="V330" s="34"/>
      <c r="W330" s="40"/>
      <c r="X330" s="34"/>
      <c r="Y330" s="34"/>
      <c r="Z330" s="40"/>
      <c r="AA330" s="40"/>
      <c r="AB330" s="34"/>
      <c r="AC330" s="34"/>
      <c r="AD330" s="40"/>
      <c r="AE330" s="40"/>
      <c r="AF330" s="40"/>
      <c r="AG330" s="40"/>
      <c r="AH330" s="34"/>
      <c r="AI330" s="34"/>
      <c r="AJ330" s="34"/>
      <c r="AK330" s="40"/>
      <c r="AL330" s="34"/>
      <c r="AM330" s="40"/>
      <c r="AN330" s="40"/>
      <c r="AO330" s="40"/>
      <c r="AP330" s="40"/>
      <c r="AQ330" s="40"/>
      <c r="AR330" s="40"/>
      <c r="AS330" s="40"/>
      <c r="AT330" s="40"/>
      <c r="AU330" s="40"/>
    </row>
    <row r="331" spans="1:47" ht="15.75" customHeight="1" x14ac:dyDescent="0.25">
      <c r="A331" s="34"/>
      <c r="B331" s="35"/>
      <c r="C331" s="36"/>
      <c r="D331" s="37"/>
      <c r="E331" s="38"/>
      <c r="F331" s="39"/>
      <c r="G331" s="17"/>
      <c r="H331" s="39"/>
      <c r="I331" s="34"/>
      <c r="J331" s="40"/>
      <c r="K331" s="34"/>
      <c r="L331" s="34"/>
      <c r="M331" s="40"/>
      <c r="N331" s="34"/>
      <c r="O331" s="40"/>
      <c r="P331" s="34"/>
      <c r="Q331" s="34"/>
      <c r="R331" s="40"/>
      <c r="S331" s="40"/>
      <c r="T331" s="34"/>
      <c r="U331" s="40"/>
      <c r="V331" s="34"/>
      <c r="W331" s="40"/>
      <c r="X331" s="34"/>
      <c r="Y331" s="34"/>
      <c r="Z331" s="40"/>
      <c r="AA331" s="40"/>
      <c r="AB331" s="34"/>
      <c r="AC331" s="34"/>
      <c r="AD331" s="40"/>
      <c r="AE331" s="40"/>
      <c r="AF331" s="40"/>
      <c r="AG331" s="40"/>
      <c r="AH331" s="34"/>
      <c r="AI331" s="34"/>
      <c r="AJ331" s="34"/>
      <c r="AK331" s="40"/>
      <c r="AL331" s="34"/>
      <c r="AM331" s="40"/>
      <c r="AN331" s="40"/>
      <c r="AO331" s="40"/>
      <c r="AP331" s="40"/>
      <c r="AQ331" s="40"/>
      <c r="AR331" s="40"/>
      <c r="AS331" s="40"/>
      <c r="AT331" s="40"/>
      <c r="AU331" s="40"/>
    </row>
    <row r="332" spans="1:47" ht="15.75" customHeight="1" x14ac:dyDescent="0.25">
      <c r="A332" s="34"/>
      <c r="B332" s="35"/>
      <c r="C332" s="36"/>
      <c r="D332" s="37"/>
      <c r="E332" s="38"/>
      <c r="F332" s="39"/>
      <c r="G332" s="17"/>
      <c r="H332" s="39"/>
      <c r="I332" s="34"/>
      <c r="J332" s="40"/>
      <c r="K332" s="34"/>
      <c r="L332" s="34"/>
      <c r="M332" s="40"/>
      <c r="N332" s="34"/>
      <c r="O332" s="40"/>
      <c r="P332" s="34"/>
      <c r="Q332" s="34"/>
      <c r="R332" s="40"/>
      <c r="S332" s="40"/>
      <c r="T332" s="34"/>
      <c r="U332" s="40"/>
      <c r="V332" s="34"/>
      <c r="W332" s="40"/>
      <c r="X332" s="34"/>
      <c r="Y332" s="34"/>
      <c r="Z332" s="40"/>
      <c r="AA332" s="40"/>
      <c r="AB332" s="34"/>
      <c r="AC332" s="34"/>
      <c r="AD332" s="40"/>
      <c r="AE332" s="40"/>
      <c r="AF332" s="40"/>
      <c r="AG332" s="40"/>
      <c r="AH332" s="34"/>
      <c r="AI332" s="34"/>
      <c r="AJ332" s="34"/>
      <c r="AK332" s="40"/>
      <c r="AL332" s="34"/>
      <c r="AM332" s="40"/>
      <c r="AN332" s="40"/>
      <c r="AO332" s="40"/>
      <c r="AP332" s="40"/>
      <c r="AQ332" s="40"/>
      <c r="AR332" s="40"/>
      <c r="AS332" s="40"/>
      <c r="AT332" s="40"/>
      <c r="AU332" s="40"/>
    </row>
    <row r="333" spans="1:47" ht="15.75" customHeight="1" x14ac:dyDescent="0.25">
      <c r="A333" s="34"/>
      <c r="B333" s="35"/>
      <c r="C333" s="36"/>
      <c r="D333" s="37"/>
      <c r="E333" s="38"/>
      <c r="F333" s="39"/>
      <c r="G333" s="17"/>
      <c r="H333" s="39"/>
      <c r="I333" s="34"/>
      <c r="J333" s="40"/>
      <c r="K333" s="34"/>
      <c r="L333" s="34"/>
      <c r="M333" s="40"/>
      <c r="N333" s="34"/>
      <c r="O333" s="40"/>
      <c r="P333" s="34"/>
      <c r="Q333" s="34"/>
      <c r="R333" s="40"/>
      <c r="S333" s="40"/>
      <c r="T333" s="34"/>
      <c r="U333" s="40"/>
      <c r="V333" s="34"/>
      <c r="W333" s="40"/>
      <c r="X333" s="34"/>
      <c r="Y333" s="34"/>
      <c r="Z333" s="40"/>
      <c r="AA333" s="40"/>
      <c r="AB333" s="34"/>
      <c r="AC333" s="34"/>
      <c r="AD333" s="40"/>
      <c r="AE333" s="40"/>
      <c r="AF333" s="40"/>
      <c r="AG333" s="40"/>
      <c r="AH333" s="34"/>
      <c r="AI333" s="34"/>
      <c r="AJ333" s="34"/>
      <c r="AK333" s="40"/>
      <c r="AL333" s="34"/>
      <c r="AM333" s="40"/>
      <c r="AN333" s="40"/>
      <c r="AO333" s="40"/>
      <c r="AP333" s="40"/>
      <c r="AQ333" s="40"/>
      <c r="AR333" s="40"/>
      <c r="AS333" s="40"/>
      <c r="AT333" s="40"/>
      <c r="AU333" s="40"/>
    </row>
    <row r="334" spans="1:47" ht="15.75" customHeight="1" x14ac:dyDescent="0.25">
      <c r="A334" s="34"/>
      <c r="B334" s="35"/>
      <c r="C334" s="36"/>
      <c r="D334" s="37"/>
      <c r="E334" s="38"/>
      <c r="F334" s="39"/>
      <c r="G334" s="17"/>
      <c r="H334" s="39"/>
      <c r="I334" s="34"/>
      <c r="J334" s="40"/>
      <c r="K334" s="34"/>
      <c r="L334" s="34"/>
      <c r="M334" s="40"/>
      <c r="N334" s="34"/>
      <c r="O334" s="40"/>
      <c r="P334" s="34"/>
      <c r="Q334" s="34"/>
      <c r="R334" s="40"/>
      <c r="S334" s="40"/>
      <c r="T334" s="34"/>
      <c r="U334" s="40"/>
      <c r="V334" s="34"/>
      <c r="W334" s="40"/>
      <c r="X334" s="34"/>
      <c r="Y334" s="34"/>
      <c r="Z334" s="40"/>
      <c r="AA334" s="40"/>
      <c r="AB334" s="34"/>
      <c r="AC334" s="34"/>
      <c r="AD334" s="40"/>
      <c r="AE334" s="40"/>
      <c r="AF334" s="40"/>
      <c r="AG334" s="40"/>
      <c r="AH334" s="34"/>
      <c r="AI334" s="34"/>
      <c r="AJ334" s="34"/>
      <c r="AK334" s="40"/>
      <c r="AL334" s="34"/>
      <c r="AM334" s="40"/>
      <c r="AN334" s="40"/>
      <c r="AO334" s="40"/>
      <c r="AP334" s="40"/>
      <c r="AQ334" s="40"/>
      <c r="AR334" s="40"/>
      <c r="AS334" s="40"/>
      <c r="AT334" s="40"/>
      <c r="AU334" s="40"/>
    </row>
    <row r="335" spans="1:47" ht="15.75" customHeight="1" x14ac:dyDescent="0.25">
      <c r="A335" s="34"/>
      <c r="B335" s="35"/>
      <c r="C335" s="36"/>
      <c r="D335" s="37"/>
      <c r="E335" s="38"/>
      <c r="F335" s="39"/>
      <c r="G335" s="17"/>
      <c r="H335" s="39"/>
      <c r="I335" s="34"/>
      <c r="J335" s="40"/>
      <c r="K335" s="34"/>
      <c r="L335" s="34"/>
      <c r="M335" s="40"/>
      <c r="N335" s="34"/>
      <c r="O335" s="40"/>
      <c r="P335" s="34"/>
      <c r="Q335" s="34"/>
      <c r="R335" s="40"/>
      <c r="S335" s="40"/>
      <c r="T335" s="34"/>
      <c r="U335" s="40"/>
      <c r="V335" s="34"/>
      <c r="W335" s="40"/>
      <c r="X335" s="34"/>
      <c r="Y335" s="34"/>
      <c r="Z335" s="40"/>
      <c r="AA335" s="40"/>
      <c r="AB335" s="34"/>
      <c r="AC335" s="34"/>
      <c r="AD335" s="40"/>
      <c r="AE335" s="40"/>
      <c r="AF335" s="40"/>
      <c r="AG335" s="40"/>
      <c r="AH335" s="34"/>
      <c r="AI335" s="34"/>
      <c r="AJ335" s="34"/>
      <c r="AK335" s="40"/>
      <c r="AL335" s="34"/>
      <c r="AM335" s="40"/>
      <c r="AN335" s="40"/>
      <c r="AO335" s="40"/>
      <c r="AP335" s="40"/>
      <c r="AQ335" s="40"/>
      <c r="AR335" s="40"/>
      <c r="AS335" s="40"/>
      <c r="AT335" s="40"/>
      <c r="AU335" s="40"/>
    </row>
    <row r="336" spans="1:47" ht="15.75" customHeight="1" x14ac:dyDescent="0.25">
      <c r="A336" s="34"/>
      <c r="B336" s="35"/>
      <c r="C336" s="36"/>
      <c r="D336" s="37"/>
      <c r="E336" s="38"/>
      <c r="F336" s="39"/>
      <c r="G336" s="17"/>
      <c r="H336" s="39"/>
      <c r="I336" s="34"/>
      <c r="J336" s="40"/>
      <c r="K336" s="34"/>
      <c r="L336" s="34"/>
      <c r="M336" s="40"/>
      <c r="N336" s="34"/>
      <c r="O336" s="40"/>
      <c r="P336" s="34"/>
      <c r="Q336" s="34"/>
      <c r="R336" s="40"/>
      <c r="S336" s="40"/>
      <c r="T336" s="34"/>
      <c r="U336" s="40"/>
      <c r="V336" s="34"/>
      <c r="W336" s="40"/>
      <c r="X336" s="34"/>
      <c r="Y336" s="34"/>
      <c r="Z336" s="40"/>
      <c r="AA336" s="40"/>
      <c r="AB336" s="34"/>
      <c r="AC336" s="34"/>
      <c r="AD336" s="40"/>
      <c r="AE336" s="40"/>
      <c r="AF336" s="40"/>
      <c r="AG336" s="40"/>
      <c r="AH336" s="34"/>
      <c r="AI336" s="34"/>
      <c r="AJ336" s="34"/>
      <c r="AK336" s="40"/>
      <c r="AL336" s="34"/>
      <c r="AM336" s="40"/>
      <c r="AN336" s="40"/>
      <c r="AO336" s="40"/>
      <c r="AP336" s="40"/>
      <c r="AQ336" s="40"/>
      <c r="AR336" s="40"/>
      <c r="AS336" s="40"/>
      <c r="AT336" s="40"/>
      <c r="AU336" s="40"/>
    </row>
    <row r="337" spans="1:47" ht="15.75" customHeight="1" x14ac:dyDescent="0.25">
      <c r="A337" s="34"/>
      <c r="B337" s="35"/>
      <c r="C337" s="36"/>
      <c r="D337" s="37"/>
      <c r="E337" s="38"/>
      <c r="F337" s="39"/>
      <c r="G337" s="17"/>
      <c r="H337" s="39"/>
      <c r="I337" s="34"/>
      <c r="J337" s="40"/>
      <c r="K337" s="34"/>
      <c r="L337" s="34"/>
      <c r="M337" s="40"/>
      <c r="N337" s="34"/>
      <c r="O337" s="40"/>
      <c r="P337" s="34"/>
      <c r="Q337" s="34"/>
      <c r="R337" s="40"/>
      <c r="S337" s="40"/>
      <c r="T337" s="34"/>
      <c r="U337" s="40"/>
      <c r="V337" s="34"/>
      <c r="W337" s="40"/>
      <c r="X337" s="34"/>
      <c r="Y337" s="34"/>
      <c r="Z337" s="40"/>
      <c r="AA337" s="40"/>
      <c r="AB337" s="34"/>
      <c r="AC337" s="34"/>
      <c r="AD337" s="40"/>
      <c r="AE337" s="40"/>
      <c r="AF337" s="40"/>
      <c r="AG337" s="40"/>
      <c r="AH337" s="34"/>
      <c r="AI337" s="34"/>
      <c r="AJ337" s="34"/>
      <c r="AK337" s="40"/>
      <c r="AL337" s="34"/>
      <c r="AM337" s="40"/>
      <c r="AN337" s="40"/>
      <c r="AO337" s="40"/>
      <c r="AP337" s="40"/>
      <c r="AQ337" s="40"/>
      <c r="AR337" s="40"/>
      <c r="AS337" s="40"/>
      <c r="AT337" s="40"/>
      <c r="AU337" s="40"/>
    </row>
    <row r="338" spans="1:47" ht="15.75" customHeight="1" x14ac:dyDescent="0.25">
      <c r="A338" s="34"/>
      <c r="B338" s="35"/>
      <c r="C338" s="36"/>
      <c r="D338" s="37"/>
      <c r="E338" s="38"/>
      <c r="F338" s="39"/>
      <c r="G338" s="17"/>
      <c r="H338" s="39"/>
      <c r="I338" s="34"/>
      <c r="J338" s="40"/>
      <c r="K338" s="34"/>
      <c r="L338" s="34"/>
      <c r="M338" s="40"/>
      <c r="N338" s="34"/>
      <c r="O338" s="40"/>
      <c r="P338" s="34"/>
      <c r="Q338" s="34"/>
      <c r="R338" s="40"/>
      <c r="S338" s="40"/>
      <c r="T338" s="34"/>
      <c r="U338" s="40"/>
      <c r="V338" s="34"/>
      <c r="W338" s="40"/>
      <c r="X338" s="34"/>
      <c r="Y338" s="34"/>
      <c r="Z338" s="40"/>
      <c r="AA338" s="40"/>
      <c r="AB338" s="34"/>
      <c r="AC338" s="34"/>
      <c r="AD338" s="40"/>
      <c r="AE338" s="40"/>
      <c r="AF338" s="40"/>
      <c r="AG338" s="40"/>
      <c r="AH338" s="34"/>
      <c r="AI338" s="34"/>
      <c r="AJ338" s="34"/>
      <c r="AK338" s="40"/>
      <c r="AL338" s="34"/>
      <c r="AM338" s="40"/>
      <c r="AN338" s="40"/>
      <c r="AO338" s="40"/>
      <c r="AP338" s="40"/>
      <c r="AQ338" s="40"/>
      <c r="AR338" s="40"/>
      <c r="AS338" s="40"/>
      <c r="AT338" s="40"/>
      <c r="AU338" s="40"/>
    </row>
    <row r="339" spans="1:47" ht="15.75" customHeight="1" x14ac:dyDescent="0.25">
      <c r="A339" s="34"/>
      <c r="B339" s="35"/>
      <c r="C339" s="36"/>
      <c r="D339" s="37"/>
      <c r="E339" s="38"/>
      <c r="F339" s="39"/>
      <c r="G339" s="17"/>
      <c r="H339" s="39"/>
      <c r="I339" s="34"/>
      <c r="J339" s="40"/>
      <c r="K339" s="34"/>
      <c r="L339" s="34"/>
      <c r="M339" s="40"/>
      <c r="N339" s="34"/>
      <c r="O339" s="40"/>
      <c r="P339" s="34"/>
      <c r="Q339" s="34"/>
      <c r="R339" s="40"/>
      <c r="S339" s="40"/>
      <c r="T339" s="34"/>
      <c r="U339" s="40"/>
      <c r="V339" s="34"/>
      <c r="W339" s="40"/>
      <c r="X339" s="34"/>
      <c r="Y339" s="34"/>
      <c r="Z339" s="40"/>
      <c r="AA339" s="40"/>
      <c r="AB339" s="34"/>
      <c r="AC339" s="34"/>
      <c r="AD339" s="40"/>
      <c r="AE339" s="40"/>
      <c r="AF339" s="40"/>
      <c r="AG339" s="40"/>
      <c r="AH339" s="34"/>
      <c r="AI339" s="34"/>
      <c r="AJ339" s="34"/>
      <c r="AK339" s="40"/>
      <c r="AL339" s="34"/>
      <c r="AM339" s="40"/>
      <c r="AN339" s="40"/>
      <c r="AO339" s="40"/>
      <c r="AP339" s="40"/>
      <c r="AQ339" s="40"/>
      <c r="AR339" s="40"/>
      <c r="AS339" s="40"/>
      <c r="AT339" s="40"/>
      <c r="AU339" s="40"/>
    </row>
    <row r="340" spans="1:47" ht="15.75" customHeight="1" x14ac:dyDescent="0.25">
      <c r="A340" s="34"/>
      <c r="B340" s="35"/>
      <c r="C340" s="36"/>
      <c r="D340" s="37"/>
      <c r="E340" s="38"/>
      <c r="F340" s="39"/>
      <c r="G340" s="17"/>
      <c r="H340" s="39"/>
      <c r="I340" s="34"/>
      <c r="J340" s="40"/>
      <c r="K340" s="34"/>
      <c r="L340" s="34"/>
      <c r="M340" s="40"/>
      <c r="N340" s="34"/>
      <c r="O340" s="40"/>
      <c r="P340" s="34"/>
      <c r="Q340" s="34"/>
      <c r="R340" s="40"/>
      <c r="S340" s="40"/>
      <c r="T340" s="34"/>
      <c r="U340" s="40"/>
      <c r="V340" s="34"/>
      <c r="W340" s="40"/>
      <c r="X340" s="34"/>
      <c r="Y340" s="34"/>
      <c r="Z340" s="40"/>
      <c r="AA340" s="40"/>
      <c r="AB340" s="34"/>
      <c r="AC340" s="34"/>
      <c r="AD340" s="40"/>
      <c r="AE340" s="40"/>
      <c r="AF340" s="40"/>
      <c r="AG340" s="40"/>
      <c r="AH340" s="34"/>
      <c r="AI340" s="34"/>
      <c r="AJ340" s="34"/>
      <c r="AK340" s="40"/>
      <c r="AL340" s="34"/>
      <c r="AM340" s="40"/>
      <c r="AN340" s="40"/>
      <c r="AO340" s="40"/>
      <c r="AP340" s="40"/>
      <c r="AQ340" s="40"/>
      <c r="AR340" s="40"/>
      <c r="AS340" s="40"/>
      <c r="AT340" s="40"/>
      <c r="AU340" s="40"/>
    </row>
    <row r="341" spans="1:47" ht="15.75" customHeight="1" x14ac:dyDescent="0.25">
      <c r="A341" s="34"/>
      <c r="B341" s="35"/>
      <c r="C341" s="36"/>
      <c r="D341" s="37"/>
      <c r="E341" s="38"/>
      <c r="F341" s="39"/>
      <c r="G341" s="17"/>
      <c r="H341" s="39"/>
      <c r="I341" s="34"/>
      <c r="J341" s="40"/>
      <c r="K341" s="34"/>
      <c r="L341" s="34"/>
      <c r="M341" s="40"/>
      <c r="N341" s="34"/>
      <c r="O341" s="40"/>
      <c r="P341" s="34"/>
      <c r="Q341" s="34"/>
      <c r="R341" s="40"/>
      <c r="S341" s="40"/>
      <c r="T341" s="34"/>
      <c r="U341" s="40"/>
      <c r="V341" s="34"/>
      <c r="W341" s="40"/>
      <c r="X341" s="34"/>
      <c r="Y341" s="34"/>
      <c r="Z341" s="40"/>
      <c r="AA341" s="40"/>
      <c r="AB341" s="34"/>
      <c r="AC341" s="34"/>
      <c r="AD341" s="40"/>
      <c r="AE341" s="40"/>
      <c r="AF341" s="40"/>
      <c r="AG341" s="40"/>
      <c r="AH341" s="34"/>
      <c r="AI341" s="34"/>
      <c r="AJ341" s="34"/>
      <c r="AK341" s="40"/>
      <c r="AL341" s="34"/>
      <c r="AM341" s="40"/>
      <c r="AN341" s="40"/>
      <c r="AO341" s="40"/>
      <c r="AP341" s="40"/>
      <c r="AQ341" s="40"/>
      <c r="AR341" s="40"/>
      <c r="AS341" s="40"/>
      <c r="AT341" s="40"/>
      <c r="AU341" s="40"/>
    </row>
    <row r="342" spans="1:47" ht="15.75" customHeight="1" x14ac:dyDescent="0.25">
      <c r="A342" s="34"/>
      <c r="B342" s="35"/>
      <c r="C342" s="36"/>
      <c r="D342" s="37"/>
      <c r="E342" s="38"/>
      <c r="F342" s="39"/>
      <c r="G342" s="17"/>
      <c r="H342" s="39"/>
      <c r="I342" s="34"/>
      <c r="J342" s="40"/>
      <c r="K342" s="34"/>
      <c r="L342" s="34"/>
      <c r="M342" s="40"/>
      <c r="N342" s="34"/>
      <c r="O342" s="40"/>
      <c r="P342" s="34"/>
      <c r="Q342" s="34"/>
      <c r="R342" s="40"/>
      <c r="S342" s="40"/>
      <c r="T342" s="34"/>
      <c r="U342" s="40"/>
      <c r="V342" s="34"/>
      <c r="W342" s="40"/>
      <c r="X342" s="34"/>
      <c r="Y342" s="34"/>
      <c r="Z342" s="40"/>
      <c r="AA342" s="40"/>
      <c r="AB342" s="34"/>
      <c r="AC342" s="34"/>
      <c r="AD342" s="40"/>
      <c r="AE342" s="40"/>
      <c r="AF342" s="40"/>
      <c r="AG342" s="40"/>
      <c r="AH342" s="34"/>
      <c r="AI342" s="34"/>
      <c r="AJ342" s="34"/>
      <c r="AK342" s="40"/>
      <c r="AL342" s="34"/>
      <c r="AM342" s="40"/>
      <c r="AN342" s="40"/>
      <c r="AO342" s="40"/>
      <c r="AP342" s="40"/>
      <c r="AQ342" s="40"/>
      <c r="AR342" s="40"/>
      <c r="AS342" s="40"/>
      <c r="AT342" s="40"/>
      <c r="AU342" s="40"/>
    </row>
    <row r="343" spans="1:47" ht="15.75" customHeight="1" x14ac:dyDescent="0.25">
      <c r="A343" s="34"/>
      <c r="B343" s="35"/>
      <c r="C343" s="36"/>
      <c r="D343" s="37"/>
      <c r="E343" s="38"/>
      <c r="F343" s="39"/>
      <c r="G343" s="17"/>
      <c r="H343" s="39"/>
      <c r="I343" s="34"/>
      <c r="J343" s="40"/>
      <c r="K343" s="34"/>
      <c r="L343" s="34"/>
      <c r="M343" s="40"/>
      <c r="N343" s="34"/>
      <c r="O343" s="40"/>
      <c r="P343" s="34"/>
      <c r="Q343" s="34"/>
      <c r="R343" s="40"/>
      <c r="S343" s="40"/>
      <c r="T343" s="34"/>
      <c r="U343" s="40"/>
      <c r="V343" s="34"/>
      <c r="W343" s="40"/>
      <c r="X343" s="34"/>
      <c r="Y343" s="34"/>
      <c r="Z343" s="40"/>
      <c r="AA343" s="40"/>
      <c r="AB343" s="34"/>
      <c r="AC343" s="34"/>
      <c r="AD343" s="40"/>
      <c r="AE343" s="40"/>
      <c r="AF343" s="40"/>
      <c r="AG343" s="40"/>
      <c r="AH343" s="34"/>
      <c r="AI343" s="34"/>
      <c r="AJ343" s="34"/>
      <c r="AK343" s="40"/>
      <c r="AL343" s="34"/>
      <c r="AM343" s="40"/>
      <c r="AN343" s="40"/>
      <c r="AO343" s="40"/>
      <c r="AP343" s="40"/>
      <c r="AQ343" s="40"/>
      <c r="AR343" s="40"/>
      <c r="AS343" s="40"/>
      <c r="AT343" s="40"/>
      <c r="AU343" s="40"/>
    </row>
    <row r="344" spans="1:47" ht="15.75" customHeight="1" x14ac:dyDescent="0.25">
      <c r="A344" s="34"/>
      <c r="B344" s="35"/>
      <c r="C344" s="36"/>
      <c r="D344" s="37"/>
      <c r="E344" s="38"/>
      <c r="F344" s="39"/>
      <c r="G344" s="17"/>
      <c r="H344" s="39"/>
      <c r="I344" s="34"/>
      <c r="J344" s="40"/>
      <c r="K344" s="34"/>
      <c r="L344" s="34"/>
      <c r="M344" s="40"/>
      <c r="N344" s="34"/>
      <c r="O344" s="40"/>
      <c r="P344" s="34"/>
      <c r="Q344" s="34"/>
      <c r="R344" s="40"/>
      <c r="S344" s="40"/>
      <c r="T344" s="34"/>
      <c r="U344" s="40"/>
      <c r="V344" s="34"/>
      <c r="W344" s="40"/>
      <c r="X344" s="34"/>
      <c r="Y344" s="34"/>
      <c r="Z344" s="40"/>
      <c r="AA344" s="40"/>
      <c r="AB344" s="34"/>
      <c r="AC344" s="34"/>
      <c r="AD344" s="40"/>
      <c r="AE344" s="40"/>
      <c r="AF344" s="40"/>
      <c r="AG344" s="40"/>
      <c r="AH344" s="34"/>
      <c r="AI344" s="34"/>
      <c r="AJ344" s="34"/>
      <c r="AK344" s="40"/>
      <c r="AL344" s="34"/>
      <c r="AM344" s="40"/>
      <c r="AN344" s="40"/>
      <c r="AO344" s="40"/>
      <c r="AP344" s="40"/>
      <c r="AQ344" s="40"/>
      <c r="AR344" s="40"/>
      <c r="AS344" s="40"/>
      <c r="AT344" s="40"/>
      <c r="AU344" s="40"/>
    </row>
    <row r="345" spans="1:47" ht="15.75" customHeight="1" x14ac:dyDescent="0.25">
      <c r="A345" s="34"/>
      <c r="B345" s="35"/>
      <c r="C345" s="36"/>
      <c r="D345" s="37"/>
      <c r="E345" s="38"/>
      <c r="F345" s="39"/>
      <c r="G345" s="17"/>
      <c r="H345" s="39"/>
      <c r="I345" s="34"/>
      <c r="J345" s="40"/>
      <c r="K345" s="34"/>
      <c r="L345" s="34"/>
      <c r="M345" s="40"/>
      <c r="N345" s="34"/>
      <c r="O345" s="40"/>
      <c r="P345" s="34"/>
      <c r="Q345" s="34"/>
      <c r="R345" s="40"/>
      <c r="S345" s="40"/>
      <c r="T345" s="34"/>
      <c r="U345" s="40"/>
      <c r="V345" s="34"/>
      <c r="W345" s="40"/>
      <c r="X345" s="34"/>
      <c r="Y345" s="34"/>
      <c r="Z345" s="40"/>
      <c r="AA345" s="40"/>
      <c r="AB345" s="34"/>
      <c r="AC345" s="34"/>
      <c r="AD345" s="40"/>
      <c r="AE345" s="40"/>
      <c r="AF345" s="40"/>
      <c r="AG345" s="40"/>
      <c r="AH345" s="34"/>
      <c r="AI345" s="34"/>
      <c r="AJ345" s="34"/>
      <c r="AK345" s="40"/>
      <c r="AL345" s="34"/>
      <c r="AM345" s="40"/>
      <c r="AN345" s="40"/>
      <c r="AO345" s="40"/>
      <c r="AP345" s="40"/>
      <c r="AQ345" s="40"/>
      <c r="AR345" s="40"/>
      <c r="AS345" s="40"/>
      <c r="AT345" s="40"/>
      <c r="AU345" s="40"/>
    </row>
    <row r="346" spans="1:47" ht="15.75" customHeight="1" x14ac:dyDescent="0.25">
      <c r="A346" s="34"/>
      <c r="B346" s="35"/>
      <c r="C346" s="36"/>
      <c r="D346" s="37"/>
      <c r="E346" s="38"/>
      <c r="F346" s="39"/>
      <c r="G346" s="17"/>
      <c r="H346" s="39"/>
      <c r="I346" s="34"/>
      <c r="J346" s="40"/>
      <c r="K346" s="34"/>
      <c r="L346" s="34"/>
      <c r="M346" s="40"/>
      <c r="N346" s="34"/>
      <c r="O346" s="40"/>
      <c r="P346" s="34"/>
      <c r="Q346" s="34"/>
      <c r="R346" s="40"/>
      <c r="S346" s="40"/>
      <c r="T346" s="34"/>
      <c r="U346" s="40"/>
      <c r="V346" s="34"/>
      <c r="W346" s="40"/>
      <c r="X346" s="34"/>
      <c r="Y346" s="34"/>
      <c r="Z346" s="40"/>
      <c r="AA346" s="40"/>
      <c r="AB346" s="34"/>
      <c r="AC346" s="34"/>
      <c r="AD346" s="40"/>
      <c r="AE346" s="40"/>
      <c r="AF346" s="40"/>
      <c r="AG346" s="40"/>
      <c r="AH346" s="34"/>
      <c r="AI346" s="34"/>
      <c r="AJ346" s="34"/>
      <c r="AK346" s="40"/>
      <c r="AL346" s="34"/>
      <c r="AM346" s="40"/>
      <c r="AN346" s="40"/>
      <c r="AO346" s="40"/>
      <c r="AP346" s="40"/>
      <c r="AQ346" s="40"/>
      <c r="AR346" s="40"/>
      <c r="AS346" s="40"/>
      <c r="AT346" s="40"/>
      <c r="AU346" s="40"/>
    </row>
    <row r="347" spans="1:47" ht="15.75" customHeight="1" x14ac:dyDescent="0.25">
      <c r="A347" s="34"/>
      <c r="B347" s="35"/>
      <c r="C347" s="36"/>
      <c r="D347" s="37"/>
      <c r="E347" s="38"/>
      <c r="F347" s="39"/>
      <c r="G347" s="17"/>
      <c r="H347" s="39"/>
      <c r="I347" s="34"/>
      <c r="J347" s="40"/>
      <c r="K347" s="34"/>
      <c r="L347" s="34"/>
      <c r="M347" s="40"/>
      <c r="N347" s="34"/>
      <c r="O347" s="40"/>
      <c r="P347" s="34"/>
      <c r="Q347" s="34"/>
      <c r="R347" s="40"/>
      <c r="S347" s="40"/>
      <c r="T347" s="34"/>
      <c r="U347" s="40"/>
      <c r="V347" s="34"/>
      <c r="W347" s="40"/>
      <c r="X347" s="34"/>
      <c r="Y347" s="34"/>
      <c r="Z347" s="40"/>
      <c r="AA347" s="40"/>
      <c r="AB347" s="34"/>
      <c r="AC347" s="34"/>
      <c r="AD347" s="40"/>
      <c r="AE347" s="40"/>
      <c r="AF347" s="40"/>
      <c r="AG347" s="40"/>
      <c r="AH347" s="34"/>
      <c r="AI347" s="34"/>
      <c r="AJ347" s="34"/>
      <c r="AK347" s="40"/>
      <c r="AL347" s="34"/>
      <c r="AM347" s="40"/>
      <c r="AN347" s="40"/>
      <c r="AO347" s="40"/>
      <c r="AP347" s="40"/>
      <c r="AQ347" s="40"/>
      <c r="AR347" s="40"/>
      <c r="AS347" s="40"/>
      <c r="AT347" s="40"/>
      <c r="AU347" s="40"/>
    </row>
    <row r="348" spans="1:47" ht="15.75" customHeight="1" x14ac:dyDescent="0.25">
      <c r="A348" s="34"/>
      <c r="B348" s="35"/>
      <c r="C348" s="36"/>
      <c r="D348" s="37"/>
      <c r="E348" s="38"/>
      <c r="F348" s="39"/>
      <c r="G348" s="17"/>
      <c r="H348" s="39"/>
      <c r="I348" s="34"/>
      <c r="J348" s="40"/>
      <c r="K348" s="34"/>
      <c r="L348" s="34"/>
      <c r="M348" s="40"/>
      <c r="N348" s="34"/>
      <c r="O348" s="40"/>
      <c r="P348" s="34"/>
      <c r="Q348" s="34"/>
      <c r="R348" s="40"/>
      <c r="S348" s="40"/>
      <c r="T348" s="34"/>
      <c r="U348" s="40"/>
      <c r="V348" s="34"/>
      <c r="W348" s="40"/>
      <c r="X348" s="34"/>
      <c r="Y348" s="34"/>
      <c r="Z348" s="40"/>
      <c r="AA348" s="40"/>
      <c r="AB348" s="34"/>
      <c r="AC348" s="34"/>
      <c r="AD348" s="40"/>
      <c r="AE348" s="40"/>
      <c r="AF348" s="40"/>
      <c r="AG348" s="40"/>
      <c r="AH348" s="34"/>
      <c r="AI348" s="34"/>
      <c r="AJ348" s="34"/>
      <c r="AK348" s="40"/>
      <c r="AL348" s="34"/>
      <c r="AM348" s="40"/>
      <c r="AN348" s="40"/>
      <c r="AO348" s="40"/>
      <c r="AP348" s="40"/>
      <c r="AQ348" s="40"/>
      <c r="AR348" s="40"/>
      <c r="AS348" s="40"/>
      <c r="AT348" s="40"/>
      <c r="AU348" s="40"/>
    </row>
    <row r="349" spans="1:47" ht="15.75" customHeight="1" x14ac:dyDescent="0.25">
      <c r="A349" s="34"/>
      <c r="B349" s="35"/>
      <c r="C349" s="36"/>
      <c r="D349" s="37"/>
      <c r="E349" s="38"/>
      <c r="F349" s="39"/>
      <c r="G349" s="17"/>
      <c r="H349" s="39"/>
      <c r="I349" s="34"/>
      <c r="J349" s="40"/>
      <c r="K349" s="34"/>
      <c r="L349" s="34"/>
      <c r="M349" s="40"/>
      <c r="N349" s="34"/>
      <c r="O349" s="40"/>
      <c r="P349" s="34"/>
      <c r="Q349" s="34"/>
      <c r="R349" s="40"/>
      <c r="S349" s="40"/>
      <c r="T349" s="34"/>
      <c r="U349" s="40"/>
      <c r="V349" s="34"/>
      <c r="W349" s="40"/>
      <c r="X349" s="34"/>
      <c r="Y349" s="34"/>
      <c r="Z349" s="40"/>
      <c r="AA349" s="40"/>
      <c r="AB349" s="34"/>
      <c r="AC349" s="34"/>
      <c r="AD349" s="40"/>
      <c r="AE349" s="40"/>
      <c r="AF349" s="40"/>
      <c r="AG349" s="40"/>
      <c r="AH349" s="34"/>
      <c r="AI349" s="34"/>
      <c r="AJ349" s="34"/>
      <c r="AK349" s="40"/>
      <c r="AL349" s="34"/>
      <c r="AM349" s="40"/>
      <c r="AN349" s="40"/>
      <c r="AO349" s="40"/>
      <c r="AP349" s="40"/>
      <c r="AQ349" s="40"/>
      <c r="AR349" s="40"/>
      <c r="AS349" s="40"/>
      <c r="AT349" s="40"/>
      <c r="AU349" s="40"/>
    </row>
    <row r="350" spans="1:47" ht="15.75" customHeight="1" x14ac:dyDescent="0.25">
      <c r="A350" s="34"/>
      <c r="B350" s="35"/>
      <c r="C350" s="36"/>
      <c r="D350" s="37"/>
      <c r="E350" s="38"/>
      <c r="F350" s="39"/>
      <c r="G350" s="17"/>
      <c r="H350" s="39"/>
      <c r="I350" s="34"/>
      <c r="J350" s="40"/>
      <c r="K350" s="34"/>
      <c r="L350" s="34"/>
      <c r="M350" s="40"/>
      <c r="N350" s="34"/>
      <c r="O350" s="40"/>
      <c r="P350" s="34"/>
      <c r="Q350" s="34"/>
      <c r="R350" s="40"/>
      <c r="S350" s="40"/>
      <c r="T350" s="34"/>
      <c r="U350" s="40"/>
      <c r="V350" s="34"/>
      <c r="W350" s="40"/>
      <c r="X350" s="34"/>
      <c r="Y350" s="34"/>
      <c r="Z350" s="40"/>
      <c r="AA350" s="40"/>
      <c r="AB350" s="34"/>
      <c r="AC350" s="34"/>
      <c r="AD350" s="40"/>
      <c r="AE350" s="40"/>
      <c r="AF350" s="40"/>
      <c r="AG350" s="40"/>
      <c r="AH350" s="34"/>
      <c r="AI350" s="34"/>
      <c r="AJ350" s="34"/>
      <c r="AK350" s="40"/>
      <c r="AL350" s="34"/>
      <c r="AM350" s="40"/>
      <c r="AN350" s="40"/>
      <c r="AO350" s="40"/>
      <c r="AP350" s="40"/>
      <c r="AQ350" s="40"/>
      <c r="AR350" s="40"/>
      <c r="AS350" s="40"/>
      <c r="AT350" s="40"/>
      <c r="AU350" s="40"/>
    </row>
    <row r="351" spans="1:47" ht="15.75" customHeight="1" x14ac:dyDescent="0.25">
      <c r="A351" s="34"/>
      <c r="B351" s="35"/>
      <c r="C351" s="36"/>
      <c r="D351" s="37"/>
      <c r="E351" s="38"/>
      <c r="F351" s="39"/>
      <c r="G351" s="17"/>
      <c r="H351" s="39"/>
      <c r="I351" s="34"/>
      <c r="J351" s="40"/>
      <c r="K351" s="34"/>
      <c r="L351" s="34"/>
      <c r="M351" s="40"/>
      <c r="N351" s="34"/>
      <c r="O351" s="40"/>
      <c r="P351" s="34"/>
      <c r="Q351" s="34"/>
      <c r="R351" s="40"/>
      <c r="S351" s="40"/>
      <c r="T351" s="34"/>
      <c r="U351" s="40"/>
      <c r="V351" s="34"/>
      <c r="W351" s="40"/>
      <c r="X351" s="34"/>
      <c r="Y351" s="34"/>
      <c r="Z351" s="40"/>
      <c r="AA351" s="40"/>
      <c r="AB351" s="34"/>
      <c r="AC351" s="34"/>
      <c r="AD351" s="40"/>
      <c r="AE351" s="40"/>
      <c r="AF351" s="40"/>
      <c r="AG351" s="40"/>
      <c r="AH351" s="34"/>
      <c r="AI351" s="34"/>
      <c r="AJ351" s="34"/>
      <c r="AK351" s="40"/>
      <c r="AL351" s="34"/>
      <c r="AM351" s="40"/>
      <c r="AN351" s="40"/>
      <c r="AO351" s="40"/>
      <c r="AP351" s="40"/>
      <c r="AQ351" s="40"/>
      <c r="AR351" s="40"/>
      <c r="AS351" s="40"/>
      <c r="AT351" s="40"/>
      <c r="AU351" s="40"/>
    </row>
    <row r="352" spans="1:47" ht="15.75" customHeight="1" x14ac:dyDescent="0.25">
      <c r="A352" s="34"/>
      <c r="B352" s="35"/>
      <c r="C352" s="36"/>
      <c r="D352" s="37"/>
      <c r="E352" s="38"/>
      <c r="F352" s="39"/>
      <c r="G352" s="17"/>
      <c r="H352" s="39"/>
      <c r="I352" s="34"/>
      <c r="J352" s="40"/>
      <c r="K352" s="34"/>
      <c r="L352" s="34"/>
      <c r="M352" s="40"/>
      <c r="N352" s="34"/>
      <c r="O352" s="40"/>
      <c r="P352" s="34"/>
      <c r="Q352" s="34"/>
      <c r="R352" s="40"/>
      <c r="S352" s="40"/>
      <c r="T352" s="34"/>
      <c r="U352" s="40"/>
      <c r="V352" s="34"/>
      <c r="W352" s="40"/>
      <c r="X352" s="34"/>
      <c r="Y352" s="34"/>
      <c r="Z352" s="40"/>
      <c r="AA352" s="40"/>
      <c r="AB352" s="34"/>
      <c r="AC352" s="34"/>
      <c r="AD352" s="40"/>
      <c r="AE352" s="40"/>
      <c r="AF352" s="40"/>
      <c r="AG352" s="40"/>
      <c r="AH352" s="34"/>
      <c r="AI352" s="34"/>
      <c r="AJ352" s="34"/>
      <c r="AK352" s="40"/>
      <c r="AL352" s="34"/>
      <c r="AM352" s="40"/>
      <c r="AN352" s="40"/>
      <c r="AO352" s="40"/>
      <c r="AP352" s="40"/>
      <c r="AQ352" s="40"/>
      <c r="AR352" s="40"/>
      <c r="AS352" s="40"/>
      <c r="AT352" s="40"/>
      <c r="AU352" s="40"/>
    </row>
    <row r="353" spans="1:47" ht="15.75" customHeight="1" x14ac:dyDescent="0.25">
      <c r="A353" s="34"/>
      <c r="B353" s="35"/>
      <c r="C353" s="36"/>
      <c r="D353" s="37"/>
      <c r="E353" s="38"/>
      <c r="F353" s="39"/>
      <c r="G353" s="17"/>
      <c r="H353" s="39"/>
      <c r="I353" s="34"/>
      <c r="J353" s="40"/>
      <c r="K353" s="34"/>
      <c r="L353" s="34"/>
      <c r="M353" s="40"/>
      <c r="N353" s="34"/>
      <c r="O353" s="40"/>
      <c r="P353" s="34"/>
      <c r="Q353" s="34"/>
      <c r="R353" s="40"/>
      <c r="S353" s="40"/>
      <c r="T353" s="34"/>
      <c r="U353" s="40"/>
      <c r="V353" s="34"/>
      <c r="W353" s="40"/>
      <c r="X353" s="34"/>
      <c r="Y353" s="34"/>
      <c r="Z353" s="40"/>
      <c r="AA353" s="40"/>
      <c r="AB353" s="34"/>
      <c r="AC353" s="34"/>
      <c r="AD353" s="40"/>
      <c r="AE353" s="40"/>
      <c r="AF353" s="40"/>
      <c r="AG353" s="40"/>
      <c r="AH353" s="34"/>
      <c r="AI353" s="34"/>
      <c r="AJ353" s="34"/>
      <c r="AK353" s="40"/>
      <c r="AL353" s="34"/>
      <c r="AM353" s="40"/>
      <c r="AN353" s="40"/>
      <c r="AO353" s="40"/>
      <c r="AP353" s="40"/>
      <c r="AQ353" s="40"/>
      <c r="AR353" s="40"/>
      <c r="AS353" s="40"/>
      <c r="AT353" s="40"/>
      <c r="AU353" s="40"/>
    </row>
    <row r="354" spans="1:47" ht="15.75" customHeight="1" x14ac:dyDescent="0.25">
      <c r="A354" s="34"/>
      <c r="B354" s="35"/>
      <c r="C354" s="36"/>
      <c r="D354" s="37"/>
      <c r="E354" s="38"/>
      <c r="F354" s="39"/>
      <c r="G354" s="17"/>
      <c r="H354" s="39"/>
      <c r="I354" s="34"/>
      <c r="J354" s="40"/>
      <c r="K354" s="34"/>
      <c r="L354" s="34"/>
      <c r="M354" s="40"/>
      <c r="N354" s="34"/>
      <c r="O354" s="40"/>
      <c r="P354" s="34"/>
      <c r="Q354" s="34"/>
      <c r="R354" s="40"/>
      <c r="S354" s="40"/>
      <c r="T354" s="34"/>
      <c r="U354" s="40"/>
      <c r="V354" s="34"/>
      <c r="W354" s="40"/>
      <c r="X354" s="34"/>
      <c r="Y354" s="34"/>
      <c r="Z354" s="40"/>
      <c r="AA354" s="40"/>
      <c r="AB354" s="34"/>
      <c r="AC354" s="34"/>
      <c r="AD354" s="40"/>
      <c r="AE354" s="40"/>
      <c r="AF354" s="40"/>
      <c r="AG354" s="40"/>
      <c r="AH354" s="34"/>
      <c r="AI354" s="34"/>
      <c r="AJ354" s="34"/>
      <c r="AK354" s="40"/>
      <c r="AL354" s="34"/>
      <c r="AM354" s="40"/>
      <c r="AN354" s="40"/>
      <c r="AO354" s="40"/>
      <c r="AP354" s="40"/>
      <c r="AQ354" s="40"/>
      <c r="AR354" s="40"/>
      <c r="AS354" s="40"/>
      <c r="AT354" s="40"/>
      <c r="AU354" s="40"/>
    </row>
    <row r="355" spans="1:47" ht="15.75" customHeight="1" x14ac:dyDescent="0.25">
      <c r="A355" s="34"/>
      <c r="B355" s="35"/>
      <c r="C355" s="36"/>
      <c r="D355" s="37"/>
      <c r="E355" s="38"/>
      <c r="F355" s="39"/>
      <c r="G355" s="17"/>
      <c r="H355" s="39"/>
      <c r="I355" s="34"/>
      <c r="J355" s="40"/>
      <c r="K355" s="34"/>
      <c r="L355" s="34"/>
      <c r="M355" s="40"/>
      <c r="N355" s="34"/>
      <c r="O355" s="40"/>
      <c r="P355" s="34"/>
      <c r="Q355" s="34"/>
      <c r="R355" s="40"/>
      <c r="S355" s="40"/>
      <c r="T355" s="34"/>
      <c r="U355" s="40"/>
      <c r="V355" s="34"/>
      <c r="W355" s="40"/>
      <c r="X355" s="34"/>
      <c r="Y355" s="34"/>
      <c r="Z355" s="40"/>
      <c r="AA355" s="40"/>
      <c r="AB355" s="34"/>
      <c r="AC355" s="34"/>
      <c r="AD355" s="40"/>
      <c r="AE355" s="40"/>
      <c r="AF355" s="40"/>
      <c r="AG355" s="40"/>
      <c r="AH355" s="34"/>
      <c r="AI355" s="34"/>
      <c r="AJ355" s="34"/>
      <c r="AK355" s="40"/>
      <c r="AL355" s="34"/>
      <c r="AM355" s="40"/>
      <c r="AN355" s="40"/>
      <c r="AO355" s="40"/>
      <c r="AP355" s="40"/>
      <c r="AQ355" s="40"/>
      <c r="AR355" s="40"/>
      <c r="AS355" s="40"/>
      <c r="AT355" s="40"/>
      <c r="AU355" s="40"/>
    </row>
    <row r="356" spans="1:47" ht="15.75" customHeight="1" x14ac:dyDescent="0.25">
      <c r="A356" s="34"/>
      <c r="B356" s="35"/>
      <c r="C356" s="36"/>
      <c r="D356" s="37"/>
      <c r="E356" s="38"/>
      <c r="F356" s="39"/>
      <c r="G356" s="17"/>
      <c r="H356" s="39"/>
      <c r="I356" s="34"/>
      <c r="J356" s="40"/>
      <c r="K356" s="34"/>
      <c r="L356" s="34"/>
      <c r="M356" s="40"/>
      <c r="N356" s="34"/>
      <c r="O356" s="40"/>
      <c r="P356" s="34"/>
      <c r="Q356" s="34"/>
      <c r="R356" s="40"/>
      <c r="S356" s="40"/>
      <c r="T356" s="34"/>
      <c r="U356" s="40"/>
      <c r="V356" s="34"/>
      <c r="W356" s="40"/>
      <c r="X356" s="34"/>
      <c r="Y356" s="34"/>
      <c r="Z356" s="40"/>
      <c r="AA356" s="40"/>
      <c r="AB356" s="34"/>
      <c r="AC356" s="34"/>
      <c r="AD356" s="40"/>
      <c r="AE356" s="40"/>
      <c r="AF356" s="40"/>
      <c r="AG356" s="40"/>
      <c r="AH356" s="34"/>
      <c r="AI356" s="34"/>
      <c r="AJ356" s="34"/>
      <c r="AK356" s="40"/>
      <c r="AL356" s="34"/>
      <c r="AM356" s="40"/>
      <c r="AN356" s="40"/>
      <c r="AO356" s="40"/>
      <c r="AP356" s="40"/>
      <c r="AQ356" s="40"/>
      <c r="AR356" s="40"/>
      <c r="AS356" s="40"/>
      <c r="AT356" s="40"/>
      <c r="AU356" s="40"/>
    </row>
    <row r="357" spans="1:47" ht="15.75" customHeight="1" x14ac:dyDescent="0.25">
      <c r="A357" s="34"/>
      <c r="B357" s="35"/>
      <c r="C357" s="36"/>
      <c r="D357" s="37"/>
      <c r="E357" s="38"/>
      <c r="F357" s="39"/>
      <c r="G357" s="17"/>
      <c r="H357" s="39"/>
      <c r="I357" s="34"/>
      <c r="J357" s="40"/>
      <c r="K357" s="34"/>
      <c r="L357" s="34"/>
      <c r="M357" s="40"/>
      <c r="N357" s="34"/>
      <c r="O357" s="40"/>
      <c r="P357" s="34"/>
      <c r="Q357" s="34"/>
      <c r="R357" s="40"/>
      <c r="S357" s="40"/>
      <c r="T357" s="34"/>
      <c r="U357" s="40"/>
      <c r="V357" s="34"/>
      <c r="W357" s="40"/>
      <c r="X357" s="34"/>
      <c r="Y357" s="34"/>
      <c r="Z357" s="40"/>
      <c r="AA357" s="40"/>
      <c r="AB357" s="34"/>
      <c r="AC357" s="34"/>
      <c r="AD357" s="40"/>
      <c r="AE357" s="40"/>
      <c r="AF357" s="40"/>
      <c r="AG357" s="40"/>
      <c r="AH357" s="34"/>
      <c r="AI357" s="34"/>
      <c r="AJ357" s="34"/>
      <c r="AK357" s="40"/>
      <c r="AL357" s="34"/>
      <c r="AM357" s="40"/>
      <c r="AN357" s="40"/>
      <c r="AO357" s="40"/>
      <c r="AP357" s="40"/>
      <c r="AQ357" s="40"/>
      <c r="AR357" s="40"/>
      <c r="AS357" s="40"/>
      <c r="AT357" s="40"/>
      <c r="AU357" s="40"/>
    </row>
    <row r="358" spans="1:47" ht="15.75" customHeight="1" x14ac:dyDescent="0.25">
      <c r="A358" s="34"/>
      <c r="B358" s="35"/>
      <c r="C358" s="36"/>
      <c r="D358" s="37"/>
      <c r="E358" s="38"/>
      <c r="F358" s="39"/>
      <c r="G358" s="17"/>
      <c r="H358" s="39"/>
      <c r="I358" s="34"/>
      <c r="J358" s="40"/>
      <c r="K358" s="34"/>
      <c r="L358" s="34"/>
      <c r="M358" s="40"/>
      <c r="N358" s="34"/>
      <c r="O358" s="40"/>
      <c r="P358" s="34"/>
      <c r="Q358" s="34"/>
      <c r="R358" s="40"/>
      <c r="S358" s="40"/>
      <c r="T358" s="34"/>
      <c r="U358" s="40"/>
      <c r="V358" s="34"/>
      <c r="W358" s="40"/>
      <c r="X358" s="34"/>
      <c r="Y358" s="34"/>
      <c r="Z358" s="40"/>
      <c r="AA358" s="40"/>
      <c r="AB358" s="34"/>
      <c r="AC358" s="34"/>
      <c r="AD358" s="40"/>
      <c r="AE358" s="40"/>
      <c r="AF358" s="40"/>
      <c r="AG358" s="40"/>
      <c r="AH358" s="34"/>
      <c r="AI358" s="34"/>
      <c r="AJ358" s="34"/>
      <c r="AK358" s="40"/>
      <c r="AL358" s="34"/>
      <c r="AM358" s="40"/>
      <c r="AN358" s="40"/>
      <c r="AO358" s="40"/>
      <c r="AP358" s="40"/>
      <c r="AQ358" s="40"/>
      <c r="AR358" s="40"/>
      <c r="AS358" s="40"/>
      <c r="AT358" s="40"/>
      <c r="AU358" s="40"/>
    </row>
    <row r="359" spans="1:47" ht="15.75" customHeight="1" x14ac:dyDescent="0.25">
      <c r="A359" s="34"/>
      <c r="B359" s="35"/>
      <c r="C359" s="36"/>
      <c r="D359" s="37"/>
      <c r="E359" s="38"/>
      <c r="F359" s="39"/>
      <c r="G359" s="17"/>
      <c r="H359" s="39"/>
      <c r="I359" s="34"/>
      <c r="J359" s="40"/>
      <c r="K359" s="34"/>
      <c r="L359" s="34"/>
      <c r="M359" s="40"/>
      <c r="N359" s="34"/>
      <c r="O359" s="40"/>
      <c r="P359" s="34"/>
      <c r="Q359" s="34"/>
      <c r="R359" s="40"/>
      <c r="S359" s="40"/>
      <c r="T359" s="34"/>
      <c r="U359" s="40"/>
      <c r="V359" s="34"/>
      <c r="W359" s="40"/>
      <c r="X359" s="34"/>
      <c r="Y359" s="34"/>
      <c r="Z359" s="40"/>
      <c r="AA359" s="40"/>
      <c r="AB359" s="34"/>
      <c r="AC359" s="34"/>
      <c r="AD359" s="40"/>
      <c r="AE359" s="40"/>
      <c r="AF359" s="40"/>
      <c r="AG359" s="40"/>
      <c r="AH359" s="34"/>
      <c r="AI359" s="34"/>
      <c r="AJ359" s="34"/>
      <c r="AK359" s="40"/>
      <c r="AL359" s="34"/>
      <c r="AM359" s="40"/>
      <c r="AN359" s="40"/>
      <c r="AO359" s="40"/>
      <c r="AP359" s="40"/>
      <c r="AQ359" s="40"/>
      <c r="AR359" s="40"/>
      <c r="AS359" s="40"/>
      <c r="AT359" s="40"/>
      <c r="AU359" s="40"/>
    </row>
    <row r="360" spans="1:47" ht="15.75" customHeight="1" x14ac:dyDescent="0.25">
      <c r="A360" s="34"/>
      <c r="B360" s="35"/>
      <c r="C360" s="36"/>
      <c r="D360" s="37"/>
      <c r="E360" s="38"/>
      <c r="F360" s="39"/>
      <c r="G360" s="17"/>
      <c r="H360" s="39"/>
      <c r="I360" s="34"/>
      <c r="J360" s="40"/>
      <c r="K360" s="34"/>
      <c r="L360" s="34"/>
      <c r="M360" s="40"/>
      <c r="N360" s="34"/>
      <c r="O360" s="40"/>
      <c r="P360" s="34"/>
      <c r="Q360" s="34"/>
      <c r="R360" s="40"/>
      <c r="S360" s="40"/>
      <c r="T360" s="34"/>
      <c r="U360" s="40"/>
      <c r="V360" s="34"/>
      <c r="W360" s="40"/>
      <c r="X360" s="34"/>
      <c r="Y360" s="34"/>
      <c r="Z360" s="40"/>
      <c r="AA360" s="40"/>
      <c r="AB360" s="34"/>
      <c r="AC360" s="34"/>
      <c r="AD360" s="40"/>
      <c r="AE360" s="40"/>
      <c r="AF360" s="40"/>
      <c r="AG360" s="40"/>
      <c r="AH360" s="34"/>
      <c r="AI360" s="34"/>
      <c r="AJ360" s="34"/>
      <c r="AK360" s="40"/>
      <c r="AL360" s="34"/>
      <c r="AM360" s="40"/>
      <c r="AN360" s="40"/>
      <c r="AO360" s="40"/>
      <c r="AP360" s="40"/>
      <c r="AQ360" s="40"/>
      <c r="AR360" s="40"/>
      <c r="AS360" s="40"/>
      <c r="AT360" s="40"/>
      <c r="AU360" s="40"/>
    </row>
    <row r="361" spans="1:47" ht="15.75" customHeight="1" x14ac:dyDescent="0.25">
      <c r="A361" s="34"/>
      <c r="B361" s="35"/>
      <c r="C361" s="36"/>
      <c r="D361" s="37"/>
      <c r="E361" s="38"/>
      <c r="F361" s="39"/>
      <c r="G361" s="17"/>
      <c r="H361" s="39"/>
      <c r="I361" s="34"/>
      <c r="J361" s="40"/>
      <c r="K361" s="34"/>
      <c r="L361" s="34"/>
      <c r="M361" s="40"/>
      <c r="N361" s="34"/>
      <c r="O361" s="40"/>
      <c r="P361" s="34"/>
      <c r="Q361" s="34"/>
      <c r="R361" s="40"/>
      <c r="S361" s="40"/>
      <c r="T361" s="34"/>
      <c r="U361" s="40"/>
      <c r="V361" s="34"/>
      <c r="W361" s="40"/>
      <c r="X361" s="34"/>
      <c r="Y361" s="34"/>
      <c r="Z361" s="40"/>
      <c r="AA361" s="40"/>
      <c r="AB361" s="34"/>
      <c r="AC361" s="34"/>
      <c r="AD361" s="40"/>
      <c r="AE361" s="40"/>
      <c r="AF361" s="40"/>
      <c r="AG361" s="40"/>
      <c r="AH361" s="34"/>
      <c r="AI361" s="34"/>
      <c r="AJ361" s="34"/>
      <c r="AK361" s="40"/>
      <c r="AL361" s="34"/>
      <c r="AM361" s="40"/>
      <c r="AN361" s="40"/>
      <c r="AO361" s="40"/>
      <c r="AP361" s="40"/>
      <c r="AQ361" s="40"/>
      <c r="AR361" s="40"/>
      <c r="AS361" s="40"/>
      <c r="AT361" s="40"/>
      <c r="AU361" s="40"/>
    </row>
    <row r="362" spans="1:47" ht="15.75" customHeight="1" x14ac:dyDescent="0.25">
      <c r="A362" s="34"/>
      <c r="B362" s="35"/>
      <c r="C362" s="36"/>
      <c r="D362" s="37"/>
      <c r="E362" s="38"/>
      <c r="F362" s="39"/>
      <c r="G362" s="17"/>
      <c r="H362" s="39"/>
      <c r="I362" s="34"/>
      <c r="J362" s="40"/>
      <c r="K362" s="34"/>
      <c r="L362" s="34"/>
      <c r="M362" s="40"/>
      <c r="N362" s="34"/>
      <c r="O362" s="40"/>
      <c r="P362" s="34"/>
      <c r="Q362" s="34"/>
      <c r="R362" s="40"/>
      <c r="S362" s="40"/>
      <c r="T362" s="34"/>
      <c r="U362" s="40"/>
      <c r="V362" s="34"/>
      <c r="W362" s="40"/>
      <c r="X362" s="34"/>
      <c r="Y362" s="34"/>
      <c r="Z362" s="40"/>
      <c r="AA362" s="40"/>
      <c r="AB362" s="34"/>
      <c r="AC362" s="34"/>
      <c r="AD362" s="40"/>
      <c r="AE362" s="40"/>
      <c r="AF362" s="40"/>
      <c r="AG362" s="40"/>
      <c r="AH362" s="34"/>
      <c r="AI362" s="34"/>
      <c r="AJ362" s="34"/>
      <c r="AK362" s="40"/>
      <c r="AL362" s="34"/>
      <c r="AM362" s="40"/>
      <c r="AN362" s="40"/>
      <c r="AO362" s="40"/>
      <c r="AP362" s="40"/>
      <c r="AQ362" s="40"/>
      <c r="AR362" s="40"/>
      <c r="AS362" s="40"/>
      <c r="AT362" s="40"/>
      <c r="AU362" s="40"/>
    </row>
    <row r="363" spans="1:47" ht="15.75" customHeight="1" x14ac:dyDescent="0.25">
      <c r="A363" s="34"/>
      <c r="B363" s="35"/>
      <c r="C363" s="36"/>
      <c r="D363" s="37"/>
      <c r="E363" s="38"/>
      <c r="F363" s="39"/>
      <c r="G363" s="17"/>
      <c r="H363" s="39"/>
      <c r="I363" s="34"/>
      <c r="J363" s="40"/>
      <c r="K363" s="34"/>
      <c r="L363" s="34"/>
      <c r="M363" s="40"/>
      <c r="N363" s="34"/>
      <c r="O363" s="40"/>
      <c r="P363" s="34"/>
      <c r="Q363" s="34"/>
      <c r="R363" s="40"/>
      <c r="S363" s="40"/>
      <c r="T363" s="34"/>
      <c r="U363" s="40"/>
      <c r="V363" s="34"/>
      <c r="W363" s="40"/>
      <c r="X363" s="34"/>
      <c r="Y363" s="34"/>
      <c r="Z363" s="40"/>
      <c r="AA363" s="40"/>
      <c r="AB363" s="34"/>
      <c r="AC363" s="34"/>
      <c r="AD363" s="40"/>
      <c r="AE363" s="40"/>
      <c r="AF363" s="40"/>
      <c r="AG363" s="40"/>
      <c r="AH363" s="34"/>
      <c r="AI363" s="34"/>
      <c r="AJ363" s="34"/>
      <c r="AK363" s="40"/>
      <c r="AL363" s="34"/>
      <c r="AM363" s="40"/>
      <c r="AN363" s="40"/>
      <c r="AO363" s="40"/>
      <c r="AP363" s="40"/>
      <c r="AQ363" s="40"/>
      <c r="AR363" s="40"/>
      <c r="AS363" s="40"/>
      <c r="AT363" s="40"/>
      <c r="AU363" s="40"/>
    </row>
    <row r="364" spans="1:47" ht="15.75" customHeight="1" x14ac:dyDescent="0.25">
      <c r="A364" s="34"/>
      <c r="B364" s="35"/>
      <c r="C364" s="36"/>
      <c r="D364" s="37"/>
      <c r="E364" s="38"/>
      <c r="F364" s="39"/>
      <c r="G364" s="17"/>
      <c r="H364" s="39"/>
      <c r="I364" s="34"/>
      <c r="J364" s="40"/>
      <c r="K364" s="34"/>
      <c r="L364" s="34"/>
      <c r="M364" s="40"/>
      <c r="N364" s="34"/>
      <c r="O364" s="40"/>
      <c r="P364" s="34"/>
      <c r="Q364" s="34"/>
      <c r="R364" s="40"/>
      <c r="S364" s="40"/>
      <c r="T364" s="34"/>
      <c r="U364" s="40"/>
      <c r="V364" s="34"/>
      <c r="W364" s="40"/>
      <c r="X364" s="34"/>
      <c r="Y364" s="34"/>
      <c r="Z364" s="40"/>
      <c r="AA364" s="40"/>
      <c r="AB364" s="34"/>
      <c r="AC364" s="34"/>
      <c r="AD364" s="40"/>
      <c r="AE364" s="40"/>
      <c r="AF364" s="40"/>
      <c r="AG364" s="40"/>
      <c r="AH364" s="34"/>
      <c r="AI364" s="34"/>
      <c r="AJ364" s="34"/>
      <c r="AK364" s="40"/>
      <c r="AL364" s="34"/>
      <c r="AM364" s="40"/>
      <c r="AN364" s="40"/>
      <c r="AO364" s="40"/>
      <c r="AP364" s="40"/>
      <c r="AQ364" s="40"/>
      <c r="AR364" s="40"/>
      <c r="AS364" s="40"/>
      <c r="AT364" s="40"/>
      <c r="AU364" s="40"/>
    </row>
    <row r="365" spans="1:47" ht="15.75" customHeight="1" x14ac:dyDescent="0.25">
      <c r="A365" s="34"/>
      <c r="B365" s="35"/>
      <c r="C365" s="36"/>
      <c r="D365" s="37"/>
      <c r="E365" s="38"/>
      <c r="F365" s="39"/>
      <c r="G365" s="17"/>
      <c r="H365" s="39"/>
      <c r="I365" s="34"/>
      <c r="J365" s="40"/>
      <c r="K365" s="34"/>
      <c r="L365" s="34"/>
      <c r="M365" s="40"/>
      <c r="N365" s="34"/>
      <c r="O365" s="40"/>
      <c r="P365" s="34"/>
      <c r="Q365" s="34"/>
      <c r="R365" s="40"/>
      <c r="S365" s="40"/>
      <c r="T365" s="34"/>
      <c r="U365" s="40"/>
      <c r="V365" s="34"/>
      <c r="W365" s="40"/>
      <c r="X365" s="34"/>
      <c r="Y365" s="34"/>
      <c r="Z365" s="40"/>
      <c r="AA365" s="40"/>
      <c r="AB365" s="34"/>
      <c r="AC365" s="34"/>
      <c r="AD365" s="40"/>
      <c r="AE365" s="40"/>
      <c r="AF365" s="40"/>
      <c r="AG365" s="40"/>
      <c r="AH365" s="34"/>
      <c r="AI365" s="34"/>
      <c r="AJ365" s="34"/>
      <c r="AK365" s="40"/>
      <c r="AL365" s="34"/>
      <c r="AM365" s="40"/>
      <c r="AN365" s="40"/>
      <c r="AO365" s="40"/>
      <c r="AP365" s="40"/>
      <c r="AQ365" s="40"/>
      <c r="AR365" s="40"/>
      <c r="AS365" s="40"/>
      <c r="AT365" s="40"/>
      <c r="AU365" s="40"/>
    </row>
    <row r="366" spans="1:47" ht="15.75" customHeight="1" x14ac:dyDescent="0.25">
      <c r="A366" s="34"/>
      <c r="B366" s="35"/>
      <c r="C366" s="36"/>
      <c r="D366" s="37"/>
      <c r="E366" s="38"/>
      <c r="F366" s="39"/>
      <c r="G366" s="17"/>
      <c r="H366" s="39"/>
      <c r="I366" s="34"/>
      <c r="J366" s="40"/>
      <c r="K366" s="34"/>
      <c r="L366" s="34"/>
      <c r="M366" s="40"/>
      <c r="N366" s="34"/>
      <c r="O366" s="40"/>
      <c r="P366" s="34"/>
      <c r="Q366" s="34"/>
      <c r="R366" s="40"/>
      <c r="S366" s="40"/>
      <c r="T366" s="34"/>
      <c r="U366" s="40"/>
      <c r="V366" s="34"/>
      <c r="W366" s="40"/>
      <c r="X366" s="34"/>
      <c r="Y366" s="34"/>
      <c r="Z366" s="40"/>
      <c r="AA366" s="40"/>
      <c r="AB366" s="34"/>
      <c r="AC366" s="34"/>
      <c r="AD366" s="40"/>
      <c r="AE366" s="40"/>
      <c r="AF366" s="40"/>
      <c r="AG366" s="40"/>
      <c r="AH366" s="34"/>
      <c r="AI366" s="34"/>
      <c r="AJ366" s="34"/>
      <c r="AK366" s="40"/>
      <c r="AL366" s="34"/>
      <c r="AM366" s="40"/>
      <c r="AN366" s="40"/>
      <c r="AO366" s="40"/>
      <c r="AP366" s="40"/>
      <c r="AQ366" s="40"/>
      <c r="AR366" s="40"/>
      <c r="AS366" s="40"/>
      <c r="AT366" s="40"/>
      <c r="AU366" s="40"/>
    </row>
    <row r="367" spans="1:47" ht="15.75" customHeight="1" x14ac:dyDescent="0.25">
      <c r="A367" s="34"/>
      <c r="B367" s="35"/>
      <c r="C367" s="36"/>
      <c r="D367" s="37"/>
      <c r="E367" s="38"/>
      <c r="F367" s="39"/>
      <c r="G367" s="17"/>
      <c r="H367" s="39"/>
      <c r="I367" s="34"/>
      <c r="J367" s="40"/>
      <c r="K367" s="34"/>
      <c r="L367" s="34"/>
      <c r="M367" s="40"/>
      <c r="N367" s="34"/>
      <c r="O367" s="40"/>
      <c r="P367" s="34"/>
      <c r="Q367" s="34"/>
      <c r="R367" s="40"/>
      <c r="S367" s="40"/>
      <c r="T367" s="34"/>
      <c r="U367" s="40"/>
      <c r="V367" s="34"/>
      <c r="W367" s="40"/>
      <c r="X367" s="34"/>
      <c r="Y367" s="34"/>
      <c r="Z367" s="40"/>
      <c r="AA367" s="40"/>
      <c r="AB367" s="34"/>
      <c r="AC367" s="34"/>
      <c r="AD367" s="40"/>
      <c r="AE367" s="40"/>
      <c r="AF367" s="40"/>
      <c r="AG367" s="40"/>
      <c r="AH367" s="34"/>
      <c r="AI367" s="34"/>
      <c r="AJ367" s="34"/>
      <c r="AK367" s="40"/>
      <c r="AL367" s="34"/>
      <c r="AM367" s="40"/>
      <c r="AN367" s="40"/>
      <c r="AO367" s="40"/>
      <c r="AP367" s="40"/>
      <c r="AQ367" s="40"/>
      <c r="AR367" s="40"/>
      <c r="AS367" s="40"/>
      <c r="AT367" s="40"/>
      <c r="AU367" s="40"/>
    </row>
    <row r="368" spans="1:47" ht="15.75" customHeight="1" x14ac:dyDescent="0.25">
      <c r="A368" s="34"/>
      <c r="B368" s="35"/>
      <c r="C368" s="36"/>
      <c r="D368" s="37"/>
      <c r="E368" s="38"/>
      <c r="F368" s="39"/>
      <c r="G368" s="17"/>
      <c r="H368" s="39"/>
      <c r="I368" s="34"/>
      <c r="J368" s="40"/>
      <c r="K368" s="34"/>
      <c r="L368" s="34"/>
      <c r="M368" s="40"/>
      <c r="N368" s="34"/>
      <c r="O368" s="40"/>
      <c r="P368" s="34"/>
      <c r="Q368" s="34"/>
      <c r="R368" s="40"/>
      <c r="S368" s="40"/>
      <c r="T368" s="34"/>
      <c r="U368" s="40"/>
      <c r="V368" s="34"/>
      <c r="W368" s="40"/>
      <c r="X368" s="34"/>
      <c r="Y368" s="34"/>
      <c r="Z368" s="40"/>
      <c r="AA368" s="40"/>
      <c r="AB368" s="34"/>
      <c r="AC368" s="34"/>
      <c r="AD368" s="40"/>
      <c r="AE368" s="40"/>
      <c r="AF368" s="40"/>
      <c r="AG368" s="40"/>
      <c r="AH368" s="34"/>
      <c r="AI368" s="34"/>
      <c r="AJ368" s="34"/>
      <c r="AK368" s="40"/>
      <c r="AL368" s="34"/>
      <c r="AM368" s="40"/>
      <c r="AN368" s="40"/>
      <c r="AO368" s="40"/>
      <c r="AP368" s="40"/>
      <c r="AQ368" s="40"/>
      <c r="AR368" s="40"/>
      <c r="AS368" s="40"/>
      <c r="AT368" s="40"/>
      <c r="AU368" s="40"/>
    </row>
    <row r="369" spans="1:47" ht="15.75" customHeight="1" x14ac:dyDescent="0.25">
      <c r="A369" s="34"/>
      <c r="B369" s="35"/>
      <c r="C369" s="36"/>
      <c r="D369" s="37"/>
      <c r="E369" s="38"/>
      <c r="F369" s="39"/>
      <c r="G369" s="17"/>
      <c r="H369" s="39"/>
      <c r="I369" s="34"/>
      <c r="J369" s="40"/>
      <c r="K369" s="34"/>
      <c r="L369" s="34"/>
      <c r="M369" s="40"/>
      <c r="N369" s="34"/>
      <c r="O369" s="40"/>
      <c r="P369" s="34"/>
      <c r="Q369" s="34"/>
      <c r="R369" s="40"/>
      <c r="S369" s="40"/>
      <c r="T369" s="34"/>
      <c r="U369" s="40"/>
      <c r="V369" s="34"/>
      <c r="W369" s="40"/>
      <c r="X369" s="34"/>
      <c r="Y369" s="34"/>
      <c r="Z369" s="40"/>
      <c r="AA369" s="40"/>
      <c r="AB369" s="34"/>
      <c r="AC369" s="34"/>
      <c r="AD369" s="40"/>
      <c r="AE369" s="40"/>
      <c r="AF369" s="40"/>
      <c r="AG369" s="40"/>
      <c r="AH369" s="34"/>
      <c r="AI369" s="34"/>
      <c r="AJ369" s="34"/>
      <c r="AK369" s="40"/>
      <c r="AL369" s="34"/>
      <c r="AM369" s="40"/>
      <c r="AN369" s="40"/>
      <c r="AO369" s="40"/>
      <c r="AP369" s="40"/>
      <c r="AQ369" s="40"/>
      <c r="AR369" s="40"/>
      <c r="AS369" s="40"/>
      <c r="AT369" s="40"/>
      <c r="AU369" s="40"/>
    </row>
    <row r="370" spans="1:47" ht="15.75" customHeight="1" x14ac:dyDescent="0.25">
      <c r="A370" s="34"/>
      <c r="B370" s="35"/>
      <c r="C370" s="36"/>
      <c r="D370" s="37"/>
      <c r="E370" s="38"/>
      <c r="F370" s="39"/>
      <c r="G370" s="17"/>
      <c r="H370" s="39"/>
      <c r="I370" s="34"/>
      <c r="J370" s="40"/>
      <c r="K370" s="34"/>
      <c r="L370" s="34"/>
      <c r="M370" s="40"/>
      <c r="N370" s="34"/>
      <c r="O370" s="40"/>
      <c r="P370" s="34"/>
      <c r="Q370" s="34"/>
      <c r="R370" s="40"/>
      <c r="S370" s="40"/>
      <c r="T370" s="34"/>
      <c r="U370" s="40"/>
      <c r="V370" s="34"/>
      <c r="W370" s="40"/>
      <c r="X370" s="34"/>
      <c r="Y370" s="34"/>
      <c r="Z370" s="40"/>
      <c r="AA370" s="40"/>
      <c r="AB370" s="34"/>
      <c r="AC370" s="34"/>
      <c r="AD370" s="40"/>
      <c r="AE370" s="40"/>
      <c r="AF370" s="40"/>
      <c r="AG370" s="40"/>
      <c r="AH370" s="34"/>
      <c r="AI370" s="34"/>
      <c r="AJ370" s="34"/>
      <c r="AK370" s="40"/>
      <c r="AL370" s="34"/>
      <c r="AM370" s="40"/>
      <c r="AN370" s="40"/>
      <c r="AO370" s="40"/>
      <c r="AP370" s="40"/>
      <c r="AQ370" s="40"/>
      <c r="AR370" s="40"/>
      <c r="AS370" s="40"/>
      <c r="AT370" s="40"/>
      <c r="AU370" s="40"/>
    </row>
    <row r="371" spans="1:47" ht="15.75" customHeight="1" x14ac:dyDescent="0.25">
      <c r="A371" s="34"/>
      <c r="B371" s="35"/>
      <c r="C371" s="36"/>
      <c r="D371" s="37"/>
      <c r="E371" s="38"/>
      <c r="F371" s="39"/>
      <c r="G371" s="17"/>
      <c r="H371" s="39"/>
      <c r="I371" s="34"/>
      <c r="J371" s="40"/>
      <c r="K371" s="34"/>
      <c r="L371" s="34"/>
      <c r="M371" s="40"/>
      <c r="N371" s="34"/>
      <c r="O371" s="40"/>
      <c r="P371" s="34"/>
      <c r="Q371" s="34"/>
      <c r="R371" s="40"/>
      <c r="S371" s="40"/>
      <c r="T371" s="34"/>
      <c r="U371" s="40"/>
      <c r="V371" s="34"/>
      <c r="W371" s="40"/>
      <c r="X371" s="34"/>
      <c r="Y371" s="34"/>
      <c r="Z371" s="40"/>
      <c r="AA371" s="40"/>
      <c r="AB371" s="34"/>
      <c r="AC371" s="34"/>
      <c r="AD371" s="40"/>
      <c r="AE371" s="40"/>
      <c r="AF371" s="40"/>
      <c r="AG371" s="40"/>
      <c r="AH371" s="34"/>
      <c r="AI371" s="34"/>
      <c r="AJ371" s="34"/>
      <c r="AK371" s="40"/>
      <c r="AL371" s="34"/>
      <c r="AM371" s="40"/>
      <c r="AN371" s="40"/>
      <c r="AO371" s="40"/>
      <c r="AP371" s="40"/>
      <c r="AQ371" s="40"/>
      <c r="AR371" s="40"/>
      <c r="AS371" s="40"/>
      <c r="AT371" s="40"/>
      <c r="AU371" s="40"/>
    </row>
    <row r="372" spans="1:47" ht="15.75" customHeight="1" x14ac:dyDescent="0.25">
      <c r="A372" s="34"/>
      <c r="B372" s="35"/>
      <c r="C372" s="36"/>
      <c r="D372" s="37"/>
      <c r="E372" s="38"/>
      <c r="F372" s="39"/>
      <c r="G372" s="17"/>
      <c r="H372" s="39"/>
      <c r="I372" s="34"/>
      <c r="J372" s="40"/>
      <c r="K372" s="34"/>
      <c r="L372" s="34"/>
      <c r="M372" s="40"/>
      <c r="N372" s="34"/>
      <c r="O372" s="40"/>
      <c r="P372" s="34"/>
      <c r="Q372" s="34"/>
      <c r="R372" s="40"/>
      <c r="S372" s="40"/>
      <c r="T372" s="34"/>
      <c r="U372" s="40"/>
      <c r="V372" s="34"/>
      <c r="W372" s="40"/>
      <c r="X372" s="34"/>
      <c r="Y372" s="34"/>
      <c r="Z372" s="40"/>
      <c r="AA372" s="40"/>
      <c r="AB372" s="34"/>
      <c r="AC372" s="34"/>
      <c r="AD372" s="40"/>
      <c r="AE372" s="40"/>
      <c r="AF372" s="40"/>
      <c r="AG372" s="40"/>
      <c r="AH372" s="34"/>
      <c r="AI372" s="34"/>
      <c r="AJ372" s="34"/>
      <c r="AK372" s="40"/>
      <c r="AL372" s="34"/>
      <c r="AM372" s="40"/>
      <c r="AN372" s="40"/>
      <c r="AO372" s="40"/>
      <c r="AP372" s="40"/>
      <c r="AQ372" s="40"/>
      <c r="AR372" s="40"/>
      <c r="AS372" s="40"/>
      <c r="AT372" s="40"/>
      <c r="AU372" s="40"/>
    </row>
    <row r="373" spans="1:47" ht="15.75" customHeight="1" x14ac:dyDescent="0.25">
      <c r="A373" s="34"/>
      <c r="B373" s="35"/>
      <c r="C373" s="36"/>
      <c r="D373" s="37"/>
      <c r="E373" s="38"/>
      <c r="F373" s="39"/>
      <c r="G373" s="17"/>
      <c r="H373" s="39"/>
      <c r="I373" s="34"/>
      <c r="J373" s="40"/>
      <c r="K373" s="34"/>
      <c r="L373" s="34"/>
      <c r="M373" s="40"/>
      <c r="N373" s="34"/>
      <c r="O373" s="40"/>
      <c r="P373" s="34"/>
      <c r="Q373" s="34"/>
      <c r="R373" s="40"/>
      <c r="S373" s="40"/>
      <c r="T373" s="34"/>
      <c r="U373" s="40"/>
      <c r="V373" s="34"/>
      <c r="W373" s="40"/>
      <c r="X373" s="34"/>
      <c r="Y373" s="34"/>
      <c r="Z373" s="40"/>
      <c r="AA373" s="40"/>
      <c r="AB373" s="34"/>
      <c r="AC373" s="34"/>
      <c r="AD373" s="40"/>
      <c r="AE373" s="40"/>
      <c r="AF373" s="40"/>
      <c r="AG373" s="40"/>
      <c r="AH373" s="34"/>
      <c r="AI373" s="34"/>
      <c r="AJ373" s="34"/>
      <c r="AK373" s="40"/>
      <c r="AL373" s="34"/>
      <c r="AM373" s="40"/>
      <c r="AN373" s="40"/>
      <c r="AO373" s="40"/>
      <c r="AP373" s="40"/>
      <c r="AQ373" s="40"/>
      <c r="AR373" s="40"/>
      <c r="AS373" s="40"/>
      <c r="AT373" s="40"/>
      <c r="AU373" s="40"/>
    </row>
    <row r="374" spans="1:47" ht="15.75" customHeight="1" x14ac:dyDescent="0.25">
      <c r="A374" s="34"/>
      <c r="B374" s="35"/>
      <c r="C374" s="36"/>
      <c r="D374" s="37"/>
      <c r="E374" s="38"/>
      <c r="F374" s="39"/>
      <c r="G374" s="17"/>
      <c r="H374" s="39"/>
      <c r="I374" s="34"/>
      <c r="J374" s="40"/>
      <c r="K374" s="34"/>
      <c r="L374" s="34"/>
      <c r="M374" s="40"/>
      <c r="N374" s="34"/>
      <c r="O374" s="40"/>
      <c r="P374" s="34"/>
      <c r="Q374" s="34"/>
      <c r="R374" s="40"/>
      <c r="S374" s="40"/>
      <c r="T374" s="34"/>
      <c r="U374" s="40"/>
      <c r="V374" s="34"/>
      <c r="W374" s="40"/>
      <c r="X374" s="34"/>
      <c r="Y374" s="34"/>
      <c r="Z374" s="40"/>
      <c r="AA374" s="40"/>
      <c r="AB374" s="34"/>
      <c r="AC374" s="34"/>
      <c r="AD374" s="40"/>
      <c r="AE374" s="40"/>
      <c r="AF374" s="40"/>
      <c r="AG374" s="40"/>
      <c r="AH374" s="34"/>
      <c r="AI374" s="34"/>
      <c r="AJ374" s="34"/>
      <c r="AK374" s="40"/>
      <c r="AL374" s="34"/>
      <c r="AM374" s="40"/>
      <c r="AN374" s="40"/>
      <c r="AO374" s="40"/>
      <c r="AP374" s="40"/>
      <c r="AQ374" s="40"/>
      <c r="AR374" s="40"/>
      <c r="AS374" s="40"/>
      <c r="AT374" s="40"/>
      <c r="AU374" s="40"/>
    </row>
    <row r="375" spans="1:47" ht="15.75" customHeight="1" x14ac:dyDescent="0.25">
      <c r="A375" s="34"/>
      <c r="B375" s="35"/>
      <c r="C375" s="36"/>
      <c r="D375" s="37"/>
      <c r="E375" s="38"/>
      <c r="F375" s="39"/>
      <c r="G375" s="17"/>
      <c r="H375" s="39"/>
      <c r="I375" s="34"/>
      <c r="J375" s="40"/>
      <c r="K375" s="34"/>
      <c r="L375" s="34"/>
      <c r="M375" s="40"/>
      <c r="N375" s="34"/>
      <c r="O375" s="40"/>
      <c r="P375" s="34"/>
      <c r="Q375" s="34"/>
      <c r="R375" s="40"/>
      <c r="S375" s="40"/>
      <c r="T375" s="34"/>
      <c r="U375" s="40"/>
      <c r="V375" s="34"/>
      <c r="W375" s="40"/>
      <c r="X375" s="34"/>
      <c r="Y375" s="34"/>
      <c r="Z375" s="40"/>
      <c r="AA375" s="40"/>
      <c r="AB375" s="34"/>
      <c r="AC375" s="34"/>
      <c r="AD375" s="40"/>
      <c r="AE375" s="40"/>
      <c r="AF375" s="40"/>
      <c r="AG375" s="40"/>
      <c r="AH375" s="34"/>
      <c r="AI375" s="34"/>
      <c r="AJ375" s="34"/>
      <c r="AK375" s="40"/>
      <c r="AL375" s="34"/>
      <c r="AM375" s="40"/>
      <c r="AN375" s="40"/>
      <c r="AO375" s="40"/>
      <c r="AP375" s="40"/>
      <c r="AQ375" s="40"/>
      <c r="AR375" s="40"/>
      <c r="AS375" s="40"/>
      <c r="AT375" s="40"/>
      <c r="AU375" s="40"/>
    </row>
    <row r="376" spans="1:47" ht="15.75" customHeight="1" x14ac:dyDescent="0.25">
      <c r="A376" s="34"/>
      <c r="B376" s="35"/>
      <c r="C376" s="36"/>
      <c r="D376" s="37"/>
      <c r="E376" s="38"/>
      <c r="F376" s="39"/>
      <c r="G376" s="17"/>
      <c r="H376" s="39"/>
      <c r="I376" s="34"/>
      <c r="J376" s="40"/>
      <c r="K376" s="34"/>
      <c r="L376" s="34"/>
      <c r="M376" s="40"/>
      <c r="N376" s="34"/>
      <c r="O376" s="40"/>
      <c r="P376" s="34"/>
      <c r="Q376" s="34"/>
      <c r="R376" s="40"/>
      <c r="S376" s="40"/>
      <c r="T376" s="34"/>
      <c r="U376" s="40"/>
      <c r="V376" s="34"/>
      <c r="W376" s="40"/>
      <c r="X376" s="34"/>
      <c r="Y376" s="34"/>
      <c r="Z376" s="40"/>
      <c r="AA376" s="40"/>
      <c r="AB376" s="34"/>
      <c r="AC376" s="34"/>
      <c r="AD376" s="40"/>
      <c r="AE376" s="40"/>
      <c r="AF376" s="40"/>
      <c r="AG376" s="40"/>
      <c r="AH376" s="34"/>
      <c r="AI376" s="34"/>
      <c r="AJ376" s="34"/>
      <c r="AK376" s="40"/>
      <c r="AL376" s="34"/>
      <c r="AM376" s="40"/>
      <c r="AN376" s="40"/>
      <c r="AO376" s="40"/>
      <c r="AP376" s="40"/>
      <c r="AQ376" s="40"/>
      <c r="AR376" s="40"/>
      <c r="AS376" s="40"/>
      <c r="AT376" s="40"/>
      <c r="AU376" s="40"/>
    </row>
    <row r="377" spans="1:47" ht="15.75" customHeight="1" x14ac:dyDescent="0.25">
      <c r="A377" s="34"/>
      <c r="B377" s="35"/>
      <c r="C377" s="36"/>
      <c r="D377" s="37"/>
      <c r="E377" s="38"/>
      <c r="F377" s="39"/>
      <c r="G377" s="17"/>
      <c r="H377" s="39"/>
      <c r="I377" s="34"/>
      <c r="J377" s="40"/>
      <c r="K377" s="34"/>
      <c r="L377" s="34"/>
      <c r="M377" s="40"/>
      <c r="N377" s="34"/>
      <c r="O377" s="40"/>
      <c r="P377" s="34"/>
      <c r="Q377" s="34"/>
      <c r="R377" s="40"/>
      <c r="S377" s="40"/>
      <c r="T377" s="34"/>
      <c r="U377" s="40"/>
      <c r="V377" s="34"/>
      <c r="W377" s="40"/>
      <c r="X377" s="34"/>
      <c r="Y377" s="34"/>
      <c r="Z377" s="40"/>
      <c r="AA377" s="40"/>
      <c r="AB377" s="34"/>
      <c r="AC377" s="34"/>
      <c r="AD377" s="40"/>
      <c r="AE377" s="40"/>
      <c r="AF377" s="40"/>
      <c r="AG377" s="40"/>
      <c r="AH377" s="34"/>
      <c r="AI377" s="34"/>
      <c r="AJ377" s="34"/>
      <c r="AK377" s="40"/>
      <c r="AL377" s="34"/>
      <c r="AM377" s="40"/>
      <c r="AN377" s="40"/>
      <c r="AO377" s="40"/>
      <c r="AP377" s="40"/>
      <c r="AQ377" s="40"/>
      <c r="AR377" s="40"/>
      <c r="AS377" s="40"/>
      <c r="AT377" s="40"/>
      <c r="AU377" s="40"/>
    </row>
    <row r="378" spans="1:47" ht="15.75" customHeight="1" x14ac:dyDescent="0.25">
      <c r="A378" s="34"/>
      <c r="B378" s="35"/>
      <c r="C378" s="36"/>
      <c r="D378" s="37"/>
      <c r="E378" s="38"/>
      <c r="F378" s="39"/>
      <c r="G378" s="17"/>
      <c r="H378" s="39"/>
      <c r="I378" s="34"/>
      <c r="J378" s="40"/>
      <c r="K378" s="34"/>
      <c r="L378" s="34"/>
      <c r="M378" s="40"/>
      <c r="N378" s="34"/>
      <c r="O378" s="40"/>
      <c r="P378" s="34"/>
      <c r="Q378" s="34"/>
      <c r="R378" s="40"/>
      <c r="S378" s="40"/>
      <c r="T378" s="34"/>
      <c r="U378" s="40"/>
      <c r="V378" s="34"/>
      <c r="W378" s="40"/>
      <c r="X378" s="34"/>
      <c r="Y378" s="34"/>
      <c r="Z378" s="40"/>
      <c r="AA378" s="40"/>
      <c r="AB378" s="34"/>
      <c r="AC378" s="34"/>
      <c r="AD378" s="40"/>
      <c r="AE378" s="40"/>
      <c r="AF378" s="40"/>
      <c r="AG378" s="40"/>
      <c r="AH378" s="34"/>
      <c r="AI378" s="34"/>
      <c r="AJ378" s="34"/>
      <c r="AK378" s="40"/>
      <c r="AL378" s="34"/>
      <c r="AM378" s="40"/>
      <c r="AN378" s="40"/>
      <c r="AO378" s="40"/>
      <c r="AP378" s="40"/>
      <c r="AQ378" s="40"/>
      <c r="AR378" s="40"/>
      <c r="AS378" s="40"/>
      <c r="AT378" s="40"/>
      <c r="AU378" s="40"/>
    </row>
    <row r="379" spans="1:47" ht="15.75" customHeight="1" x14ac:dyDescent="0.25">
      <c r="A379" s="34"/>
      <c r="B379" s="35"/>
      <c r="C379" s="36"/>
      <c r="D379" s="37"/>
      <c r="E379" s="38"/>
      <c r="F379" s="39"/>
      <c r="G379" s="17"/>
      <c r="H379" s="39"/>
      <c r="I379" s="34"/>
      <c r="J379" s="40"/>
      <c r="K379" s="34"/>
      <c r="L379" s="34"/>
      <c r="M379" s="40"/>
      <c r="N379" s="34"/>
      <c r="O379" s="40"/>
      <c r="P379" s="34"/>
      <c r="Q379" s="34"/>
      <c r="R379" s="40"/>
      <c r="S379" s="40"/>
      <c r="T379" s="34"/>
      <c r="U379" s="40"/>
      <c r="V379" s="34"/>
      <c r="W379" s="40"/>
      <c r="X379" s="34"/>
      <c r="Y379" s="34"/>
      <c r="Z379" s="40"/>
      <c r="AA379" s="40"/>
      <c r="AB379" s="34"/>
      <c r="AC379" s="34"/>
      <c r="AD379" s="40"/>
      <c r="AE379" s="40"/>
      <c r="AF379" s="40"/>
      <c r="AG379" s="40"/>
      <c r="AH379" s="34"/>
      <c r="AI379" s="34"/>
      <c r="AJ379" s="34"/>
      <c r="AK379" s="40"/>
      <c r="AL379" s="34"/>
      <c r="AM379" s="40"/>
      <c r="AN379" s="40"/>
      <c r="AO379" s="40"/>
      <c r="AP379" s="40"/>
      <c r="AQ379" s="40"/>
      <c r="AR379" s="40"/>
      <c r="AS379" s="40"/>
      <c r="AT379" s="40"/>
      <c r="AU379" s="40"/>
    </row>
    <row r="380" spans="1:47" ht="15.75" customHeight="1" x14ac:dyDescent="0.25">
      <c r="A380" s="34"/>
      <c r="B380" s="35"/>
      <c r="C380" s="36"/>
      <c r="D380" s="37"/>
      <c r="E380" s="38"/>
      <c r="F380" s="39"/>
      <c r="G380" s="17"/>
      <c r="H380" s="39"/>
      <c r="I380" s="34"/>
      <c r="J380" s="40"/>
      <c r="K380" s="34"/>
      <c r="L380" s="34"/>
      <c r="M380" s="40"/>
      <c r="N380" s="34"/>
      <c r="O380" s="40"/>
      <c r="P380" s="34"/>
      <c r="Q380" s="34"/>
      <c r="R380" s="40"/>
      <c r="S380" s="40"/>
      <c r="T380" s="34"/>
      <c r="U380" s="40"/>
      <c r="V380" s="34"/>
      <c r="W380" s="40"/>
      <c r="X380" s="34"/>
      <c r="Y380" s="34"/>
      <c r="Z380" s="40"/>
      <c r="AA380" s="40"/>
      <c r="AB380" s="34"/>
      <c r="AC380" s="34"/>
      <c r="AD380" s="40"/>
      <c r="AE380" s="40"/>
      <c r="AF380" s="40"/>
      <c r="AG380" s="40"/>
      <c r="AH380" s="34"/>
      <c r="AI380" s="34"/>
      <c r="AJ380" s="34"/>
      <c r="AK380" s="40"/>
      <c r="AL380" s="34"/>
      <c r="AM380" s="40"/>
      <c r="AN380" s="40"/>
      <c r="AO380" s="40"/>
      <c r="AP380" s="40"/>
      <c r="AQ380" s="40"/>
      <c r="AR380" s="40"/>
      <c r="AS380" s="40"/>
      <c r="AT380" s="40"/>
      <c r="AU380" s="40"/>
    </row>
    <row r="381" spans="1:47" ht="15.75" customHeight="1" x14ac:dyDescent="0.25">
      <c r="A381" s="34"/>
      <c r="B381" s="35"/>
      <c r="C381" s="36"/>
      <c r="D381" s="37"/>
      <c r="E381" s="38"/>
      <c r="F381" s="39"/>
      <c r="G381" s="17"/>
      <c r="H381" s="39"/>
      <c r="I381" s="34"/>
      <c r="J381" s="40"/>
      <c r="K381" s="34"/>
      <c r="L381" s="34"/>
      <c r="M381" s="40"/>
      <c r="N381" s="34"/>
      <c r="O381" s="40"/>
      <c r="P381" s="34"/>
      <c r="Q381" s="34"/>
      <c r="R381" s="40"/>
      <c r="S381" s="40"/>
      <c r="T381" s="34"/>
      <c r="U381" s="40"/>
      <c r="V381" s="34"/>
      <c r="W381" s="40"/>
      <c r="X381" s="34"/>
      <c r="Y381" s="34"/>
      <c r="Z381" s="40"/>
      <c r="AA381" s="40"/>
      <c r="AB381" s="34"/>
      <c r="AC381" s="34"/>
      <c r="AD381" s="40"/>
      <c r="AE381" s="40"/>
      <c r="AF381" s="40"/>
      <c r="AG381" s="40"/>
      <c r="AH381" s="34"/>
      <c r="AI381" s="34"/>
      <c r="AJ381" s="34"/>
      <c r="AK381" s="40"/>
      <c r="AL381" s="34"/>
      <c r="AM381" s="40"/>
      <c r="AN381" s="40"/>
      <c r="AO381" s="40"/>
      <c r="AP381" s="40"/>
      <c r="AQ381" s="40"/>
      <c r="AR381" s="40"/>
      <c r="AS381" s="40"/>
      <c r="AT381" s="40"/>
      <c r="AU381" s="40"/>
    </row>
    <row r="382" spans="1:47" ht="15.75" customHeight="1" x14ac:dyDescent="0.25">
      <c r="A382" s="34"/>
      <c r="B382" s="35"/>
      <c r="C382" s="36"/>
      <c r="D382" s="37"/>
      <c r="E382" s="38"/>
      <c r="F382" s="39"/>
      <c r="G382" s="17"/>
      <c r="H382" s="39"/>
      <c r="I382" s="34"/>
      <c r="J382" s="40"/>
      <c r="K382" s="34"/>
      <c r="L382" s="34"/>
      <c r="M382" s="40"/>
      <c r="N382" s="34"/>
      <c r="O382" s="40"/>
      <c r="P382" s="34"/>
      <c r="Q382" s="34"/>
      <c r="R382" s="40"/>
      <c r="S382" s="40"/>
      <c r="T382" s="34"/>
      <c r="U382" s="40"/>
      <c r="V382" s="34"/>
      <c r="W382" s="40"/>
      <c r="X382" s="34"/>
      <c r="Y382" s="34"/>
      <c r="Z382" s="40"/>
      <c r="AA382" s="40"/>
      <c r="AB382" s="34"/>
      <c r="AC382" s="34"/>
      <c r="AD382" s="40"/>
      <c r="AE382" s="40"/>
      <c r="AF382" s="40"/>
      <c r="AG382" s="40"/>
      <c r="AH382" s="34"/>
      <c r="AI382" s="34"/>
      <c r="AJ382" s="34"/>
      <c r="AK382" s="40"/>
      <c r="AL382" s="34"/>
      <c r="AM382" s="40"/>
      <c r="AN382" s="40"/>
      <c r="AO382" s="40"/>
      <c r="AP382" s="40"/>
      <c r="AQ382" s="40"/>
      <c r="AR382" s="40"/>
      <c r="AS382" s="40"/>
      <c r="AT382" s="40"/>
      <c r="AU382" s="40"/>
    </row>
    <row r="383" spans="1:47" ht="15.75" customHeight="1" x14ac:dyDescent="0.25">
      <c r="A383" s="34"/>
      <c r="B383" s="35"/>
      <c r="C383" s="36"/>
      <c r="D383" s="37"/>
      <c r="E383" s="38"/>
      <c r="F383" s="39"/>
      <c r="G383" s="17"/>
      <c r="H383" s="39"/>
      <c r="I383" s="34"/>
      <c r="J383" s="40"/>
      <c r="K383" s="34"/>
      <c r="L383" s="34"/>
      <c r="M383" s="40"/>
      <c r="N383" s="34"/>
      <c r="O383" s="40"/>
      <c r="P383" s="34"/>
      <c r="Q383" s="34"/>
      <c r="R383" s="40"/>
      <c r="S383" s="40"/>
      <c r="T383" s="34"/>
      <c r="U383" s="40"/>
      <c r="V383" s="34"/>
      <c r="W383" s="40"/>
      <c r="X383" s="34"/>
      <c r="Y383" s="34"/>
      <c r="Z383" s="40"/>
      <c r="AA383" s="40"/>
      <c r="AB383" s="34"/>
      <c r="AC383" s="34"/>
      <c r="AD383" s="40"/>
      <c r="AE383" s="40"/>
      <c r="AF383" s="40"/>
      <c r="AG383" s="40"/>
      <c r="AH383" s="34"/>
      <c r="AI383" s="34"/>
      <c r="AJ383" s="34"/>
      <c r="AK383" s="40"/>
      <c r="AL383" s="34"/>
      <c r="AM383" s="40"/>
      <c r="AN383" s="40"/>
      <c r="AO383" s="40"/>
      <c r="AP383" s="40"/>
      <c r="AQ383" s="40"/>
      <c r="AR383" s="40"/>
      <c r="AS383" s="40"/>
      <c r="AT383" s="40"/>
      <c r="AU383" s="40"/>
    </row>
    <row r="384" spans="1:47" ht="15.75" customHeight="1" x14ac:dyDescent="0.25">
      <c r="A384" s="34"/>
      <c r="B384" s="35"/>
      <c r="C384" s="36"/>
      <c r="D384" s="37"/>
      <c r="E384" s="38"/>
      <c r="F384" s="39"/>
      <c r="G384" s="17"/>
      <c r="H384" s="39"/>
      <c r="I384" s="34"/>
      <c r="J384" s="40"/>
      <c r="K384" s="34"/>
      <c r="L384" s="34"/>
      <c r="M384" s="40"/>
      <c r="N384" s="34"/>
      <c r="O384" s="40"/>
      <c r="P384" s="34"/>
      <c r="Q384" s="34"/>
      <c r="R384" s="40"/>
      <c r="S384" s="40"/>
      <c r="T384" s="34"/>
      <c r="U384" s="40"/>
      <c r="V384" s="34"/>
      <c r="W384" s="40"/>
      <c r="X384" s="34"/>
      <c r="Y384" s="34"/>
      <c r="Z384" s="40"/>
      <c r="AA384" s="40"/>
      <c r="AB384" s="34"/>
      <c r="AC384" s="34"/>
      <c r="AD384" s="40"/>
      <c r="AE384" s="40"/>
      <c r="AF384" s="40"/>
      <c r="AG384" s="40"/>
      <c r="AH384" s="34"/>
      <c r="AI384" s="34"/>
      <c r="AJ384" s="34"/>
      <c r="AK384" s="40"/>
      <c r="AL384" s="34"/>
      <c r="AM384" s="40"/>
      <c r="AN384" s="40"/>
      <c r="AO384" s="40"/>
      <c r="AP384" s="40"/>
      <c r="AQ384" s="40"/>
      <c r="AR384" s="40"/>
      <c r="AS384" s="40"/>
      <c r="AT384" s="40"/>
      <c r="AU384" s="40"/>
    </row>
    <row r="385" spans="1:47" ht="15.75" customHeight="1" x14ac:dyDescent="0.25">
      <c r="A385" s="34"/>
      <c r="B385" s="35"/>
      <c r="C385" s="36"/>
      <c r="D385" s="37"/>
      <c r="E385" s="38"/>
      <c r="F385" s="39"/>
      <c r="G385" s="17"/>
      <c r="H385" s="39"/>
      <c r="I385" s="34"/>
      <c r="J385" s="40"/>
      <c r="K385" s="34"/>
      <c r="L385" s="34"/>
      <c r="M385" s="40"/>
      <c r="N385" s="34"/>
      <c r="O385" s="40"/>
      <c r="P385" s="34"/>
      <c r="Q385" s="34"/>
      <c r="R385" s="40"/>
      <c r="S385" s="40"/>
      <c r="T385" s="34"/>
      <c r="U385" s="40"/>
      <c r="V385" s="34"/>
      <c r="W385" s="40"/>
      <c r="X385" s="34"/>
      <c r="Y385" s="34"/>
      <c r="Z385" s="40"/>
      <c r="AA385" s="40"/>
      <c r="AB385" s="34"/>
      <c r="AC385" s="34"/>
      <c r="AD385" s="40"/>
      <c r="AE385" s="40"/>
      <c r="AF385" s="40"/>
      <c r="AG385" s="40"/>
      <c r="AH385" s="34"/>
      <c r="AI385" s="34"/>
      <c r="AJ385" s="34"/>
      <c r="AK385" s="40"/>
      <c r="AL385" s="34"/>
      <c r="AM385" s="40"/>
      <c r="AN385" s="40"/>
      <c r="AO385" s="40"/>
      <c r="AP385" s="40"/>
      <c r="AQ385" s="40"/>
      <c r="AR385" s="40"/>
      <c r="AS385" s="40"/>
      <c r="AT385" s="40"/>
      <c r="AU385" s="40"/>
    </row>
    <row r="386" spans="1:47" ht="15.75" customHeight="1" x14ac:dyDescent="0.25">
      <c r="A386" s="34"/>
      <c r="B386" s="35"/>
      <c r="C386" s="36"/>
      <c r="D386" s="37"/>
      <c r="E386" s="38"/>
      <c r="F386" s="39"/>
      <c r="G386" s="17"/>
      <c r="H386" s="39"/>
      <c r="I386" s="34"/>
      <c r="J386" s="40"/>
      <c r="K386" s="34"/>
      <c r="L386" s="34"/>
      <c r="M386" s="40"/>
      <c r="N386" s="34"/>
      <c r="O386" s="40"/>
      <c r="P386" s="34"/>
      <c r="Q386" s="34"/>
      <c r="R386" s="40"/>
      <c r="S386" s="40"/>
      <c r="T386" s="34"/>
      <c r="U386" s="40"/>
      <c r="V386" s="34"/>
      <c r="W386" s="40"/>
      <c r="X386" s="34"/>
      <c r="Y386" s="34"/>
      <c r="Z386" s="40"/>
      <c r="AA386" s="40"/>
      <c r="AB386" s="34"/>
      <c r="AC386" s="34"/>
      <c r="AD386" s="40"/>
      <c r="AE386" s="40"/>
      <c r="AF386" s="40"/>
      <c r="AG386" s="40"/>
      <c r="AH386" s="34"/>
      <c r="AI386" s="34"/>
      <c r="AJ386" s="34"/>
      <c r="AK386" s="40"/>
      <c r="AL386" s="34"/>
      <c r="AM386" s="40"/>
      <c r="AN386" s="40"/>
      <c r="AO386" s="40"/>
      <c r="AP386" s="40"/>
      <c r="AQ386" s="40"/>
      <c r="AR386" s="40"/>
      <c r="AS386" s="40"/>
      <c r="AT386" s="40"/>
      <c r="AU386" s="40"/>
    </row>
    <row r="387" spans="1:47" ht="15.75" customHeight="1" x14ac:dyDescent="0.25">
      <c r="A387" s="34"/>
      <c r="B387" s="35"/>
      <c r="C387" s="36"/>
      <c r="D387" s="37"/>
      <c r="E387" s="38"/>
      <c r="F387" s="39"/>
      <c r="G387" s="17"/>
      <c r="H387" s="39"/>
      <c r="I387" s="34"/>
      <c r="J387" s="40"/>
      <c r="K387" s="34"/>
      <c r="L387" s="34"/>
      <c r="M387" s="40"/>
      <c r="N387" s="34"/>
      <c r="O387" s="40"/>
      <c r="P387" s="34"/>
      <c r="Q387" s="34"/>
      <c r="R387" s="40"/>
      <c r="S387" s="40"/>
      <c r="T387" s="34"/>
      <c r="U387" s="40"/>
      <c r="V387" s="34"/>
      <c r="W387" s="40"/>
      <c r="X387" s="34"/>
      <c r="Y387" s="34"/>
      <c r="Z387" s="40"/>
      <c r="AA387" s="40"/>
      <c r="AB387" s="34"/>
      <c r="AC387" s="34"/>
      <c r="AD387" s="40"/>
      <c r="AE387" s="40"/>
      <c r="AF387" s="40"/>
      <c r="AG387" s="40"/>
      <c r="AH387" s="34"/>
      <c r="AI387" s="34"/>
      <c r="AJ387" s="34"/>
      <c r="AK387" s="40"/>
      <c r="AL387" s="34"/>
      <c r="AM387" s="40"/>
      <c r="AN387" s="40"/>
      <c r="AO387" s="40"/>
      <c r="AP387" s="40"/>
      <c r="AQ387" s="40"/>
      <c r="AR387" s="40"/>
      <c r="AS387" s="40"/>
      <c r="AT387" s="40"/>
      <c r="AU387" s="40"/>
    </row>
    <row r="388" spans="1:47" ht="15.75" customHeight="1" x14ac:dyDescent="0.25">
      <c r="A388" s="34"/>
      <c r="B388" s="35"/>
      <c r="C388" s="36"/>
      <c r="D388" s="37"/>
      <c r="E388" s="38"/>
      <c r="F388" s="39"/>
      <c r="G388" s="17"/>
      <c r="H388" s="39"/>
      <c r="I388" s="34"/>
      <c r="J388" s="40"/>
      <c r="K388" s="34"/>
      <c r="L388" s="34"/>
      <c r="M388" s="40"/>
      <c r="N388" s="34"/>
      <c r="O388" s="40"/>
      <c r="P388" s="34"/>
      <c r="Q388" s="34"/>
      <c r="R388" s="40"/>
      <c r="S388" s="40"/>
      <c r="T388" s="34"/>
      <c r="U388" s="40"/>
      <c r="V388" s="34"/>
      <c r="W388" s="40"/>
      <c r="X388" s="34"/>
      <c r="Y388" s="34"/>
      <c r="Z388" s="40"/>
      <c r="AA388" s="40"/>
      <c r="AB388" s="34"/>
      <c r="AC388" s="34"/>
      <c r="AD388" s="40"/>
      <c r="AE388" s="40"/>
      <c r="AF388" s="40"/>
      <c r="AG388" s="40"/>
      <c r="AH388" s="34"/>
      <c r="AI388" s="34"/>
      <c r="AJ388" s="34"/>
      <c r="AK388" s="40"/>
      <c r="AL388" s="34"/>
      <c r="AM388" s="40"/>
      <c r="AN388" s="40"/>
      <c r="AO388" s="40"/>
      <c r="AP388" s="40"/>
      <c r="AQ388" s="40"/>
      <c r="AR388" s="40"/>
      <c r="AS388" s="40"/>
      <c r="AT388" s="40"/>
      <c r="AU388" s="40"/>
    </row>
    <row r="389" spans="1:47" ht="15.75" customHeight="1" x14ac:dyDescent="0.25">
      <c r="A389" s="34"/>
      <c r="B389" s="35"/>
      <c r="C389" s="36"/>
      <c r="D389" s="37"/>
      <c r="E389" s="38"/>
      <c r="F389" s="39"/>
      <c r="G389" s="17"/>
      <c r="H389" s="39"/>
      <c r="I389" s="34"/>
      <c r="J389" s="40"/>
      <c r="K389" s="34"/>
      <c r="L389" s="34"/>
      <c r="M389" s="40"/>
      <c r="N389" s="34"/>
      <c r="O389" s="40"/>
      <c r="P389" s="34"/>
      <c r="Q389" s="34"/>
      <c r="R389" s="40"/>
      <c r="S389" s="40"/>
      <c r="T389" s="34"/>
      <c r="U389" s="40"/>
      <c r="V389" s="34"/>
      <c r="W389" s="40"/>
      <c r="X389" s="34"/>
      <c r="Y389" s="34"/>
      <c r="Z389" s="40"/>
      <c r="AA389" s="40"/>
      <c r="AB389" s="34"/>
      <c r="AC389" s="34"/>
      <c r="AD389" s="40"/>
      <c r="AE389" s="40"/>
      <c r="AF389" s="40"/>
      <c r="AG389" s="40"/>
      <c r="AH389" s="34"/>
      <c r="AI389" s="34"/>
      <c r="AJ389" s="34"/>
      <c r="AK389" s="40"/>
      <c r="AL389" s="34"/>
      <c r="AM389" s="40"/>
      <c r="AN389" s="40"/>
      <c r="AO389" s="40"/>
      <c r="AP389" s="40"/>
      <c r="AQ389" s="40"/>
      <c r="AR389" s="40"/>
      <c r="AS389" s="40"/>
      <c r="AT389" s="40"/>
      <c r="AU389" s="40"/>
    </row>
    <row r="390" spans="1:47" ht="15.75" customHeight="1" x14ac:dyDescent="0.25">
      <c r="A390" s="34"/>
      <c r="B390" s="35"/>
      <c r="C390" s="36"/>
      <c r="D390" s="37"/>
      <c r="E390" s="38"/>
      <c r="F390" s="39"/>
      <c r="G390" s="17"/>
      <c r="H390" s="39"/>
      <c r="I390" s="34"/>
      <c r="J390" s="40"/>
      <c r="K390" s="34"/>
      <c r="L390" s="34"/>
      <c r="M390" s="40"/>
      <c r="N390" s="34"/>
      <c r="O390" s="40"/>
      <c r="P390" s="34"/>
      <c r="Q390" s="34"/>
      <c r="R390" s="40"/>
      <c r="S390" s="40"/>
      <c r="T390" s="34"/>
      <c r="U390" s="40"/>
      <c r="V390" s="34"/>
      <c r="W390" s="40"/>
      <c r="X390" s="34"/>
      <c r="Y390" s="34"/>
      <c r="Z390" s="40"/>
      <c r="AA390" s="40"/>
      <c r="AB390" s="34"/>
      <c r="AC390" s="34"/>
      <c r="AD390" s="40"/>
      <c r="AE390" s="40"/>
      <c r="AF390" s="40"/>
      <c r="AG390" s="40"/>
      <c r="AH390" s="34"/>
      <c r="AI390" s="34"/>
      <c r="AJ390" s="34"/>
      <c r="AK390" s="40"/>
      <c r="AL390" s="34"/>
      <c r="AM390" s="40"/>
      <c r="AN390" s="40"/>
      <c r="AO390" s="40"/>
      <c r="AP390" s="40"/>
      <c r="AQ390" s="40"/>
      <c r="AR390" s="40"/>
      <c r="AS390" s="40"/>
      <c r="AT390" s="40"/>
      <c r="AU390" s="40"/>
    </row>
    <row r="391" spans="1:47" ht="15.75" customHeight="1" x14ac:dyDescent="0.25">
      <c r="A391" s="34"/>
      <c r="B391" s="35"/>
      <c r="C391" s="36"/>
      <c r="D391" s="37"/>
      <c r="E391" s="38"/>
      <c r="F391" s="39"/>
      <c r="G391" s="17"/>
      <c r="H391" s="39"/>
      <c r="I391" s="34"/>
      <c r="J391" s="40"/>
      <c r="K391" s="34"/>
      <c r="L391" s="34"/>
      <c r="M391" s="40"/>
      <c r="N391" s="34"/>
      <c r="O391" s="40"/>
      <c r="P391" s="34"/>
      <c r="Q391" s="34"/>
      <c r="R391" s="40"/>
      <c r="S391" s="40"/>
      <c r="T391" s="34"/>
      <c r="U391" s="40"/>
      <c r="V391" s="34"/>
      <c r="W391" s="40"/>
      <c r="X391" s="34"/>
      <c r="Y391" s="34"/>
      <c r="Z391" s="40"/>
      <c r="AA391" s="40"/>
      <c r="AB391" s="34"/>
      <c r="AC391" s="34"/>
      <c r="AD391" s="40"/>
      <c r="AE391" s="40"/>
      <c r="AF391" s="40"/>
      <c r="AG391" s="40"/>
      <c r="AH391" s="34"/>
      <c r="AI391" s="34"/>
      <c r="AJ391" s="34"/>
      <c r="AK391" s="40"/>
      <c r="AL391" s="34"/>
      <c r="AM391" s="40"/>
      <c r="AN391" s="40"/>
      <c r="AO391" s="40"/>
      <c r="AP391" s="40"/>
      <c r="AQ391" s="40"/>
      <c r="AR391" s="40"/>
      <c r="AS391" s="40"/>
      <c r="AT391" s="40"/>
      <c r="AU391" s="40"/>
    </row>
    <row r="392" spans="1:47" ht="15.75" customHeight="1" x14ac:dyDescent="0.25">
      <c r="A392" s="34"/>
      <c r="B392" s="35"/>
      <c r="C392" s="36"/>
      <c r="D392" s="37"/>
      <c r="E392" s="38"/>
      <c r="F392" s="39"/>
      <c r="G392" s="17"/>
      <c r="H392" s="39"/>
      <c r="I392" s="34"/>
      <c r="J392" s="40"/>
      <c r="K392" s="34"/>
      <c r="L392" s="34"/>
      <c r="M392" s="40"/>
      <c r="N392" s="34"/>
      <c r="O392" s="40"/>
      <c r="P392" s="34"/>
      <c r="Q392" s="34"/>
      <c r="R392" s="40"/>
      <c r="S392" s="40"/>
      <c r="T392" s="34"/>
      <c r="U392" s="40"/>
      <c r="V392" s="34"/>
      <c r="W392" s="40"/>
      <c r="X392" s="34"/>
      <c r="Y392" s="34"/>
      <c r="Z392" s="40"/>
      <c r="AA392" s="40"/>
      <c r="AB392" s="34"/>
      <c r="AC392" s="34"/>
      <c r="AD392" s="40"/>
      <c r="AE392" s="40"/>
      <c r="AF392" s="40"/>
      <c r="AG392" s="40"/>
      <c r="AH392" s="34"/>
      <c r="AI392" s="34"/>
      <c r="AJ392" s="34"/>
      <c r="AK392" s="40"/>
      <c r="AL392" s="34"/>
      <c r="AM392" s="40"/>
      <c r="AN392" s="40"/>
      <c r="AO392" s="40"/>
      <c r="AP392" s="40"/>
      <c r="AQ392" s="40"/>
      <c r="AR392" s="40"/>
      <c r="AS392" s="40"/>
      <c r="AT392" s="40"/>
      <c r="AU392" s="40"/>
    </row>
    <row r="393" spans="1:47" ht="15.75" customHeight="1" x14ac:dyDescent="0.25">
      <c r="A393" s="34"/>
      <c r="B393" s="35"/>
      <c r="C393" s="36"/>
      <c r="D393" s="37"/>
      <c r="E393" s="38"/>
      <c r="F393" s="39"/>
      <c r="G393" s="17"/>
      <c r="H393" s="39"/>
      <c r="I393" s="34"/>
      <c r="J393" s="40"/>
      <c r="K393" s="34"/>
      <c r="L393" s="34"/>
      <c r="M393" s="40"/>
      <c r="N393" s="34"/>
      <c r="O393" s="40"/>
      <c r="P393" s="34"/>
      <c r="Q393" s="34"/>
      <c r="R393" s="40"/>
      <c r="S393" s="40"/>
      <c r="T393" s="34"/>
      <c r="U393" s="40"/>
      <c r="V393" s="34"/>
      <c r="W393" s="40"/>
      <c r="X393" s="34"/>
      <c r="Y393" s="34"/>
      <c r="Z393" s="40"/>
      <c r="AA393" s="40"/>
      <c r="AB393" s="34"/>
      <c r="AC393" s="34"/>
      <c r="AD393" s="40"/>
      <c r="AE393" s="40"/>
      <c r="AF393" s="40"/>
      <c r="AG393" s="40"/>
      <c r="AH393" s="34"/>
      <c r="AI393" s="34"/>
      <c r="AJ393" s="34"/>
      <c r="AK393" s="40"/>
      <c r="AL393" s="34"/>
      <c r="AM393" s="40"/>
      <c r="AN393" s="40"/>
      <c r="AO393" s="40"/>
      <c r="AP393" s="40"/>
      <c r="AQ393" s="40"/>
      <c r="AR393" s="40"/>
      <c r="AS393" s="40"/>
      <c r="AT393" s="40"/>
      <c r="AU393" s="40"/>
    </row>
    <row r="394" spans="1:47" ht="15.75" customHeight="1" x14ac:dyDescent="0.25">
      <c r="A394" s="34"/>
      <c r="B394" s="35"/>
      <c r="C394" s="36"/>
      <c r="D394" s="37"/>
      <c r="E394" s="38"/>
      <c r="F394" s="39"/>
      <c r="G394" s="17"/>
      <c r="H394" s="39"/>
      <c r="I394" s="34"/>
      <c r="J394" s="40"/>
      <c r="K394" s="34"/>
      <c r="L394" s="34"/>
      <c r="M394" s="40"/>
      <c r="N394" s="34"/>
      <c r="O394" s="40"/>
      <c r="P394" s="34"/>
      <c r="Q394" s="34"/>
      <c r="R394" s="40"/>
      <c r="S394" s="40"/>
      <c r="T394" s="34"/>
      <c r="U394" s="40"/>
      <c r="V394" s="34"/>
      <c r="W394" s="40"/>
      <c r="X394" s="34"/>
      <c r="Y394" s="34"/>
      <c r="Z394" s="40"/>
      <c r="AA394" s="40"/>
      <c r="AB394" s="34"/>
      <c r="AC394" s="34"/>
      <c r="AD394" s="40"/>
      <c r="AE394" s="40"/>
      <c r="AF394" s="40"/>
      <c r="AG394" s="40"/>
      <c r="AH394" s="34"/>
      <c r="AI394" s="34"/>
      <c r="AJ394" s="34"/>
      <c r="AK394" s="40"/>
      <c r="AL394" s="34"/>
      <c r="AM394" s="40"/>
      <c r="AN394" s="40"/>
      <c r="AO394" s="40"/>
      <c r="AP394" s="40"/>
      <c r="AQ394" s="40"/>
      <c r="AR394" s="40"/>
      <c r="AS394" s="40"/>
      <c r="AT394" s="40"/>
      <c r="AU394" s="40"/>
    </row>
    <row r="395" spans="1:47" ht="15.75" customHeight="1" x14ac:dyDescent="0.25">
      <c r="A395" s="34"/>
      <c r="B395" s="35"/>
      <c r="C395" s="36"/>
      <c r="D395" s="37"/>
      <c r="E395" s="38"/>
      <c r="F395" s="39"/>
      <c r="G395" s="17"/>
      <c r="H395" s="39"/>
      <c r="I395" s="34"/>
      <c r="J395" s="40"/>
      <c r="K395" s="34"/>
      <c r="L395" s="34"/>
      <c r="M395" s="40"/>
      <c r="N395" s="34"/>
      <c r="O395" s="40"/>
      <c r="P395" s="34"/>
      <c r="Q395" s="34"/>
      <c r="R395" s="40"/>
      <c r="S395" s="40"/>
      <c r="T395" s="34"/>
      <c r="U395" s="40"/>
      <c r="V395" s="34"/>
      <c r="W395" s="40"/>
      <c r="X395" s="34"/>
      <c r="Y395" s="34"/>
      <c r="Z395" s="40"/>
      <c r="AA395" s="40"/>
      <c r="AB395" s="34"/>
      <c r="AC395" s="34"/>
      <c r="AD395" s="40"/>
      <c r="AE395" s="40"/>
      <c r="AF395" s="40"/>
      <c r="AG395" s="40"/>
      <c r="AH395" s="34"/>
      <c r="AI395" s="34"/>
      <c r="AJ395" s="34"/>
      <c r="AK395" s="40"/>
      <c r="AL395" s="34"/>
      <c r="AM395" s="40"/>
      <c r="AN395" s="40"/>
      <c r="AO395" s="40"/>
      <c r="AP395" s="40"/>
      <c r="AQ395" s="40"/>
      <c r="AR395" s="40"/>
      <c r="AS395" s="40"/>
      <c r="AT395" s="40"/>
      <c r="AU395" s="40"/>
    </row>
    <row r="396" spans="1:47" ht="15.75" customHeight="1" x14ac:dyDescent="0.25">
      <c r="A396" s="34"/>
      <c r="B396" s="35"/>
      <c r="C396" s="36"/>
      <c r="D396" s="37"/>
      <c r="E396" s="38"/>
      <c r="F396" s="39"/>
      <c r="G396" s="17"/>
      <c r="H396" s="39"/>
      <c r="I396" s="34"/>
      <c r="J396" s="40"/>
      <c r="K396" s="34"/>
      <c r="L396" s="34"/>
      <c r="M396" s="40"/>
      <c r="N396" s="34"/>
      <c r="O396" s="40"/>
      <c r="P396" s="34"/>
      <c r="Q396" s="34"/>
      <c r="R396" s="40"/>
      <c r="S396" s="40"/>
      <c r="T396" s="34"/>
      <c r="U396" s="40"/>
      <c r="V396" s="34"/>
      <c r="W396" s="40"/>
      <c r="X396" s="34"/>
      <c r="Y396" s="34"/>
      <c r="Z396" s="40"/>
      <c r="AA396" s="40"/>
      <c r="AB396" s="34"/>
      <c r="AC396" s="34"/>
      <c r="AD396" s="40"/>
      <c r="AE396" s="40"/>
      <c r="AF396" s="40"/>
      <c r="AG396" s="40"/>
      <c r="AH396" s="34"/>
      <c r="AI396" s="34"/>
      <c r="AJ396" s="34"/>
      <c r="AK396" s="40"/>
      <c r="AL396" s="34"/>
      <c r="AM396" s="40"/>
      <c r="AN396" s="40"/>
      <c r="AO396" s="40"/>
      <c r="AP396" s="40"/>
      <c r="AQ396" s="40"/>
      <c r="AR396" s="40"/>
      <c r="AS396" s="40"/>
      <c r="AT396" s="40"/>
      <c r="AU396" s="40"/>
    </row>
    <row r="397" spans="1:47" ht="15.75" customHeight="1" x14ac:dyDescent="0.25">
      <c r="A397" s="34"/>
      <c r="B397" s="35"/>
      <c r="C397" s="36"/>
      <c r="D397" s="37"/>
      <c r="E397" s="38"/>
      <c r="F397" s="39"/>
      <c r="G397" s="17"/>
      <c r="H397" s="39"/>
      <c r="I397" s="34"/>
      <c r="J397" s="40"/>
      <c r="K397" s="34"/>
      <c r="L397" s="34"/>
      <c r="M397" s="40"/>
      <c r="N397" s="34"/>
      <c r="O397" s="40"/>
      <c r="P397" s="34"/>
      <c r="Q397" s="34"/>
      <c r="R397" s="40"/>
      <c r="S397" s="40"/>
      <c r="T397" s="34"/>
      <c r="U397" s="40"/>
      <c r="V397" s="34"/>
      <c r="W397" s="40"/>
      <c r="X397" s="34"/>
      <c r="Y397" s="34"/>
      <c r="Z397" s="40"/>
      <c r="AA397" s="40"/>
      <c r="AB397" s="34"/>
      <c r="AC397" s="34"/>
      <c r="AD397" s="40"/>
      <c r="AE397" s="40"/>
      <c r="AF397" s="40"/>
      <c r="AG397" s="40"/>
      <c r="AH397" s="34"/>
      <c r="AI397" s="34"/>
      <c r="AJ397" s="34"/>
      <c r="AK397" s="40"/>
      <c r="AL397" s="34"/>
      <c r="AM397" s="40"/>
      <c r="AN397" s="40"/>
      <c r="AO397" s="40"/>
      <c r="AP397" s="40"/>
      <c r="AQ397" s="40"/>
      <c r="AR397" s="40"/>
      <c r="AS397" s="40"/>
      <c r="AT397" s="40"/>
      <c r="AU397" s="40"/>
    </row>
    <row r="398" spans="1:47" ht="15.75" customHeight="1" x14ac:dyDescent="0.25">
      <c r="A398" s="34"/>
      <c r="B398" s="35"/>
      <c r="C398" s="36"/>
      <c r="D398" s="37"/>
      <c r="E398" s="38"/>
      <c r="F398" s="39"/>
      <c r="G398" s="17"/>
      <c r="H398" s="39"/>
      <c r="I398" s="34"/>
      <c r="J398" s="40"/>
      <c r="K398" s="34"/>
      <c r="L398" s="34"/>
      <c r="M398" s="40"/>
      <c r="N398" s="34"/>
      <c r="O398" s="40"/>
      <c r="P398" s="34"/>
      <c r="Q398" s="34"/>
      <c r="R398" s="40"/>
      <c r="S398" s="40"/>
      <c r="T398" s="34"/>
      <c r="U398" s="40"/>
      <c r="V398" s="34"/>
      <c r="W398" s="40"/>
      <c r="X398" s="34"/>
      <c r="Y398" s="34"/>
      <c r="Z398" s="40"/>
      <c r="AA398" s="40"/>
      <c r="AB398" s="34"/>
      <c r="AC398" s="34"/>
      <c r="AD398" s="40"/>
      <c r="AE398" s="40"/>
      <c r="AF398" s="40"/>
      <c r="AG398" s="40"/>
      <c r="AH398" s="34"/>
      <c r="AI398" s="34"/>
      <c r="AJ398" s="34"/>
      <c r="AK398" s="40"/>
      <c r="AL398" s="34"/>
      <c r="AM398" s="40"/>
      <c r="AN398" s="40"/>
      <c r="AO398" s="40"/>
      <c r="AP398" s="40"/>
      <c r="AQ398" s="40"/>
      <c r="AR398" s="40"/>
      <c r="AS398" s="40"/>
      <c r="AT398" s="40"/>
      <c r="AU398" s="40"/>
    </row>
    <row r="399" spans="1:47" ht="15.75" customHeight="1" x14ac:dyDescent="0.25">
      <c r="A399" s="34"/>
      <c r="B399" s="35"/>
      <c r="C399" s="36"/>
      <c r="D399" s="37"/>
      <c r="E399" s="38"/>
      <c r="F399" s="39"/>
      <c r="G399" s="17"/>
      <c r="H399" s="39"/>
      <c r="I399" s="34"/>
      <c r="J399" s="40"/>
      <c r="K399" s="34"/>
      <c r="L399" s="34"/>
      <c r="M399" s="40"/>
      <c r="N399" s="34"/>
      <c r="O399" s="40"/>
      <c r="P399" s="34"/>
      <c r="Q399" s="34"/>
      <c r="R399" s="40"/>
      <c r="S399" s="40"/>
      <c r="T399" s="34"/>
      <c r="U399" s="40"/>
      <c r="V399" s="34"/>
      <c r="W399" s="40"/>
      <c r="X399" s="34"/>
      <c r="Y399" s="34"/>
      <c r="Z399" s="40"/>
      <c r="AA399" s="40"/>
      <c r="AB399" s="34"/>
      <c r="AC399" s="34"/>
      <c r="AD399" s="40"/>
      <c r="AE399" s="40"/>
      <c r="AF399" s="40"/>
      <c r="AG399" s="40"/>
      <c r="AH399" s="34"/>
      <c r="AI399" s="34"/>
      <c r="AJ399" s="34"/>
      <c r="AK399" s="40"/>
      <c r="AL399" s="34"/>
      <c r="AM399" s="40"/>
      <c r="AN399" s="40"/>
      <c r="AO399" s="40"/>
      <c r="AP399" s="40"/>
      <c r="AQ399" s="40"/>
      <c r="AR399" s="40"/>
      <c r="AS399" s="40"/>
      <c r="AT399" s="40"/>
      <c r="AU399" s="40"/>
    </row>
    <row r="400" spans="1:47" ht="15.75" customHeight="1" x14ac:dyDescent="0.25">
      <c r="A400" s="34"/>
      <c r="B400" s="35"/>
      <c r="C400" s="36"/>
      <c r="D400" s="37"/>
      <c r="E400" s="38"/>
      <c r="F400" s="39"/>
      <c r="G400" s="17"/>
      <c r="H400" s="39"/>
      <c r="I400" s="34"/>
      <c r="J400" s="40"/>
      <c r="K400" s="34"/>
      <c r="L400" s="34"/>
      <c r="M400" s="40"/>
      <c r="N400" s="34"/>
      <c r="O400" s="40"/>
      <c r="P400" s="34"/>
      <c r="Q400" s="34"/>
      <c r="R400" s="40"/>
      <c r="S400" s="40"/>
      <c r="T400" s="34"/>
      <c r="U400" s="40"/>
      <c r="V400" s="34"/>
      <c r="W400" s="40"/>
      <c r="X400" s="34"/>
      <c r="Y400" s="34"/>
      <c r="Z400" s="40"/>
      <c r="AA400" s="40"/>
      <c r="AB400" s="34"/>
      <c r="AC400" s="34"/>
      <c r="AD400" s="40"/>
      <c r="AE400" s="40"/>
      <c r="AF400" s="40"/>
      <c r="AG400" s="40"/>
      <c r="AH400" s="34"/>
      <c r="AI400" s="34"/>
      <c r="AJ400" s="34"/>
      <c r="AK400" s="40"/>
      <c r="AL400" s="34"/>
      <c r="AM400" s="40"/>
      <c r="AN400" s="40"/>
      <c r="AO400" s="40"/>
      <c r="AP400" s="40"/>
      <c r="AQ400" s="40"/>
      <c r="AR400" s="40"/>
      <c r="AS400" s="40"/>
      <c r="AT400" s="40"/>
      <c r="AU400" s="40"/>
    </row>
    <row r="401" spans="1:47" ht="15.75" customHeight="1" x14ac:dyDescent="0.25">
      <c r="A401" s="34"/>
      <c r="B401" s="35"/>
      <c r="C401" s="36"/>
      <c r="D401" s="37"/>
      <c r="E401" s="38"/>
      <c r="F401" s="39"/>
      <c r="G401" s="17"/>
      <c r="H401" s="39"/>
      <c r="I401" s="34"/>
      <c r="J401" s="40"/>
      <c r="K401" s="34"/>
      <c r="L401" s="34"/>
      <c r="M401" s="40"/>
      <c r="N401" s="34"/>
      <c r="O401" s="40"/>
      <c r="P401" s="34"/>
      <c r="Q401" s="34"/>
      <c r="R401" s="40"/>
      <c r="S401" s="40"/>
      <c r="T401" s="34"/>
      <c r="U401" s="40"/>
      <c r="V401" s="34"/>
      <c r="W401" s="40"/>
      <c r="X401" s="34"/>
      <c r="Y401" s="34"/>
      <c r="Z401" s="40"/>
      <c r="AA401" s="40"/>
      <c r="AB401" s="34"/>
      <c r="AC401" s="34"/>
      <c r="AD401" s="40"/>
      <c r="AE401" s="40"/>
      <c r="AF401" s="40"/>
      <c r="AG401" s="40"/>
      <c r="AH401" s="34"/>
      <c r="AI401" s="34"/>
      <c r="AJ401" s="34"/>
      <c r="AK401" s="40"/>
      <c r="AL401" s="34"/>
      <c r="AM401" s="40"/>
      <c r="AN401" s="40"/>
      <c r="AO401" s="40"/>
      <c r="AP401" s="40"/>
      <c r="AQ401" s="40"/>
      <c r="AR401" s="40"/>
      <c r="AS401" s="40"/>
      <c r="AT401" s="40"/>
      <c r="AU401" s="40"/>
    </row>
    <row r="402" spans="1:47" ht="15.75" customHeight="1" x14ac:dyDescent="0.25">
      <c r="A402" s="34"/>
      <c r="B402" s="35"/>
      <c r="C402" s="36"/>
      <c r="D402" s="37"/>
      <c r="E402" s="38"/>
      <c r="F402" s="39"/>
      <c r="G402" s="17"/>
      <c r="H402" s="39"/>
      <c r="I402" s="34"/>
      <c r="J402" s="40"/>
      <c r="K402" s="34"/>
      <c r="L402" s="34"/>
      <c r="M402" s="40"/>
      <c r="N402" s="34"/>
      <c r="O402" s="40"/>
      <c r="P402" s="34"/>
      <c r="Q402" s="34"/>
      <c r="R402" s="40"/>
      <c r="S402" s="40"/>
      <c r="T402" s="34"/>
      <c r="U402" s="40"/>
      <c r="V402" s="34"/>
      <c r="W402" s="40"/>
      <c r="X402" s="34"/>
      <c r="Y402" s="34"/>
      <c r="Z402" s="40"/>
      <c r="AA402" s="40"/>
      <c r="AB402" s="34"/>
      <c r="AC402" s="34"/>
      <c r="AD402" s="40"/>
      <c r="AE402" s="40"/>
      <c r="AF402" s="40"/>
      <c r="AG402" s="40"/>
      <c r="AH402" s="34"/>
      <c r="AI402" s="34"/>
      <c r="AJ402" s="34"/>
      <c r="AK402" s="40"/>
      <c r="AL402" s="34"/>
      <c r="AM402" s="40"/>
      <c r="AN402" s="40"/>
      <c r="AO402" s="40"/>
      <c r="AP402" s="40"/>
      <c r="AQ402" s="40"/>
      <c r="AR402" s="40"/>
      <c r="AS402" s="40"/>
      <c r="AT402" s="40"/>
      <c r="AU402" s="40"/>
    </row>
    <row r="403" spans="1:47" ht="15.75" customHeight="1" x14ac:dyDescent="0.25">
      <c r="A403" s="34"/>
      <c r="B403" s="35"/>
      <c r="C403" s="36"/>
      <c r="D403" s="37"/>
      <c r="E403" s="38"/>
      <c r="F403" s="39"/>
      <c r="G403" s="17"/>
      <c r="H403" s="39"/>
      <c r="I403" s="34"/>
      <c r="J403" s="40"/>
      <c r="K403" s="34"/>
      <c r="L403" s="34"/>
      <c r="M403" s="40"/>
      <c r="N403" s="34"/>
      <c r="O403" s="40"/>
      <c r="P403" s="34"/>
      <c r="Q403" s="34"/>
      <c r="R403" s="40"/>
      <c r="S403" s="40"/>
      <c r="T403" s="34"/>
      <c r="U403" s="40"/>
      <c r="V403" s="34"/>
      <c r="W403" s="40"/>
      <c r="X403" s="34"/>
      <c r="Y403" s="34"/>
      <c r="Z403" s="40"/>
      <c r="AA403" s="40"/>
      <c r="AB403" s="34"/>
      <c r="AC403" s="34"/>
      <c r="AD403" s="40"/>
      <c r="AE403" s="40"/>
      <c r="AF403" s="40"/>
      <c r="AG403" s="40"/>
      <c r="AH403" s="34"/>
      <c r="AI403" s="34"/>
      <c r="AJ403" s="34"/>
      <c r="AK403" s="40"/>
      <c r="AL403" s="34"/>
      <c r="AM403" s="40"/>
      <c r="AN403" s="40"/>
      <c r="AO403" s="40"/>
      <c r="AP403" s="40"/>
      <c r="AQ403" s="40"/>
      <c r="AR403" s="40"/>
      <c r="AS403" s="40"/>
      <c r="AT403" s="40"/>
      <c r="AU403" s="40"/>
    </row>
    <row r="404" spans="1:47" ht="15.75" customHeight="1" x14ac:dyDescent="0.25">
      <c r="A404" s="34"/>
      <c r="B404" s="35"/>
      <c r="C404" s="36"/>
      <c r="D404" s="37"/>
      <c r="E404" s="38"/>
      <c r="F404" s="39"/>
      <c r="G404" s="17"/>
      <c r="H404" s="39"/>
      <c r="I404" s="34"/>
      <c r="J404" s="40"/>
      <c r="K404" s="34"/>
      <c r="L404" s="34"/>
      <c r="M404" s="40"/>
      <c r="N404" s="34"/>
      <c r="O404" s="40"/>
      <c r="P404" s="34"/>
      <c r="Q404" s="34"/>
      <c r="R404" s="40"/>
      <c r="S404" s="40"/>
      <c r="T404" s="34"/>
      <c r="U404" s="40"/>
      <c r="V404" s="34"/>
      <c r="W404" s="40"/>
      <c r="X404" s="34"/>
      <c r="Y404" s="34"/>
      <c r="Z404" s="40"/>
      <c r="AA404" s="40"/>
      <c r="AB404" s="34"/>
      <c r="AC404" s="34"/>
      <c r="AD404" s="40"/>
      <c r="AE404" s="40"/>
      <c r="AF404" s="40"/>
      <c r="AG404" s="40"/>
      <c r="AH404" s="34"/>
      <c r="AI404" s="34"/>
      <c r="AJ404" s="34"/>
      <c r="AK404" s="40"/>
      <c r="AL404" s="34"/>
      <c r="AM404" s="40"/>
      <c r="AN404" s="40"/>
      <c r="AO404" s="40"/>
      <c r="AP404" s="40"/>
      <c r="AQ404" s="40"/>
      <c r="AR404" s="40"/>
      <c r="AS404" s="40"/>
      <c r="AT404" s="40"/>
      <c r="AU404" s="40"/>
    </row>
    <row r="405" spans="1:47" ht="15.75" customHeight="1" x14ac:dyDescent="0.25">
      <c r="A405" s="34"/>
      <c r="B405" s="35"/>
      <c r="C405" s="36"/>
      <c r="D405" s="37"/>
      <c r="E405" s="38"/>
      <c r="F405" s="39"/>
      <c r="G405" s="17"/>
      <c r="H405" s="39"/>
      <c r="I405" s="34"/>
      <c r="J405" s="40"/>
      <c r="K405" s="34"/>
      <c r="L405" s="34"/>
      <c r="M405" s="40"/>
      <c r="N405" s="34"/>
      <c r="O405" s="40"/>
      <c r="P405" s="34"/>
      <c r="Q405" s="34"/>
      <c r="R405" s="40"/>
      <c r="S405" s="40"/>
      <c r="T405" s="34"/>
      <c r="U405" s="40"/>
      <c r="V405" s="34"/>
      <c r="W405" s="40"/>
      <c r="X405" s="34"/>
      <c r="Y405" s="34"/>
      <c r="Z405" s="40"/>
      <c r="AA405" s="40"/>
      <c r="AB405" s="34"/>
      <c r="AC405" s="34"/>
      <c r="AD405" s="40"/>
      <c r="AE405" s="40"/>
      <c r="AF405" s="40"/>
      <c r="AG405" s="40"/>
      <c r="AH405" s="34"/>
      <c r="AI405" s="34"/>
      <c r="AJ405" s="34"/>
      <c r="AK405" s="40"/>
      <c r="AL405" s="34"/>
      <c r="AM405" s="40"/>
      <c r="AN405" s="40"/>
      <c r="AO405" s="40"/>
      <c r="AP405" s="40"/>
      <c r="AQ405" s="40"/>
      <c r="AR405" s="40"/>
      <c r="AS405" s="40"/>
      <c r="AT405" s="40"/>
      <c r="AU405" s="40"/>
    </row>
    <row r="406" spans="1:47" ht="15.75" customHeight="1" x14ac:dyDescent="0.25">
      <c r="A406" s="34"/>
      <c r="B406" s="35"/>
      <c r="C406" s="36"/>
      <c r="D406" s="37"/>
      <c r="E406" s="38"/>
      <c r="F406" s="39"/>
      <c r="G406" s="17"/>
      <c r="H406" s="39"/>
      <c r="I406" s="34"/>
      <c r="J406" s="40"/>
      <c r="K406" s="34"/>
      <c r="L406" s="34"/>
      <c r="M406" s="40"/>
      <c r="N406" s="34"/>
      <c r="O406" s="40"/>
      <c r="P406" s="34"/>
      <c r="Q406" s="34"/>
      <c r="R406" s="40"/>
      <c r="S406" s="40"/>
      <c r="T406" s="34"/>
      <c r="U406" s="40"/>
      <c r="V406" s="34"/>
      <c r="W406" s="40"/>
      <c r="X406" s="34"/>
      <c r="Y406" s="34"/>
      <c r="Z406" s="40"/>
      <c r="AA406" s="40"/>
      <c r="AB406" s="34"/>
      <c r="AC406" s="34"/>
      <c r="AD406" s="40"/>
      <c r="AE406" s="40"/>
      <c r="AF406" s="40"/>
      <c r="AG406" s="40"/>
      <c r="AH406" s="34"/>
      <c r="AI406" s="34"/>
      <c r="AJ406" s="34"/>
      <c r="AK406" s="40"/>
      <c r="AL406" s="34"/>
      <c r="AM406" s="40"/>
      <c r="AN406" s="40"/>
      <c r="AO406" s="40"/>
      <c r="AP406" s="40"/>
      <c r="AQ406" s="40"/>
      <c r="AR406" s="40"/>
      <c r="AS406" s="40"/>
      <c r="AT406" s="40"/>
      <c r="AU406" s="40"/>
    </row>
    <row r="407" spans="1:47" ht="15.75" customHeight="1" x14ac:dyDescent="0.25">
      <c r="A407" s="34"/>
      <c r="B407" s="35"/>
      <c r="C407" s="36"/>
      <c r="D407" s="37"/>
      <c r="E407" s="38"/>
      <c r="F407" s="39"/>
      <c r="G407" s="17"/>
      <c r="H407" s="39"/>
      <c r="I407" s="34"/>
      <c r="J407" s="40"/>
      <c r="K407" s="34"/>
      <c r="L407" s="34"/>
      <c r="M407" s="40"/>
      <c r="N407" s="34"/>
      <c r="O407" s="40"/>
      <c r="P407" s="34"/>
      <c r="Q407" s="34"/>
      <c r="R407" s="40"/>
      <c r="S407" s="40"/>
      <c r="T407" s="34"/>
      <c r="U407" s="40"/>
      <c r="V407" s="34"/>
      <c r="W407" s="40"/>
      <c r="X407" s="34"/>
      <c r="Y407" s="34"/>
      <c r="Z407" s="40"/>
      <c r="AA407" s="40"/>
      <c r="AB407" s="34"/>
      <c r="AC407" s="34"/>
      <c r="AD407" s="40"/>
      <c r="AE407" s="40"/>
      <c r="AF407" s="40"/>
      <c r="AG407" s="40"/>
      <c r="AH407" s="34"/>
      <c r="AI407" s="34"/>
      <c r="AJ407" s="34"/>
      <c r="AK407" s="40"/>
      <c r="AL407" s="34"/>
      <c r="AM407" s="40"/>
      <c r="AN407" s="40"/>
      <c r="AO407" s="40"/>
      <c r="AP407" s="40"/>
      <c r="AQ407" s="40"/>
      <c r="AR407" s="40"/>
      <c r="AS407" s="40"/>
      <c r="AT407" s="40"/>
      <c r="AU407" s="40"/>
    </row>
    <row r="408" spans="1:47" ht="15.75" customHeight="1" x14ac:dyDescent="0.25">
      <c r="A408" s="34"/>
      <c r="B408" s="35"/>
      <c r="C408" s="36"/>
      <c r="D408" s="37"/>
      <c r="E408" s="38"/>
      <c r="F408" s="39"/>
      <c r="G408" s="17"/>
      <c r="H408" s="39"/>
      <c r="I408" s="34"/>
      <c r="J408" s="40"/>
      <c r="K408" s="34"/>
      <c r="L408" s="34"/>
      <c r="M408" s="40"/>
      <c r="N408" s="34"/>
      <c r="O408" s="40"/>
      <c r="P408" s="34"/>
      <c r="Q408" s="34"/>
      <c r="R408" s="40"/>
      <c r="S408" s="40"/>
      <c r="T408" s="34"/>
      <c r="U408" s="40"/>
      <c r="V408" s="34"/>
      <c r="W408" s="40"/>
      <c r="X408" s="34"/>
      <c r="Y408" s="34"/>
      <c r="Z408" s="40"/>
      <c r="AA408" s="40"/>
      <c r="AB408" s="34"/>
      <c r="AC408" s="34"/>
      <c r="AD408" s="40"/>
      <c r="AE408" s="40"/>
      <c r="AF408" s="40"/>
      <c r="AG408" s="40"/>
      <c r="AH408" s="34"/>
      <c r="AI408" s="34"/>
      <c r="AJ408" s="34"/>
      <c r="AK408" s="40"/>
      <c r="AL408" s="34"/>
      <c r="AM408" s="40"/>
      <c r="AN408" s="40"/>
      <c r="AO408" s="40"/>
      <c r="AP408" s="40"/>
      <c r="AQ408" s="40"/>
      <c r="AR408" s="40"/>
      <c r="AS408" s="40"/>
      <c r="AT408" s="40"/>
      <c r="AU408" s="40"/>
    </row>
    <row r="409" spans="1:47" ht="15.75" customHeight="1" x14ac:dyDescent="0.25">
      <c r="A409" s="34"/>
      <c r="B409" s="35"/>
      <c r="C409" s="36"/>
      <c r="D409" s="37"/>
      <c r="E409" s="38"/>
      <c r="F409" s="39"/>
      <c r="G409" s="17"/>
      <c r="H409" s="39"/>
      <c r="I409" s="34"/>
      <c r="J409" s="40"/>
      <c r="K409" s="34"/>
      <c r="L409" s="34"/>
      <c r="M409" s="40"/>
      <c r="N409" s="34"/>
      <c r="O409" s="40"/>
      <c r="P409" s="34"/>
      <c r="Q409" s="34"/>
      <c r="R409" s="40"/>
      <c r="S409" s="40"/>
      <c r="T409" s="34"/>
      <c r="U409" s="40"/>
      <c r="V409" s="34"/>
      <c r="W409" s="40"/>
      <c r="X409" s="34"/>
      <c r="Y409" s="34"/>
      <c r="Z409" s="40"/>
      <c r="AA409" s="40"/>
      <c r="AB409" s="34"/>
      <c r="AC409" s="34"/>
      <c r="AD409" s="40"/>
      <c r="AE409" s="40"/>
      <c r="AF409" s="40"/>
      <c r="AG409" s="40"/>
      <c r="AH409" s="34"/>
      <c r="AI409" s="34"/>
      <c r="AJ409" s="34"/>
      <c r="AK409" s="40"/>
      <c r="AL409" s="34"/>
      <c r="AM409" s="40"/>
      <c r="AN409" s="40"/>
      <c r="AO409" s="40"/>
      <c r="AP409" s="40"/>
      <c r="AQ409" s="40"/>
      <c r="AR409" s="40"/>
      <c r="AS409" s="40"/>
      <c r="AT409" s="40"/>
      <c r="AU409" s="40"/>
    </row>
    <row r="410" spans="1:47" ht="15.75" customHeight="1" x14ac:dyDescent="0.25">
      <c r="A410" s="34"/>
      <c r="B410" s="35"/>
      <c r="C410" s="36"/>
      <c r="D410" s="37"/>
      <c r="E410" s="38"/>
      <c r="F410" s="39"/>
      <c r="G410" s="17"/>
      <c r="H410" s="39"/>
      <c r="I410" s="34"/>
      <c r="J410" s="40"/>
      <c r="K410" s="34"/>
      <c r="L410" s="34"/>
      <c r="M410" s="40"/>
      <c r="N410" s="34"/>
      <c r="O410" s="40"/>
      <c r="P410" s="34"/>
      <c r="Q410" s="34"/>
      <c r="R410" s="40"/>
      <c r="S410" s="40"/>
      <c r="T410" s="34"/>
      <c r="U410" s="40"/>
      <c r="V410" s="34"/>
      <c r="W410" s="40"/>
      <c r="X410" s="34"/>
      <c r="Y410" s="34"/>
      <c r="Z410" s="40"/>
      <c r="AA410" s="40"/>
      <c r="AB410" s="34"/>
      <c r="AC410" s="34"/>
      <c r="AD410" s="40"/>
      <c r="AE410" s="40"/>
      <c r="AF410" s="40"/>
      <c r="AG410" s="40"/>
      <c r="AH410" s="34"/>
      <c r="AI410" s="34"/>
      <c r="AJ410" s="34"/>
      <c r="AK410" s="40"/>
      <c r="AL410" s="34"/>
      <c r="AM410" s="40"/>
      <c r="AN410" s="40"/>
      <c r="AO410" s="40"/>
      <c r="AP410" s="40"/>
      <c r="AQ410" s="40"/>
      <c r="AR410" s="40"/>
      <c r="AS410" s="40"/>
      <c r="AT410" s="40"/>
      <c r="AU410" s="40"/>
    </row>
    <row r="411" spans="1:47" ht="15.75" customHeight="1" x14ac:dyDescent="0.25">
      <c r="A411" s="34"/>
      <c r="B411" s="35"/>
      <c r="C411" s="36"/>
      <c r="D411" s="37"/>
      <c r="E411" s="38"/>
      <c r="F411" s="39"/>
      <c r="G411" s="17"/>
      <c r="H411" s="39"/>
      <c r="I411" s="34"/>
      <c r="J411" s="40"/>
      <c r="K411" s="34"/>
      <c r="L411" s="34"/>
      <c r="M411" s="40"/>
      <c r="N411" s="34"/>
      <c r="O411" s="40"/>
      <c r="P411" s="34"/>
      <c r="Q411" s="34"/>
      <c r="R411" s="40"/>
      <c r="S411" s="40"/>
      <c r="T411" s="34"/>
      <c r="U411" s="40"/>
      <c r="V411" s="34"/>
      <c r="W411" s="40"/>
      <c r="X411" s="34"/>
      <c r="Y411" s="34"/>
      <c r="Z411" s="40"/>
      <c r="AA411" s="40"/>
      <c r="AB411" s="34"/>
      <c r="AC411" s="34"/>
      <c r="AD411" s="40"/>
      <c r="AE411" s="40"/>
      <c r="AF411" s="40"/>
      <c r="AG411" s="40"/>
      <c r="AH411" s="34"/>
      <c r="AI411" s="34"/>
      <c r="AJ411" s="34"/>
      <c r="AK411" s="40"/>
      <c r="AL411" s="34"/>
      <c r="AM411" s="40"/>
      <c r="AN411" s="40"/>
      <c r="AO411" s="40"/>
      <c r="AP411" s="40"/>
      <c r="AQ411" s="40"/>
      <c r="AR411" s="40"/>
      <c r="AS411" s="40"/>
      <c r="AT411" s="40"/>
      <c r="AU411" s="40"/>
    </row>
    <row r="412" spans="1:47" ht="15.75" customHeight="1" x14ac:dyDescent="0.25">
      <c r="A412" s="34"/>
      <c r="B412" s="35"/>
      <c r="C412" s="36"/>
      <c r="D412" s="37"/>
      <c r="E412" s="38"/>
      <c r="F412" s="39"/>
      <c r="G412" s="17"/>
      <c r="H412" s="39"/>
      <c r="I412" s="34"/>
      <c r="J412" s="40"/>
      <c r="K412" s="34"/>
      <c r="L412" s="34"/>
      <c r="M412" s="40"/>
      <c r="N412" s="34"/>
      <c r="O412" s="40"/>
      <c r="P412" s="34"/>
      <c r="Q412" s="34"/>
      <c r="R412" s="40"/>
      <c r="S412" s="40"/>
      <c r="T412" s="34"/>
      <c r="U412" s="40"/>
      <c r="V412" s="34"/>
      <c r="W412" s="40"/>
      <c r="X412" s="34"/>
      <c r="Y412" s="34"/>
      <c r="Z412" s="40"/>
      <c r="AA412" s="40"/>
      <c r="AB412" s="34"/>
      <c r="AC412" s="34"/>
      <c r="AD412" s="40"/>
      <c r="AE412" s="40"/>
      <c r="AF412" s="40"/>
      <c r="AG412" s="40"/>
      <c r="AH412" s="34"/>
      <c r="AI412" s="34"/>
      <c r="AJ412" s="34"/>
      <c r="AK412" s="40"/>
      <c r="AL412" s="34"/>
      <c r="AM412" s="40"/>
      <c r="AN412" s="40"/>
      <c r="AO412" s="40"/>
      <c r="AP412" s="40"/>
      <c r="AQ412" s="40"/>
      <c r="AR412" s="40"/>
      <c r="AS412" s="40"/>
      <c r="AT412" s="40"/>
      <c r="AU412" s="40"/>
    </row>
    <row r="413" spans="1:47" ht="15.75" customHeight="1" x14ac:dyDescent="0.25">
      <c r="A413" s="34"/>
      <c r="B413" s="35"/>
      <c r="C413" s="36"/>
      <c r="D413" s="37"/>
      <c r="E413" s="38"/>
      <c r="F413" s="39"/>
      <c r="G413" s="17"/>
      <c r="H413" s="39"/>
      <c r="I413" s="34"/>
      <c r="J413" s="40"/>
      <c r="K413" s="34"/>
      <c r="L413" s="34"/>
      <c r="M413" s="40"/>
      <c r="N413" s="34"/>
      <c r="O413" s="40"/>
      <c r="P413" s="34"/>
      <c r="Q413" s="34"/>
      <c r="R413" s="40"/>
      <c r="S413" s="40"/>
      <c r="T413" s="34"/>
      <c r="U413" s="40"/>
      <c r="V413" s="34"/>
      <c r="W413" s="40"/>
      <c r="X413" s="34"/>
      <c r="Y413" s="34"/>
      <c r="Z413" s="40"/>
      <c r="AA413" s="40"/>
      <c r="AB413" s="34"/>
      <c r="AC413" s="34"/>
      <c r="AD413" s="40"/>
      <c r="AE413" s="40"/>
      <c r="AF413" s="40"/>
      <c r="AG413" s="40"/>
      <c r="AH413" s="34"/>
      <c r="AI413" s="34"/>
      <c r="AJ413" s="34"/>
      <c r="AK413" s="40"/>
      <c r="AL413" s="34"/>
      <c r="AM413" s="40"/>
      <c r="AN413" s="40"/>
      <c r="AO413" s="40"/>
      <c r="AP413" s="40"/>
      <c r="AQ413" s="40"/>
      <c r="AR413" s="40"/>
      <c r="AS413" s="40"/>
      <c r="AT413" s="40"/>
      <c r="AU413" s="40"/>
    </row>
    <row r="414" spans="1:47" ht="15.75" customHeight="1" x14ac:dyDescent="0.25">
      <c r="A414" s="34"/>
      <c r="B414" s="35"/>
      <c r="C414" s="36"/>
      <c r="D414" s="37"/>
      <c r="E414" s="38"/>
      <c r="F414" s="39"/>
      <c r="G414" s="17"/>
      <c r="H414" s="39"/>
      <c r="I414" s="34"/>
      <c r="J414" s="40"/>
      <c r="K414" s="34"/>
      <c r="L414" s="34"/>
      <c r="M414" s="40"/>
      <c r="N414" s="34"/>
      <c r="O414" s="40"/>
      <c r="P414" s="34"/>
      <c r="Q414" s="34"/>
      <c r="R414" s="40"/>
      <c r="S414" s="40"/>
      <c r="T414" s="34"/>
      <c r="U414" s="40"/>
      <c r="V414" s="34"/>
      <c r="W414" s="40"/>
      <c r="X414" s="34"/>
      <c r="Y414" s="34"/>
      <c r="Z414" s="40"/>
      <c r="AA414" s="40"/>
      <c r="AB414" s="34"/>
      <c r="AC414" s="34"/>
      <c r="AD414" s="40"/>
      <c r="AE414" s="40"/>
      <c r="AF414" s="40"/>
      <c r="AG414" s="40"/>
      <c r="AH414" s="34"/>
      <c r="AI414" s="34"/>
      <c r="AJ414" s="34"/>
      <c r="AK414" s="40"/>
      <c r="AL414" s="34"/>
      <c r="AM414" s="40"/>
      <c r="AN414" s="40"/>
      <c r="AO414" s="40"/>
      <c r="AP414" s="40"/>
      <c r="AQ414" s="40"/>
      <c r="AR414" s="40"/>
      <c r="AS414" s="40"/>
      <c r="AT414" s="40"/>
      <c r="AU414" s="40"/>
    </row>
    <row r="415" spans="1:47" ht="15.75" customHeight="1" x14ac:dyDescent="0.25">
      <c r="A415" s="34"/>
      <c r="B415" s="35"/>
      <c r="C415" s="36"/>
      <c r="D415" s="37"/>
      <c r="E415" s="38"/>
      <c r="F415" s="39"/>
      <c r="G415" s="17"/>
      <c r="H415" s="39"/>
      <c r="I415" s="34"/>
      <c r="J415" s="40"/>
      <c r="K415" s="34"/>
      <c r="L415" s="34"/>
      <c r="M415" s="40"/>
      <c r="N415" s="34"/>
      <c r="O415" s="40"/>
      <c r="P415" s="34"/>
      <c r="Q415" s="34"/>
      <c r="R415" s="40"/>
      <c r="S415" s="40"/>
      <c r="T415" s="34"/>
      <c r="U415" s="40"/>
      <c r="V415" s="34"/>
      <c r="W415" s="40"/>
      <c r="X415" s="34"/>
      <c r="Y415" s="34"/>
      <c r="Z415" s="40"/>
      <c r="AA415" s="40"/>
      <c r="AB415" s="34"/>
      <c r="AC415" s="34"/>
      <c r="AD415" s="40"/>
      <c r="AE415" s="40"/>
      <c r="AF415" s="40"/>
      <c r="AG415" s="40"/>
      <c r="AH415" s="34"/>
      <c r="AI415" s="34"/>
      <c r="AJ415" s="34"/>
      <c r="AK415" s="40"/>
      <c r="AL415" s="34"/>
      <c r="AM415" s="40"/>
      <c r="AN415" s="40"/>
      <c r="AO415" s="40"/>
      <c r="AP415" s="40"/>
      <c r="AQ415" s="40"/>
      <c r="AR415" s="40"/>
      <c r="AS415" s="40"/>
      <c r="AT415" s="40"/>
      <c r="AU415" s="40"/>
    </row>
    <row r="416" spans="1:47" ht="15.75" customHeight="1" x14ac:dyDescent="0.25">
      <c r="A416" s="34"/>
      <c r="B416" s="35"/>
      <c r="C416" s="36"/>
      <c r="D416" s="37"/>
      <c r="E416" s="38"/>
      <c r="F416" s="39"/>
      <c r="G416" s="17"/>
      <c r="H416" s="39"/>
      <c r="I416" s="34"/>
      <c r="J416" s="40"/>
      <c r="K416" s="34"/>
      <c r="L416" s="34"/>
      <c r="M416" s="40"/>
      <c r="N416" s="34"/>
      <c r="O416" s="40"/>
      <c r="P416" s="34"/>
      <c r="Q416" s="34"/>
      <c r="R416" s="40"/>
      <c r="S416" s="40"/>
      <c r="T416" s="34"/>
      <c r="U416" s="40"/>
      <c r="V416" s="34"/>
      <c r="W416" s="40"/>
      <c r="X416" s="34"/>
      <c r="Y416" s="34"/>
      <c r="Z416" s="40"/>
      <c r="AA416" s="40"/>
      <c r="AB416" s="34"/>
      <c r="AC416" s="34"/>
      <c r="AD416" s="40"/>
      <c r="AE416" s="40"/>
      <c r="AF416" s="40"/>
      <c r="AG416" s="40"/>
      <c r="AH416" s="34"/>
      <c r="AI416" s="34"/>
      <c r="AJ416" s="34"/>
      <c r="AK416" s="40"/>
      <c r="AL416" s="34"/>
      <c r="AM416" s="40"/>
      <c r="AN416" s="40"/>
      <c r="AO416" s="40"/>
      <c r="AP416" s="40"/>
      <c r="AQ416" s="40"/>
      <c r="AR416" s="40"/>
      <c r="AS416" s="40"/>
      <c r="AT416" s="40"/>
      <c r="AU416" s="40"/>
    </row>
    <row r="417" spans="1:47" ht="15.75" customHeight="1" x14ac:dyDescent="0.25">
      <c r="A417" s="34"/>
      <c r="B417" s="35"/>
      <c r="C417" s="36"/>
      <c r="D417" s="37"/>
      <c r="E417" s="38"/>
      <c r="F417" s="39"/>
      <c r="G417" s="17"/>
      <c r="H417" s="39"/>
      <c r="I417" s="34"/>
      <c r="J417" s="40"/>
      <c r="K417" s="34"/>
      <c r="L417" s="34"/>
      <c r="M417" s="40"/>
      <c r="N417" s="34"/>
      <c r="O417" s="40"/>
      <c r="P417" s="34"/>
      <c r="Q417" s="34"/>
      <c r="R417" s="40"/>
      <c r="S417" s="40"/>
      <c r="T417" s="34"/>
      <c r="U417" s="40"/>
      <c r="V417" s="34"/>
      <c r="W417" s="40"/>
      <c r="X417" s="34"/>
      <c r="Y417" s="34"/>
      <c r="Z417" s="40"/>
      <c r="AA417" s="40"/>
      <c r="AB417" s="34"/>
      <c r="AC417" s="34"/>
      <c r="AD417" s="40"/>
      <c r="AE417" s="40"/>
      <c r="AF417" s="40"/>
      <c r="AG417" s="40"/>
      <c r="AH417" s="34"/>
      <c r="AI417" s="34"/>
      <c r="AJ417" s="34"/>
      <c r="AK417" s="40"/>
      <c r="AL417" s="34"/>
      <c r="AM417" s="40"/>
      <c r="AN417" s="40"/>
      <c r="AO417" s="40"/>
      <c r="AP417" s="40"/>
      <c r="AQ417" s="40"/>
      <c r="AR417" s="40"/>
      <c r="AS417" s="40"/>
      <c r="AT417" s="40"/>
      <c r="AU417" s="40"/>
    </row>
    <row r="418" spans="1:47" ht="15.75" customHeight="1" x14ac:dyDescent="0.25">
      <c r="A418" s="34"/>
      <c r="B418" s="35"/>
      <c r="C418" s="36"/>
      <c r="D418" s="37"/>
      <c r="E418" s="38"/>
      <c r="F418" s="39"/>
      <c r="G418" s="17"/>
      <c r="H418" s="39"/>
      <c r="I418" s="34"/>
      <c r="J418" s="40"/>
      <c r="K418" s="34"/>
      <c r="L418" s="34"/>
      <c r="M418" s="40"/>
      <c r="N418" s="34"/>
      <c r="O418" s="40"/>
      <c r="P418" s="34"/>
      <c r="Q418" s="34"/>
      <c r="R418" s="40"/>
      <c r="S418" s="40"/>
      <c r="T418" s="34"/>
      <c r="U418" s="40"/>
      <c r="V418" s="34"/>
      <c r="W418" s="40"/>
      <c r="X418" s="34"/>
      <c r="Y418" s="34"/>
      <c r="Z418" s="40"/>
      <c r="AA418" s="40"/>
      <c r="AB418" s="34"/>
      <c r="AC418" s="34"/>
      <c r="AD418" s="40"/>
      <c r="AE418" s="40"/>
      <c r="AF418" s="40"/>
      <c r="AG418" s="40"/>
      <c r="AH418" s="34"/>
      <c r="AI418" s="34"/>
      <c r="AJ418" s="34"/>
      <c r="AK418" s="40"/>
      <c r="AL418" s="34"/>
      <c r="AM418" s="40"/>
      <c r="AN418" s="40"/>
      <c r="AO418" s="40"/>
      <c r="AP418" s="40"/>
      <c r="AQ418" s="40"/>
      <c r="AR418" s="40"/>
      <c r="AS418" s="40"/>
      <c r="AT418" s="40"/>
      <c r="AU418" s="40"/>
    </row>
    <row r="419" spans="1:47" ht="15.75" customHeight="1" x14ac:dyDescent="0.25">
      <c r="A419" s="34"/>
      <c r="B419" s="35"/>
      <c r="C419" s="36"/>
      <c r="D419" s="37"/>
      <c r="E419" s="38"/>
      <c r="F419" s="39"/>
      <c r="G419" s="17"/>
      <c r="H419" s="39"/>
      <c r="I419" s="34"/>
      <c r="J419" s="40"/>
      <c r="K419" s="34"/>
      <c r="L419" s="34"/>
      <c r="M419" s="40"/>
      <c r="N419" s="34"/>
      <c r="O419" s="40"/>
      <c r="P419" s="34"/>
      <c r="Q419" s="34"/>
      <c r="R419" s="40"/>
      <c r="S419" s="40"/>
      <c r="T419" s="34"/>
      <c r="U419" s="40"/>
      <c r="V419" s="34"/>
      <c r="W419" s="40"/>
      <c r="X419" s="34"/>
      <c r="Y419" s="34"/>
      <c r="Z419" s="40"/>
      <c r="AA419" s="40"/>
      <c r="AB419" s="34"/>
      <c r="AC419" s="34"/>
      <c r="AD419" s="40"/>
      <c r="AE419" s="40"/>
      <c r="AF419" s="40"/>
      <c r="AG419" s="40"/>
      <c r="AH419" s="34"/>
      <c r="AI419" s="34"/>
      <c r="AJ419" s="34"/>
      <c r="AK419" s="40"/>
      <c r="AL419" s="34"/>
      <c r="AM419" s="40"/>
      <c r="AN419" s="40"/>
      <c r="AO419" s="40"/>
      <c r="AP419" s="40"/>
      <c r="AQ419" s="40"/>
      <c r="AR419" s="40"/>
      <c r="AS419" s="40"/>
      <c r="AT419" s="40"/>
      <c r="AU419" s="40"/>
    </row>
    <row r="420" spans="1:47" ht="15.75" customHeight="1" x14ac:dyDescent="0.25">
      <c r="A420" s="34"/>
      <c r="B420" s="35"/>
      <c r="C420" s="36"/>
      <c r="D420" s="37"/>
      <c r="E420" s="38"/>
      <c r="F420" s="39"/>
      <c r="G420" s="17"/>
      <c r="H420" s="39"/>
      <c r="I420" s="34"/>
      <c r="J420" s="40"/>
      <c r="K420" s="34"/>
      <c r="L420" s="34"/>
      <c r="M420" s="40"/>
      <c r="N420" s="34"/>
      <c r="O420" s="40"/>
      <c r="P420" s="34"/>
      <c r="Q420" s="34"/>
      <c r="R420" s="40"/>
      <c r="S420" s="40"/>
      <c r="T420" s="34"/>
      <c r="U420" s="40"/>
      <c r="V420" s="34"/>
      <c r="W420" s="40"/>
      <c r="X420" s="34"/>
      <c r="Y420" s="34"/>
      <c r="Z420" s="40"/>
      <c r="AA420" s="40"/>
      <c r="AB420" s="34"/>
      <c r="AC420" s="34"/>
      <c r="AD420" s="40"/>
      <c r="AE420" s="40"/>
      <c r="AF420" s="40"/>
      <c r="AG420" s="40"/>
      <c r="AH420" s="34"/>
      <c r="AI420" s="34"/>
      <c r="AJ420" s="34"/>
      <c r="AK420" s="40"/>
      <c r="AL420" s="34"/>
      <c r="AM420" s="40"/>
      <c r="AN420" s="40"/>
      <c r="AO420" s="40"/>
      <c r="AP420" s="40"/>
      <c r="AQ420" s="40"/>
      <c r="AR420" s="40"/>
      <c r="AS420" s="40"/>
      <c r="AT420" s="40"/>
      <c r="AU420" s="40"/>
    </row>
    <row r="421" spans="1:47" ht="15.75" customHeight="1" x14ac:dyDescent="0.25">
      <c r="A421" s="34"/>
      <c r="B421" s="35"/>
      <c r="C421" s="36"/>
      <c r="D421" s="37"/>
      <c r="E421" s="38"/>
      <c r="F421" s="39"/>
      <c r="G421" s="17"/>
      <c r="H421" s="39"/>
      <c r="I421" s="34"/>
      <c r="J421" s="40"/>
      <c r="K421" s="34"/>
      <c r="L421" s="34"/>
      <c r="M421" s="40"/>
      <c r="N421" s="34"/>
      <c r="O421" s="40"/>
      <c r="P421" s="34"/>
      <c r="Q421" s="34"/>
      <c r="R421" s="40"/>
      <c r="S421" s="40"/>
      <c r="T421" s="34"/>
      <c r="U421" s="40"/>
      <c r="V421" s="34"/>
      <c r="W421" s="40"/>
      <c r="X421" s="34"/>
      <c r="Y421" s="34"/>
      <c r="Z421" s="40"/>
      <c r="AA421" s="40"/>
      <c r="AB421" s="34"/>
      <c r="AC421" s="34"/>
      <c r="AD421" s="40"/>
      <c r="AE421" s="40"/>
      <c r="AF421" s="40"/>
      <c r="AG421" s="40"/>
      <c r="AH421" s="34"/>
      <c r="AI421" s="34"/>
      <c r="AJ421" s="34"/>
      <c r="AK421" s="40"/>
      <c r="AL421" s="34"/>
      <c r="AM421" s="40"/>
      <c r="AN421" s="40"/>
      <c r="AO421" s="40"/>
      <c r="AP421" s="40"/>
      <c r="AQ421" s="40"/>
      <c r="AR421" s="40"/>
      <c r="AS421" s="40"/>
      <c r="AT421" s="40"/>
      <c r="AU421" s="40"/>
    </row>
    <row r="422" spans="1:47" ht="15.75" customHeight="1" x14ac:dyDescent="0.25">
      <c r="A422" s="34"/>
      <c r="B422" s="35"/>
      <c r="C422" s="36"/>
      <c r="D422" s="37"/>
      <c r="E422" s="38"/>
      <c r="F422" s="39"/>
      <c r="G422" s="17"/>
      <c r="H422" s="39"/>
      <c r="I422" s="34"/>
      <c r="J422" s="40"/>
      <c r="K422" s="34"/>
      <c r="L422" s="34"/>
      <c r="M422" s="40"/>
      <c r="N422" s="34"/>
      <c r="O422" s="40"/>
      <c r="P422" s="34"/>
      <c r="Q422" s="34"/>
      <c r="R422" s="40"/>
      <c r="S422" s="40"/>
      <c r="T422" s="34"/>
      <c r="U422" s="40"/>
      <c r="V422" s="34"/>
      <c r="W422" s="40"/>
      <c r="X422" s="34"/>
      <c r="Y422" s="34"/>
      <c r="Z422" s="40"/>
      <c r="AA422" s="40"/>
      <c r="AB422" s="34"/>
      <c r="AC422" s="34"/>
      <c r="AD422" s="40"/>
      <c r="AE422" s="40"/>
      <c r="AF422" s="40"/>
      <c r="AG422" s="40"/>
      <c r="AH422" s="34"/>
      <c r="AI422" s="34"/>
      <c r="AJ422" s="34"/>
      <c r="AK422" s="40"/>
      <c r="AL422" s="34"/>
      <c r="AM422" s="40"/>
      <c r="AN422" s="40"/>
      <c r="AO422" s="40"/>
      <c r="AP422" s="40"/>
      <c r="AQ422" s="40"/>
      <c r="AR422" s="40"/>
      <c r="AS422" s="40"/>
      <c r="AT422" s="40"/>
      <c r="AU422" s="40"/>
    </row>
    <row r="423" spans="1:47" ht="15.75" customHeight="1" x14ac:dyDescent="0.25">
      <c r="A423" s="34"/>
      <c r="B423" s="35"/>
      <c r="C423" s="36"/>
      <c r="D423" s="37"/>
      <c r="E423" s="38"/>
      <c r="F423" s="39"/>
      <c r="G423" s="17"/>
      <c r="H423" s="39"/>
      <c r="I423" s="34"/>
      <c r="J423" s="40"/>
      <c r="K423" s="34"/>
      <c r="L423" s="34"/>
      <c r="M423" s="40"/>
      <c r="N423" s="34"/>
      <c r="O423" s="40"/>
      <c r="P423" s="34"/>
      <c r="Q423" s="34"/>
      <c r="R423" s="40"/>
      <c r="S423" s="40"/>
      <c r="T423" s="34"/>
      <c r="U423" s="40"/>
      <c r="V423" s="34"/>
      <c r="W423" s="40"/>
      <c r="X423" s="34"/>
      <c r="Y423" s="34"/>
      <c r="Z423" s="40"/>
      <c r="AA423" s="40"/>
      <c r="AB423" s="34"/>
      <c r="AC423" s="34"/>
      <c r="AD423" s="40"/>
      <c r="AE423" s="40"/>
      <c r="AF423" s="40"/>
      <c r="AG423" s="40"/>
      <c r="AH423" s="34"/>
      <c r="AI423" s="34"/>
      <c r="AJ423" s="34"/>
      <c r="AK423" s="40"/>
      <c r="AL423" s="34"/>
      <c r="AM423" s="40"/>
      <c r="AN423" s="40"/>
      <c r="AO423" s="40"/>
      <c r="AP423" s="40"/>
      <c r="AQ423" s="40"/>
      <c r="AR423" s="40"/>
      <c r="AS423" s="40"/>
      <c r="AT423" s="40"/>
      <c r="AU423" s="40"/>
    </row>
    <row r="424" spans="1:47" ht="15.75" customHeight="1" x14ac:dyDescent="0.25">
      <c r="A424" s="34"/>
      <c r="B424" s="35"/>
      <c r="C424" s="36"/>
      <c r="D424" s="37"/>
      <c r="E424" s="38"/>
      <c r="F424" s="39"/>
      <c r="G424" s="17"/>
      <c r="H424" s="39"/>
      <c r="I424" s="34"/>
      <c r="J424" s="40"/>
      <c r="K424" s="34"/>
      <c r="L424" s="34"/>
      <c r="M424" s="40"/>
      <c r="N424" s="34"/>
      <c r="O424" s="40"/>
      <c r="P424" s="34"/>
      <c r="Q424" s="34"/>
      <c r="R424" s="40"/>
      <c r="S424" s="40"/>
      <c r="T424" s="34"/>
      <c r="U424" s="40"/>
      <c r="V424" s="34"/>
      <c r="W424" s="40"/>
      <c r="X424" s="34"/>
      <c r="Y424" s="34"/>
      <c r="Z424" s="40"/>
      <c r="AA424" s="40"/>
      <c r="AB424" s="34"/>
      <c r="AC424" s="34"/>
      <c r="AD424" s="40"/>
      <c r="AE424" s="40"/>
      <c r="AF424" s="40"/>
      <c r="AG424" s="40"/>
      <c r="AH424" s="34"/>
      <c r="AI424" s="34"/>
      <c r="AJ424" s="34"/>
      <c r="AK424" s="40"/>
      <c r="AL424" s="34"/>
      <c r="AM424" s="40"/>
      <c r="AN424" s="40"/>
      <c r="AO424" s="40"/>
      <c r="AP424" s="40"/>
      <c r="AQ424" s="40"/>
      <c r="AR424" s="40"/>
      <c r="AS424" s="40"/>
      <c r="AT424" s="40"/>
      <c r="AU424" s="40"/>
    </row>
    <row r="425" spans="1:47" ht="15.75" customHeight="1" x14ac:dyDescent="0.25">
      <c r="A425" s="34"/>
      <c r="B425" s="35"/>
      <c r="C425" s="36"/>
      <c r="D425" s="37"/>
      <c r="E425" s="38"/>
      <c r="F425" s="39"/>
      <c r="G425" s="17"/>
      <c r="H425" s="39"/>
      <c r="I425" s="34"/>
      <c r="J425" s="40"/>
      <c r="K425" s="34"/>
      <c r="L425" s="34"/>
      <c r="M425" s="40"/>
      <c r="N425" s="34"/>
      <c r="O425" s="40"/>
      <c r="P425" s="34"/>
      <c r="Q425" s="34"/>
      <c r="R425" s="40"/>
      <c r="S425" s="40"/>
      <c r="T425" s="34"/>
      <c r="U425" s="40"/>
      <c r="V425" s="34"/>
      <c r="W425" s="40"/>
      <c r="X425" s="34"/>
      <c r="Y425" s="34"/>
      <c r="Z425" s="40"/>
      <c r="AA425" s="40"/>
      <c r="AB425" s="34"/>
      <c r="AC425" s="34"/>
      <c r="AD425" s="40"/>
      <c r="AE425" s="40"/>
      <c r="AF425" s="40"/>
      <c r="AG425" s="40"/>
      <c r="AH425" s="34"/>
      <c r="AI425" s="34"/>
      <c r="AJ425" s="34"/>
      <c r="AK425" s="40"/>
      <c r="AL425" s="34"/>
      <c r="AM425" s="40"/>
      <c r="AN425" s="40"/>
      <c r="AO425" s="40"/>
      <c r="AP425" s="40"/>
      <c r="AQ425" s="40"/>
      <c r="AR425" s="40"/>
      <c r="AS425" s="40"/>
      <c r="AT425" s="40"/>
      <c r="AU425" s="40"/>
    </row>
    <row r="426" spans="1:47" ht="15.75" customHeight="1" x14ac:dyDescent="0.25">
      <c r="A426" s="34"/>
      <c r="B426" s="35"/>
      <c r="C426" s="36"/>
      <c r="D426" s="37"/>
      <c r="E426" s="38"/>
      <c r="F426" s="39"/>
      <c r="G426" s="17"/>
      <c r="H426" s="39"/>
      <c r="I426" s="34"/>
      <c r="J426" s="40"/>
      <c r="K426" s="34"/>
      <c r="L426" s="34"/>
      <c r="M426" s="40"/>
      <c r="N426" s="34"/>
      <c r="O426" s="40"/>
      <c r="P426" s="34"/>
      <c r="Q426" s="34"/>
      <c r="R426" s="40"/>
      <c r="S426" s="40"/>
      <c r="T426" s="34"/>
      <c r="U426" s="40"/>
      <c r="V426" s="34"/>
      <c r="W426" s="40"/>
      <c r="X426" s="34"/>
      <c r="Y426" s="34"/>
      <c r="Z426" s="40"/>
      <c r="AA426" s="40"/>
      <c r="AB426" s="34"/>
      <c r="AC426" s="34"/>
      <c r="AD426" s="40"/>
      <c r="AE426" s="40"/>
      <c r="AF426" s="40"/>
      <c r="AG426" s="40"/>
      <c r="AH426" s="34"/>
      <c r="AI426" s="34"/>
      <c r="AJ426" s="34"/>
      <c r="AK426" s="40"/>
      <c r="AL426" s="34"/>
      <c r="AM426" s="40"/>
      <c r="AN426" s="40"/>
      <c r="AO426" s="40"/>
      <c r="AP426" s="40"/>
      <c r="AQ426" s="40"/>
      <c r="AR426" s="40"/>
      <c r="AS426" s="40"/>
      <c r="AT426" s="40"/>
      <c r="AU426" s="40"/>
    </row>
    <row r="427" spans="1:47" ht="15.75" customHeight="1" x14ac:dyDescent="0.25">
      <c r="A427" s="34"/>
      <c r="B427" s="35"/>
      <c r="C427" s="36"/>
      <c r="D427" s="37"/>
      <c r="E427" s="38"/>
      <c r="F427" s="39"/>
      <c r="G427" s="17"/>
      <c r="H427" s="39"/>
      <c r="I427" s="34"/>
      <c r="J427" s="40"/>
      <c r="K427" s="34"/>
      <c r="L427" s="34"/>
      <c r="M427" s="40"/>
      <c r="N427" s="34"/>
      <c r="O427" s="40"/>
      <c r="P427" s="34"/>
      <c r="Q427" s="34"/>
      <c r="R427" s="40"/>
      <c r="S427" s="40"/>
      <c r="T427" s="34"/>
      <c r="U427" s="40"/>
      <c r="V427" s="34"/>
      <c r="W427" s="40"/>
      <c r="X427" s="34"/>
      <c r="Y427" s="34"/>
      <c r="Z427" s="40"/>
      <c r="AA427" s="40"/>
      <c r="AB427" s="34"/>
      <c r="AC427" s="34"/>
      <c r="AD427" s="40"/>
      <c r="AE427" s="40"/>
      <c r="AF427" s="40"/>
      <c r="AG427" s="40"/>
      <c r="AH427" s="34"/>
      <c r="AI427" s="34"/>
      <c r="AJ427" s="34"/>
      <c r="AK427" s="40"/>
      <c r="AL427" s="34"/>
      <c r="AM427" s="40"/>
      <c r="AN427" s="40"/>
      <c r="AO427" s="40"/>
      <c r="AP427" s="40"/>
      <c r="AQ427" s="40"/>
      <c r="AR427" s="40"/>
      <c r="AS427" s="40"/>
      <c r="AT427" s="40"/>
      <c r="AU427" s="40"/>
    </row>
    <row r="428" spans="1:47" ht="15.75" customHeight="1" x14ac:dyDescent="0.25">
      <c r="A428" s="34"/>
      <c r="B428" s="35"/>
      <c r="C428" s="36"/>
      <c r="D428" s="37"/>
      <c r="E428" s="38"/>
      <c r="F428" s="39"/>
      <c r="G428" s="17"/>
      <c r="H428" s="39"/>
      <c r="I428" s="34"/>
      <c r="J428" s="40"/>
      <c r="K428" s="34"/>
      <c r="L428" s="34"/>
      <c r="M428" s="40"/>
      <c r="N428" s="34"/>
      <c r="O428" s="40"/>
      <c r="P428" s="34"/>
      <c r="Q428" s="34"/>
      <c r="R428" s="40"/>
      <c r="S428" s="40"/>
      <c r="T428" s="34"/>
      <c r="U428" s="40"/>
      <c r="V428" s="34"/>
      <c r="W428" s="40"/>
      <c r="X428" s="34"/>
      <c r="Y428" s="34"/>
      <c r="Z428" s="40"/>
      <c r="AA428" s="40"/>
      <c r="AB428" s="34"/>
      <c r="AC428" s="34"/>
      <c r="AD428" s="40"/>
      <c r="AE428" s="40"/>
      <c r="AF428" s="40"/>
      <c r="AG428" s="40"/>
      <c r="AH428" s="34"/>
      <c r="AI428" s="34"/>
      <c r="AJ428" s="34"/>
      <c r="AK428" s="40"/>
      <c r="AL428" s="34"/>
      <c r="AM428" s="40"/>
      <c r="AN428" s="40"/>
      <c r="AO428" s="40"/>
      <c r="AP428" s="40"/>
      <c r="AQ428" s="40"/>
      <c r="AR428" s="40"/>
      <c r="AS428" s="40"/>
      <c r="AT428" s="40"/>
      <c r="AU428" s="40"/>
    </row>
    <row r="429" spans="1:47" ht="15.75" customHeight="1" x14ac:dyDescent="0.25">
      <c r="A429" s="34"/>
      <c r="B429" s="35"/>
      <c r="C429" s="36"/>
      <c r="D429" s="37"/>
      <c r="E429" s="38"/>
      <c r="F429" s="39"/>
      <c r="G429" s="17"/>
      <c r="H429" s="39"/>
      <c r="I429" s="34"/>
      <c r="J429" s="40"/>
      <c r="K429" s="34"/>
      <c r="L429" s="34"/>
      <c r="M429" s="40"/>
      <c r="N429" s="34"/>
      <c r="O429" s="40"/>
      <c r="P429" s="34"/>
      <c r="Q429" s="34"/>
      <c r="R429" s="40"/>
      <c r="S429" s="40"/>
      <c r="T429" s="34"/>
      <c r="U429" s="40"/>
      <c r="V429" s="34"/>
      <c r="W429" s="40"/>
      <c r="X429" s="34"/>
      <c r="Y429" s="34"/>
      <c r="Z429" s="40"/>
      <c r="AA429" s="40"/>
      <c r="AB429" s="34"/>
      <c r="AC429" s="34"/>
      <c r="AD429" s="40"/>
      <c r="AE429" s="40"/>
      <c r="AF429" s="40"/>
      <c r="AG429" s="40"/>
      <c r="AH429" s="34"/>
      <c r="AI429" s="34"/>
      <c r="AJ429" s="34"/>
      <c r="AK429" s="40"/>
      <c r="AL429" s="34"/>
      <c r="AM429" s="40"/>
      <c r="AN429" s="40"/>
      <c r="AO429" s="40"/>
      <c r="AP429" s="40"/>
      <c r="AQ429" s="40"/>
      <c r="AR429" s="40"/>
      <c r="AS429" s="40"/>
      <c r="AT429" s="40"/>
      <c r="AU429" s="40"/>
    </row>
    <row r="430" spans="1:47" ht="15.75" customHeight="1" x14ac:dyDescent="0.25">
      <c r="A430" s="34"/>
      <c r="B430" s="35"/>
      <c r="C430" s="36"/>
      <c r="D430" s="37"/>
      <c r="E430" s="38"/>
      <c r="F430" s="39"/>
      <c r="G430" s="17"/>
      <c r="H430" s="39"/>
      <c r="I430" s="34"/>
      <c r="J430" s="40"/>
      <c r="K430" s="34"/>
      <c r="L430" s="34"/>
      <c r="M430" s="40"/>
      <c r="N430" s="34"/>
      <c r="O430" s="40"/>
      <c r="P430" s="34"/>
      <c r="Q430" s="34"/>
      <c r="R430" s="40"/>
      <c r="S430" s="40"/>
      <c r="T430" s="34"/>
      <c r="U430" s="40"/>
      <c r="V430" s="34"/>
      <c r="W430" s="40"/>
      <c r="X430" s="34"/>
      <c r="Y430" s="34"/>
      <c r="Z430" s="40"/>
      <c r="AA430" s="40"/>
      <c r="AB430" s="34"/>
      <c r="AC430" s="34"/>
      <c r="AD430" s="40"/>
      <c r="AE430" s="40"/>
      <c r="AF430" s="40"/>
      <c r="AG430" s="40"/>
      <c r="AH430" s="34"/>
      <c r="AI430" s="34"/>
      <c r="AJ430" s="34"/>
      <c r="AK430" s="40"/>
      <c r="AL430" s="34"/>
      <c r="AM430" s="40"/>
      <c r="AN430" s="40"/>
      <c r="AO430" s="40"/>
      <c r="AP430" s="40"/>
      <c r="AQ430" s="40"/>
      <c r="AR430" s="40"/>
      <c r="AS430" s="40"/>
      <c r="AT430" s="40"/>
      <c r="AU430" s="40"/>
    </row>
    <row r="431" spans="1:47" ht="15.75" customHeight="1" x14ac:dyDescent="0.25">
      <c r="A431" s="34"/>
      <c r="B431" s="35"/>
      <c r="C431" s="36"/>
      <c r="D431" s="37"/>
      <c r="E431" s="38"/>
      <c r="F431" s="39"/>
      <c r="G431" s="17"/>
      <c r="H431" s="39"/>
      <c r="I431" s="34"/>
      <c r="J431" s="40"/>
      <c r="K431" s="34"/>
      <c r="L431" s="34"/>
      <c r="M431" s="40"/>
      <c r="N431" s="34"/>
      <c r="O431" s="40"/>
      <c r="P431" s="34"/>
      <c r="Q431" s="34"/>
      <c r="R431" s="40"/>
      <c r="S431" s="40"/>
      <c r="T431" s="34"/>
      <c r="U431" s="40"/>
      <c r="V431" s="34"/>
      <c r="W431" s="40"/>
      <c r="X431" s="34"/>
      <c r="Y431" s="34"/>
      <c r="Z431" s="40"/>
      <c r="AA431" s="40"/>
      <c r="AB431" s="34"/>
      <c r="AC431" s="34"/>
      <c r="AD431" s="40"/>
      <c r="AE431" s="40"/>
      <c r="AF431" s="40"/>
      <c r="AG431" s="40"/>
      <c r="AH431" s="34"/>
      <c r="AI431" s="34"/>
      <c r="AJ431" s="34"/>
      <c r="AK431" s="40"/>
      <c r="AL431" s="34"/>
      <c r="AM431" s="40"/>
      <c r="AN431" s="40"/>
      <c r="AO431" s="40"/>
      <c r="AP431" s="40"/>
      <c r="AQ431" s="40"/>
      <c r="AR431" s="40"/>
      <c r="AS431" s="40"/>
      <c r="AT431" s="40"/>
      <c r="AU431" s="40"/>
    </row>
    <row r="432" spans="1:47" ht="15.75" customHeight="1" x14ac:dyDescent="0.25">
      <c r="A432" s="34"/>
      <c r="B432" s="35"/>
      <c r="C432" s="36"/>
      <c r="D432" s="37"/>
      <c r="E432" s="38"/>
      <c r="F432" s="39"/>
      <c r="G432" s="17"/>
      <c r="H432" s="39"/>
      <c r="I432" s="34"/>
      <c r="J432" s="40"/>
      <c r="K432" s="34"/>
      <c r="L432" s="34"/>
      <c r="M432" s="40"/>
      <c r="N432" s="34"/>
      <c r="O432" s="40"/>
      <c r="P432" s="34"/>
      <c r="Q432" s="34"/>
      <c r="R432" s="40"/>
      <c r="S432" s="40"/>
      <c r="T432" s="34"/>
      <c r="U432" s="40"/>
      <c r="V432" s="34"/>
      <c r="W432" s="40"/>
      <c r="X432" s="34"/>
      <c r="Y432" s="34"/>
      <c r="Z432" s="40"/>
      <c r="AA432" s="40"/>
      <c r="AB432" s="34"/>
      <c r="AC432" s="34"/>
      <c r="AD432" s="40"/>
      <c r="AE432" s="40"/>
      <c r="AF432" s="40"/>
      <c r="AG432" s="40"/>
      <c r="AH432" s="34"/>
      <c r="AI432" s="34"/>
      <c r="AJ432" s="34"/>
      <c r="AK432" s="40"/>
      <c r="AL432" s="34"/>
      <c r="AM432" s="40"/>
      <c r="AN432" s="40"/>
      <c r="AO432" s="40"/>
      <c r="AP432" s="40"/>
      <c r="AQ432" s="40"/>
      <c r="AR432" s="40"/>
      <c r="AS432" s="40"/>
      <c r="AT432" s="40"/>
      <c r="AU432" s="40"/>
    </row>
    <row r="433" spans="1:47" ht="15.75" customHeight="1" x14ac:dyDescent="0.25">
      <c r="A433" s="34"/>
      <c r="B433" s="35"/>
      <c r="C433" s="36"/>
      <c r="D433" s="37"/>
      <c r="E433" s="38"/>
      <c r="F433" s="39"/>
      <c r="G433" s="17"/>
      <c r="H433" s="39"/>
      <c r="I433" s="34"/>
      <c r="J433" s="40"/>
      <c r="K433" s="34"/>
      <c r="L433" s="34"/>
      <c r="M433" s="40"/>
      <c r="N433" s="34"/>
      <c r="O433" s="40"/>
      <c r="P433" s="34"/>
      <c r="Q433" s="34"/>
      <c r="R433" s="40"/>
      <c r="S433" s="40"/>
      <c r="T433" s="34"/>
      <c r="U433" s="40"/>
      <c r="V433" s="34"/>
      <c r="W433" s="40"/>
      <c r="X433" s="34"/>
      <c r="Y433" s="34"/>
      <c r="Z433" s="40"/>
      <c r="AA433" s="40"/>
      <c r="AB433" s="34"/>
      <c r="AC433" s="34"/>
      <c r="AD433" s="40"/>
      <c r="AE433" s="40"/>
      <c r="AF433" s="40"/>
      <c r="AG433" s="40"/>
      <c r="AH433" s="34"/>
      <c r="AI433" s="34"/>
      <c r="AJ433" s="34"/>
      <c r="AK433" s="40"/>
      <c r="AL433" s="34"/>
      <c r="AM433" s="40"/>
      <c r="AN433" s="40"/>
      <c r="AO433" s="40"/>
      <c r="AP433" s="40"/>
      <c r="AQ433" s="40"/>
      <c r="AR433" s="40"/>
      <c r="AS433" s="40"/>
      <c r="AT433" s="40"/>
      <c r="AU433" s="40"/>
    </row>
    <row r="434" spans="1:47" ht="15.75" customHeight="1" x14ac:dyDescent="0.25">
      <c r="A434" s="34"/>
      <c r="B434" s="35"/>
      <c r="C434" s="36"/>
      <c r="D434" s="37"/>
      <c r="E434" s="38"/>
      <c r="F434" s="39"/>
      <c r="G434" s="17"/>
      <c r="H434" s="39"/>
      <c r="I434" s="34"/>
      <c r="J434" s="40"/>
      <c r="K434" s="34"/>
      <c r="L434" s="34"/>
      <c r="M434" s="40"/>
      <c r="N434" s="34"/>
      <c r="O434" s="40"/>
      <c r="P434" s="34"/>
      <c r="Q434" s="34"/>
      <c r="R434" s="40"/>
      <c r="S434" s="40"/>
      <c r="T434" s="34"/>
      <c r="U434" s="40"/>
      <c r="V434" s="34"/>
      <c r="W434" s="40"/>
      <c r="X434" s="34"/>
      <c r="Y434" s="34"/>
      <c r="Z434" s="40"/>
      <c r="AA434" s="40"/>
      <c r="AB434" s="34"/>
      <c r="AC434" s="34"/>
      <c r="AD434" s="40"/>
      <c r="AE434" s="40"/>
      <c r="AF434" s="40"/>
      <c r="AG434" s="40"/>
      <c r="AH434" s="34"/>
      <c r="AI434" s="34"/>
      <c r="AJ434" s="34"/>
      <c r="AK434" s="40"/>
      <c r="AL434" s="34"/>
      <c r="AM434" s="40"/>
      <c r="AN434" s="40"/>
      <c r="AO434" s="40"/>
      <c r="AP434" s="40"/>
      <c r="AQ434" s="40"/>
      <c r="AR434" s="40"/>
      <c r="AS434" s="40"/>
      <c r="AT434" s="40"/>
      <c r="AU434" s="40"/>
    </row>
    <row r="435" spans="1:47" ht="15.75" customHeight="1" x14ac:dyDescent="0.25">
      <c r="A435" s="34"/>
      <c r="B435" s="35"/>
      <c r="C435" s="36"/>
      <c r="D435" s="37"/>
      <c r="E435" s="38"/>
      <c r="F435" s="39"/>
      <c r="G435" s="17"/>
      <c r="H435" s="39"/>
      <c r="I435" s="34"/>
      <c r="J435" s="40"/>
      <c r="K435" s="34"/>
      <c r="L435" s="34"/>
      <c r="M435" s="40"/>
      <c r="N435" s="34"/>
      <c r="O435" s="40"/>
      <c r="P435" s="34"/>
      <c r="Q435" s="34"/>
      <c r="R435" s="40"/>
      <c r="S435" s="40"/>
      <c r="T435" s="34"/>
      <c r="U435" s="40"/>
      <c r="V435" s="34"/>
      <c r="W435" s="40"/>
      <c r="X435" s="34"/>
      <c r="Y435" s="34"/>
      <c r="Z435" s="40"/>
      <c r="AA435" s="40"/>
      <c r="AB435" s="34"/>
      <c r="AC435" s="34"/>
      <c r="AD435" s="40"/>
      <c r="AE435" s="40"/>
      <c r="AF435" s="40"/>
      <c r="AG435" s="40"/>
      <c r="AH435" s="34"/>
      <c r="AI435" s="34"/>
      <c r="AJ435" s="34"/>
      <c r="AK435" s="40"/>
      <c r="AL435" s="34"/>
      <c r="AM435" s="40"/>
      <c r="AN435" s="40"/>
      <c r="AO435" s="40"/>
      <c r="AP435" s="40"/>
      <c r="AQ435" s="40"/>
      <c r="AR435" s="40"/>
      <c r="AS435" s="40"/>
      <c r="AT435" s="40"/>
      <c r="AU435" s="40"/>
    </row>
    <row r="436" spans="1:47" ht="15.75" customHeight="1" x14ac:dyDescent="0.25">
      <c r="A436" s="34"/>
      <c r="B436" s="35"/>
      <c r="C436" s="36"/>
      <c r="D436" s="37"/>
      <c r="E436" s="38"/>
      <c r="F436" s="39"/>
      <c r="G436" s="17"/>
      <c r="H436" s="39"/>
      <c r="I436" s="34"/>
      <c r="J436" s="40"/>
      <c r="K436" s="34"/>
      <c r="L436" s="34"/>
      <c r="M436" s="40"/>
      <c r="N436" s="34"/>
      <c r="O436" s="40"/>
      <c r="P436" s="34"/>
      <c r="Q436" s="34"/>
      <c r="R436" s="40"/>
      <c r="S436" s="40"/>
      <c r="T436" s="34"/>
      <c r="U436" s="40"/>
      <c r="V436" s="34"/>
      <c r="W436" s="40"/>
      <c r="X436" s="34"/>
      <c r="Y436" s="34"/>
      <c r="Z436" s="40"/>
      <c r="AA436" s="40"/>
      <c r="AB436" s="34"/>
      <c r="AC436" s="34"/>
      <c r="AD436" s="40"/>
      <c r="AE436" s="40"/>
      <c r="AF436" s="40"/>
      <c r="AG436" s="40"/>
      <c r="AH436" s="34"/>
      <c r="AI436" s="34"/>
      <c r="AJ436" s="34"/>
      <c r="AK436" s="40"/>
      <c r="AL436" s="34"/>
      <c r="AM436" s="40"/>
      <c r="AN436" s="40"/>
      <c r="AO436" s="40"/>
      <c r="AP436" s="40"/>
      <c r="AQ436" s="40"/>
      <c r="AR436" s="40"/>
      <c r="AS436" s="40"/>
      <c r="AT436" s="40"/>
      <c r="AU436" s="40"/>
    </row>
    <row r="437" spans="1:47" ht="15.75" customHeight="1" x14ac:dyDescent="0.25">
      <c r="A437" s="34"/>
      <c r="B437" s="35"/>
      <c r="C437" s="36"/>
      <c r="D437" s="37"/>
      <c r="E437" s="38"/>
      <c r="F437" s="39"/>
      <c r="G437" s="17"/>
      <c r="H437" s="39"/>
      <c r="I437" s="34"/>
      <c r="J437" s="40"/>
      <c r="K437" s="34"/>
      <c r="L437" s="34"/>
      <c r="M437" s="40"/>
      <c r="N437" s="34"/>
      <c r="O437" s="40"/>
      <c r="P437" s="34"/>
      <c r="Q437" s="34"/>
      <c r="R437" s="40"/>
      <c r="S437" s="40"/>
      <c r="T437" s="34"/>
      <c r="U437" s="40"/>
      <c r="V437" s="34"/>
      <c r="W437" s="40"/>
      <c r="X437" s="34"/>
      <c r="Y437" s="34"/>
      <c r="Z437" s="40"/>
      <c r="AA437" s="40"/>
      <c r="AB437" s="34"/>
      <c r="AC437" s="34"/>
      <c r="AD437" s="40"/>
      <c r="AE437" s="40"/>
      <c r="AF437" s="40"/>
      <c r="AG437" s="40"/>
      <c r="AH437" s="34"/>
      <c r="AI437" s="34"/>
      <c r="AJ437" s="34"/>
      <c r="AK437" s="40"/>
      <c r="AL437" s="34"/>
      <c r="AM437" s="40"/>
      <c r="AN437" s="40"/>
      <c r="AO437" s="40"/>
      <c r="AP437" s="40"/>
      <c r="AQ437" s="40"/>
      <c r="AR437" s="40"/>
      <c r="AS437" s="40"/>
      <c r="AT437" s="40"/>
      <c r="AU437" s="40"/>
    </row>
    <row r="438" spans="1:47" ht="15.75" customHeight="1" x14ac:dyDescent="0.25">
      <c r="A438" s="34"/>
      <c r="B438" s="35"/>
      <c r="C438" s="36"/>
      <c r="D438" s="37"/>
      <c r="E438" s="38"/>
      <c r="F438" s="39"/>
      <c r="G438" s="17"/>
      <c r="H438" s="39"/>
      <c r="I438" s="34"/>
      <c r="J438" s="40"/>
      <c r="K438" s="34"/>
      <c r="L438" s="34"/>
      <c r="M438" s="40"/>
      <c r="N438" s="34"/>
      <c r="O438" s="40"/>
      <c r="P438" s="34"/>
      <c r="Q438" s="34"/>
      <c r="R438" s="40"/>
      <c r="S438" s="40"/>
      <c r="T438" s="34"/>
      <c r="U438" s="40"/>
      <c r="V438" s="34"/>
      <c r="W438" s="40"/>
      <c r="X438" s="34"/>
      <c r="Y438" s="34"/>
      <c r="Z438" s="40"/>
      <c r="AA438" s="40"/>
      <c r="AB438" s="34"/>
      <c r="AC438" s="34"/>
      <c r="AD438" s="40"/>
      <c r="AE438" s="40"/>
      <c r="AF438" s="40"/>
      <c r="AG438" s="40"/>
      <c r="AH438" s="34"/>
      <c r="AI438" s="34"/>
      <c r="AJ438" s="34"/>
      <c r="AK438" s="40"/>
      <c r="AL438" s="34"/>
      <c r="AM438" s="40"/>
      <c r="AN438" s="40"/>
      <c r="AO438" s="40"/>
      <c r="AP438" s="40"/>
      <c r="AQ438" s="40"/>
      <c r="AR438" s="40"/>
      <c r="AS438" s="40"/>
      <c r="AT438" s="40"/>
      <c r="AU438" s="40"/>
    </row>
    <row r="439" spans="1:47" ht="15.75" customHeight="1" x14ac:dyDescent="0.25">
      <c r="A439" s="34"/>
      <c r="B439" s="35"/>
      <c r="C439" s="36"/>
      <c r="D439" s="37"/>
      <c r="E439" s="38"/>
      <c r="F439" s="39"/>
      <c r="G439" s="17"/>
      <c r="H439" s="39"/>
      <c r="I439" s="34"/>
      <c r="J439" s="40"/>
      <c r="K439" s="34"/>
      <c r="L439" s="34"/>
      <c r="M439" s="40"/>
      <c r="N439" s="34"/>
      <c r="O439" s="40"/>
      <c r="P439" s="34"/>
      <c r="Q439" s="34"/>
      <c r="R439" s="40"/>
      <c r="S439" s="40"/>
      <c r="T439" s="34"/>
      <c r="U439" s="40"/>
      <c r="V439" s="34"/>
      <c r="W439" s="40"/>
      <c r="X439" s="34"/>
      <c r="Y439" s="34"/>
      <c r="Z439" s="40"/>
      <c r="AA439" s="40"/>
      <c r="AB439" s="34"/>
      <c r="AC439" s="34"/>
      <c r="AD439" s="40"/>
      <c r="AE439" s="40"/>
      <c r="AF439" s="40"/>
      <c r="AG439" s="40"/>
      <c r="AH439" s="34"/>
      <c r="AI439" s="34"/>
      <c r="AJ439" s="34"/>
      <c r="AK439" s="40"/>
      <c r="AL439" s="34"/>
      <c r="AM439" s="40"/>
      <c r="AN439" s="40"/>
      <c r="AO439" s="40"/>
      <c r="AP439" s="40"/>
      <c r="AQ439" s="40"/>
      <c r="AR439" s="40"/>
      <c r="AS439" s="40"/>
      <c r="AT439" s="40"/>
      <c r="AU439" s="40"/>
    </row>
    <row r="440" spans="1:47" ht="15.75" customHeight="1" x14ac:dyDescent="0.25">
      <c r="A440" s="34"/>
      <c r="B440" s="35"/>
      <c r="C440" s="36"/>
      <c r="D440" s="37"/>
      <c r="E440" s="38"/>
      <c r="F440" s="39"/>
      <c r="G440" s="17"/>
      <c r="H440" s="39"/>
      <c r="I440" s="34"/>
      <c r="J440" s="40"/>
      <c r="K440" s="34"/>
      <c r="L440" s="34"/>
      <c r="M440" s="40"/>
      <c r="N440" s="34"/>
      <c r="O440" s="40"/>
      <c r="P440" s="34"/>
      <c r="Q440" s="34"/>
      <c r="R440" s="40"/>
      <c r="S440" s="40"/>
      <c r="T440" s="34"/>
      <c r="U440" s="40"/>
      <c r="V440" s="34"/>
      <c r="W440" s="40"/>
      <c r="X440" s="34"/>
      <c r="Y440" s="34"/>
      <c r="Z440" s="40"/>
      <c r="AA440" s="40"/>
      <c r="AB440" s="34"/>
      <c r="AC440" s="34"/>
      <c r="AD440" s="40"/>
      <c r="AE440" s="40"/>
      <c r="AF440" s="40"/>
      <c r="AG440" s="40"/>
      <c r="AH440" s="34"/>
      <c r="AI440" s="34"/>
      <c r="AJ440" s="34"/>
      <c r="AK440" s="40"/>
      <c r="AL440" s="34"/>
      <c r="AM440" s="40"/>
      <c r="AN440" s="40"/>
      <c r="AO440" s="40"/>
      <c r="AP440" s="40"/>
      <c r="AQ440" s="40"/>
      <c r="AR440" s="40"/>
      <c r="AS440" s="40"/>
      <c r="AT440" s="40"/>
      <c r="AU440" s="40"/>
    </row>
    <row r="441" spans="1:47" ht="15.75" customHeight="1" x14ac:dyDescent="0.25">
      <c r="A441" s="34"/>
      <c r="B441" s="35"/>
      <c r="C441" s="36"/>
      <c r="D441" s="37"/>
      <c r="E441" s="38"/>
      <c r="F441" s="39"/>
      <c r="G441" s="17"/>
      <c r="H441" s="39"/>
      <c r="I441" s="34"/>
      <c r="J441" s="40"/>
      <c r="K441" s="34"/>
      <c r="L441" s="34"/>
      <c r="M441" s="40"/>
      <c r="N441" s="34"/>
      <c r="O441" s="40"/>
      <c r="P441" s="34"/>
      <c r="Q441" s="34"/>
      <c r="R441" s="40"/>
      <c r="S441" s="40"/>
      <c r="T441" s="34"/>
      <c r="U441" s="40"/>
      <c r="V441" s="34"/>
      <c r="W441" s="40"/>
      <c r="X441" s="34"/>
      <c r="Y441" s="34"/>
      <c r="Z441" s="40"/>
      <c r="AA441" s="40"/>
      <c r="AB441" s="34"/>
      <c r="AC441" s="34"/>
      <c r="AD441" s="40"/>
      <c r="AE441" s="40"/>
      <c r="AF441" s="40"/>
      <c r="AG441" s="40"/>
      <c r="AH441" s="34"/>
      <c r="AI441" s="34"/>
      <c r="AJ441" s="34"/>
      <c r="AK441" s="40"/>
      <c r="AL441" s="34"/>
      <c r="AM441" s="40"/>
      <c r="AN441" s="40"/>
      <c r="AO441" s="40"/>
      <c r="AP441" s="40"/>
      <c r="AQ441" s="40"/>
      <c r="AR441" s="40"/>
      <c r="AS441" s="40"/>
      <c r="AT441" s="40"/>
      <c r="AU441" s="40"/>
    </row>
    <row r="442" spans="1:47" ht="15.75" customHeight="1" x14ac:dyDescent="0.25">
      <c r="A442" s="34"/>
      <c r="B442" s="35"/>
      <c r="C442" s="36"/>
      <c r="D442" s="37"/>
      <c r="E442" s="38"/>
      <c r="F442" s="39"/>
      <c r="G442" s="17"/>
      <c r="H442" s="39"/>
      <c r="I442" s="34"/>
      <c r="J442" s="40"/>
      <c r="K442" s="34"/>
      <c r="L442" s="34"/>
      <c r="M442" s="40"/>
      <c r="N442" s="34"/>
      <c r="O442" s="40"/>
      <c r="P442" s="34"/>
      <c r="Q442" s="34"/>
      <c r="R442" s="40"/>
      <c r="S442" s="40"/>
      <c r="T442" s="34"/>
      <c r="U442" s="40"/>
      <c r="V442" s="34"/>
      <c r="W442" s="40"/>
      <c r="X442" s="34"/>
      <c r="Y442" s="34"/>
      <c r="Z442" s="40"/>
      <c r="AA442" s="40"/>
      <c r="AB442" s="34"/>
      <c r="AC442" s="34"/>
      <c r="AD442" s="40"/>
      <c r="AE442" s="40"/>
      <c r="AF442" s="40"/>
      <c r="AG442" s="40"/>
      <c r="AH442" s="34"/>
      <c r="AI442" s="34"/>
      <c r="AJ442" s="34"/>
      <c r="AK442" s="40"/>
      <c r="AL442" s="34"/>
      <c r="AM442" s="40"/>
      <c r="AN442" s="40"/>
      <c r="AO442" s="40"/>
      <c r="AP442" s="40"/>
      <c r="AQ442" s="40"/>
      <c r="AR442" s="40"/>
      <c r="AS442" s="40"/>
      <c r="AT442" s="40"/>
      <c r="AU442" s="40"/>
    </row>
    <row r="443" spans="1:47" ht="15.75" customHeight="1" x14ac:dyDescent="0.25">
      <c r="A443" s="34"/>
      <c r="B443" s="35"/>
      <c r="C443" s="36"/>
      <c r="D443" s="37"/>
      <c r="E443" s="38"/>
      <c r="F443" s="39"/>
      <c r="G443" s="17"/>
      <c r="H443" s="39"/>
      <c r="I443" s="34"/>
      <c r="J443" s="40"/>
      <c r="K443" s="34"/>
      <c r="L443" s="34"/>
      <c r="M443" s="40"/>
      <c r="N443" s="34"/>
      <c r="O443" s="40"/>
      <c r="P443" s="34"/>
      <c r="Q443" s="34"/>
      <c r="R443" s="40"/>
      <c r="S443" s="40"/>
      <c r="T443" s="34"/>
      <c r="U443" s="40"/>
      <c r="V443" s="34"/>
      <c r="W443" s="40"/>
      <c r="X443" s="34"/>
      <c r="Y443" s="34"/>
      <c r="Z443" s="40"/>
      <c r="AA443" s="40"/>
      <c r="AB443" s="34"/>
      <c r="AC443" s="34"/>
      <c r="AD443" s="40"/>
      <c r="AE443" s="40"/>
      <c r="AF443" s="40"/>
      <c r="AG443" s="40"/>
      <c r="AH443" s="34"/>
      <c r="AI443" s="34"/>
      <c r="AJ443" s="34"/>
      <c r="AK443" s="40"/>
      <c r="AL443" s="34"/>
      <c r="AM443" s="40"/>
      <c r="AN443" s="40"/>
      <c r="AO443" s="40"/>
      <c r="AP443" s="40"/>
      <c r="AQ443" s="40"/>
      <c r="AR443" s="40"/>
      <c r="AS443" s="40"/>
      <c r="AT443" s="40"/>
      <c r="AU443" s="40"/>
    </row>
    <row r="444" spans="1:47" ht="15.75" customHeight="1" x14ac:dyDescent="0.25">
      <c r="A444" s="34"/>
      <c r="B444" s="35"/>
      <c r="C444" s="36"/>
      <c r="D444" s="37"/>
      <c r="E444" s="38"/>
      <c r="F444" s="39"/>
      <c r="G444" s="17"/>
      <c r="H444" s="39"/>
      <c r="I444" s="34"/>
      <c r="J444" s="40"/>
      <c r="K444" s="34"/>
      <c r="L444" s="34"/>
      <c r="M444" s="40"/>
      <c r="N444" s="34"/>
      <c r="O444" s="40"/>
      <c r="P444" s="34"/>
      <c r="Q444" s="34"/>
      <c r="R444" s="40"/>
      <c r="S444" s="40"/>
      <c r="T444" s="34"/>
      <c r="U444" s="40"/>
      <c r="V444" s="34"/>
      <c r="W444" s="40"/>
      <c r="X444" s="34"/>
      <c r="Y444" s="34"/>
      <c r="Z444" s="40"/>
      <c r="AA444" s="40"/>
      <c r="AB444" s="34"/>
      <c r="AC444" s="34"/>
      <c r="AD444" s="40"/>
      <c r="AE444" s="40"/>
      <c r="AF444" s="40"/>
      <c r="AG444" s="40"/>
      <c r="AH444" s="34"/>
      <c r="AI444" s="34"/>
      <c r="AJ444" s="34"/>
      <c r="AK444" s="40"/>
      <c r="AL444" s="34"/>
      <c r="AM444" s="40"/>
      <c r="AN444" s="40"/>
      <c r="AO444" s="40"/>
      <c r="AP444" s="40"/>
      <c r="AQ444" s="40"/>
      <c r="AR444" s="40"/>
      <c r="AS444" s="40"/>
      <c r="AT444" s="40"/>
      <c r="AU444" s="40"/>
    </row>
    <row r="445" spans="1:47" ht="15.75" customHeight="1" x14ac:dyDescent="0.25">
      <c r="A445" s="34"/>
      <c r="B445" s="35"/>
      <c r="C445" s="36"/>
      <c r="D445" s="37"/>
      <c r="E445" s="38"/>
      <c r="F445" s="39"/>
      <c r="G445" s="17"/>
      <c r="H445" s="39"/>
      <c r="I445" s="34"/>
      <c r="J445" s="40"/>
      <c r="K445" s="34"/>
      <c r="L445" s="34"/>
      <c r="M445" s="40"/>
      <c r="N445" s="34"/>
      <c r="O445" s="40"/>
      <c r="P445" s="34"/>
      <c r="Q445" s="34"/>
      <c r="R445" s="40"/>
      <c r="S445" s="40"/>
      <c r="T445" s="34"/>
      <c r="U445" s="40"/>
      <c r="V445" s="34"/>
      <c r="W445" s="40"/>
      <c r="X445" s="34"/>
      <c r="Y445" s="34"/>
      <c r="Z445" s="40"/>
      <c r="AA445" s="40"/>
      <c r="AB445" s="34"/>
      <c r="AC445" s="34"/>
      <c r="AD445" s="40"/>
      <c r="AE445" s="40"/>
      <c r="AF445" s="40"/>
      <c r="AG445" s="40"/>
      <c r="AH445" s="34"/>
      <c r="AI445" s="34"/>
      <c r="AJ445" s="34"/>
      <c r="AK445" s="40"/>
      <c r="AL445" s="34"/>
      <c r="AM445" s="40"/>
      <c r="AN445" s="40"/>
      <c r="AO445" s="40"/>
      <c r="AP445" s="40"/>
      <c r="AQ445" s="40"/>
      <c r="AR445" s="40"/>
      <c r="AS445" s="40"/>
      <c r="AT445" s="40"/>
      <c r="AU445" s="40"/>
    </row>
    <row r="446" spans="1:47" ht="15.75" customHeight="1" x14ac:dyDescent="0.25">
      <c r="A446" s="34"/>
      <c r="B446" s="35"/>
      <c r="C446" s="36"/>
      <c r="D446" s="37"/>
      <c r="E446" s="38"/>
      <c r="F446" s="39"/>
      <c r="G446" s="17"/>
      <c r="H446" s="39"/>
      <c r="I446" s="34"/>
      <c r="J446" s="40"/>
      <c r="K446" s="34"/>
      <c r="L446" s="34"/>
      <c r="M446" s="40"/>
      <c r="N446" s="34"/>
      <c r="O446" s="40"/>
      <c r="P446" s="34"/>
      <c r="Q446" s="34"/>
      <c r="R446" s="40"/>
      <c r="S446" s="40"/>
      <c r="T446" s="34"/>
      <c r="U446" s="40"/>
      <c r="V446" s="34"/>
      <c r="W446" s="40"/>
      <c r="X446" s="34"/>
      <c r="Y446" s="34"/>
      <c r="Z446" s="40"/>
      <c r="AA446" s="40"/>
      <c r="AB446" s="34"/>
      <c r="AC446" s="34"/>
      <c r="AD446" s="40"/>
      <c r="AE446" s="40"/>
      <c r="AF446" s="40"/>
      <c r="AG446" s="40"/>
      <c r="AH446" s="34"/>
      <c r="AI446" s="34"/>
      <c r="AJ446" s="34"/>
      <c r="AK446" s="40"/>
      <c r="AL446" s="34"/>
      <c r="AM446" s="40"/>
      <c r="AN446" s="40"/>
      <c r="AO446" s="40"/>
      <c r="AP446" s="40"/>
      <c r="AQ446" s="40"/>
      <c r="AR446" s="40"/>
      <c r="AS446" s="40"/>
      <c r="AT446" s="40"/>
      <c r="AU446" s="40"/>
    </row>
    <row r="447" spans="1:47" ht="15.75" customHeight="1" x14ac:dyDescent="0.25">
      <c r="A447" s="34"/>
      <c r="B447" s="35"/>
      <c r="C447" s="36"/>
      <c r="D447" s="37"/>
      <c r="E447" s="38"/>
      <c r="F447" s="39"/>
      <c r="G447" s="17"/>
      <c r="H447" s="39"/>
      <c r="I447" s="34"/>
      <c r="J447" s="40"/>
      <c r="K447" s="34"/>
      <c r="L447" s="34"/>
      <c r="M447" s="40"/>
      <c r="N447" s="34"/>
      <c r="O447" s="40"/>
      <c r="P447" s="34"/>
      <c r="Q447" s="34"/>
      <c r="R447" s="40"/>
      <c r="S447" s="40"/>
      <c r="T447" s="34"/>
      <c r="U447" s="40"/>
      <c r="V447" s="34"/>
      <c r="W447" s="40"/>
      <c r="X447" s="34"/>
      <c r="Y447" s="34"/>
      <c r="Z447" s="40"/>
      <c r="AA447" s="40"/>
      <c r="AB447" s="34"/>
      <c r="AC447" s="34"/>
      <c r="AD447" s="40"/>
      <c r="AE447" s="40"/>
      <c r="AF447" s="40"/>
      <c r="AG447" s="40"/>
      <c r="AH447" s="34"/>
      <c r="AI447" s="34"/>
      <c r="AJ447" s="34"/>
      <c r="AK447" s="40"/>
      <c r="AL447" s="34"/>
      <c r="AM447" s="40"/>
      <c r="AN447" s="40"/>
      <c r="AO447" s="40"/>
      <c r="AP447" s="40"/>
      <c r="AQ447" s="40"/>
      <c r="AR447" s="40"/>
      <c r="AS447" s="40"/>
      <c r="AT447" s="40"/>
      <c r="AU447" s="40"/>
    </row>
    <row r="448" spans="1:47" ht="15.75" customHeight="1" x14ac:dyDescent="0.25">
      <c r="A448" s="34"/>
      <c r="B448" s="35"/>
      <c r="C448" s="36"/>
      <c r="D448" s="37"/>
      <c r="E448" s="38"/>
      <c r="F448" s="39"/>
      <c r="G448" s="17"/>
      <c r="H448" s="39"/>
      <c r="I448" s="34"/>
      <c r="J448" s="40"/>
      <c r="K448" s="34"/>
      <c r="L448" s="34"/>
      <c r="M448" s="40"/>
      <c r="N448" s="34"/>
      <c r="O448" s="40"/>
      <c r="P448" s="34"/>
      <c r="Q448" s="34"/>
      <c r="R448" s="40"/>
      <c r="S448" s="40"/>
      <c r="T448" s="34"/>
      <c r="U448" s="40"/>
      <c r="V448" s="34"/>
      <c r="W448" s="40"/>
      <c r="X448" s="34"/>
      <c r="Y448" s="34"/>
      <c r="Z448" s="40"/>
      <c r="AA448" s="40"/>
      <c r="AB448" s="34"/>
      <c r="AC448" s="34"/>
      <c r="AD448" s="40"/>
      <c r="AE448" s="40"/>
      <c r="AF448" s="40"/>
      <c r="AG448" s="40"/>
      <c r="AH448" s="34"/>
      <c r="AI448" s="34"/>
      <c r="AJ448" s="34"/>
      <c r="AK448" s="40"/>
      <c r="AL448" s="34"/>
      <c r="AM448" s="40"/>
      <c r="AN448" s="40"/>
      <c r="AO448" s="40"/>
      <c r="AP448" s="40"/>
      <c r="AQ448" s="40"/>
      <c r="AR448" s="40"/>
      <c r="AS448" s="40"/>
      <c r="AT448" s="40"/>
      <c r="AU448" s="40"/>
    </row>
    <row r="449" spans="1:47" ht="15.75" customHeight="1" x14ac:dyDescent="0.25">
      <c r="A449" s="34"/>
      <c r="B449" s="35"/>
      <c r="C449" s="36"/>
      <c r="D449" s="37"/>
      <c r="E449" s="38"/>
      <c r="F449" s="39"/>
      <c r="G449" s="17"/>
      <c r="H449" s="39"/>
      <c r="I449" s="34"/>
      <c r="J449" s="40"/>
      <c r="K449" s="34"/>
      <c r="L449" s="34"/>
      <c r="M449" s="40"/>
      <c r="N449" s="34"/>
      <c r="O449" s="40"/>
      <c r="P449" s="34"/>
      <c r="Q449" s="34"/>
      <c r="R449" s="40"/>
      <c r="S449" s="40"/>
      <c r="T449" s="34"/>
      <c r="U449" s="40"/>
      <c r="V449" s="34"/>
      <c r="W449" s="40"/>
      <c r="X449" s="34"/>
      <c r="Y449" s="34"/>
      <c r="Z449" s="40"/>
      <c r="AA449" s="40"/>
      <c r="AB449" s="34"/>
      <c r="AC449" s="34"/>
      <c r="AD449" s="40"/>
      <c r="AE449" s="40"/>
      <c r="AF449" s="40"/>
      <c r="AG449" s="40"/>
      <c r="AH449" s="34"/>
      <c r="AI449" s="34"/>
      <c r="AJ449" s="34"/>
      <c r="AK449" s="40"/>
      <c r="AL449" s="34"/>
      <c r="AM449" s="40"/>
      <c r="AN449" s="40"/>
      <c r="AO449" s="40"/>
      <c r="AP449" s="40"/>
      <c r="AQ449" s="40"/>
      <c r="AR449" s="40"/>
      <c r="AS449" s="40"/>
      <c r="AT449" s="40"/>
      <c r="AU449" s="40"/>
    </row>
    <row r="450" spans="1:47" ht="15.75" customHeight="1" x14ac:dyDescent="0.25">
      <c r="A450" s="34"/>
      <c r="B450" s="35"/>
      <c r="C450" s="36"/>
      <c r="D450" s="37"/>
      <c r="E450" s="38"/>
      <c r="F450" s="39"/>
      <c r="G450" s="17"/>
      <c r="H450" s="39"/>
      <c r="I450" s="34"/>
      <c r="J450" s="40"/>
      <c r="K450" s="34"/>
      <c r="L450" s="34"/>
      <c r="M450" s="40"/>
      <c r="N450" s="34"/>
      <c r="O450" s="40"/>
      <c r="P450" s="34"/>
      <c r="Q450" s="34"/>
      <c r="R450" s="40"/>
      <c r="S450" s="40"/>
      <c r="T450" s="34"/>
      <c r="U450" s="40"/>
      <c r="V450" s="34"/>
      <c r="W450" s="40"/>
      <c r="X450" s="34"/>
      <c r="Y450" s="34"/>
      <c r="Z450" s="40"/>
      <c r="AA450" s="40"/>
      <c r="AB450" s="34"/>
      <c r="AC450" s="34"/>
      <c r="AD450" s="40"/>
      <c r="AE450" s="40"/>
      <c r="AF450" s="40"/>
      <c r="AG450" s="40"/>
      <c r="AH450" s="34"/>
      <c r="AI450" s="34"/>
      <c r="AJ450" s="34"/>
      <c r="AK450" s="40"/>
      <c r="AL450" s="34"/>
      <c r="AM450" s="40"/>
      <c r="AN450" s="40"/>
      <c r="AO450" s="40"/>
      <c r="AP450" s="40"/>
      <c r="AQ450" s="40"/>
      <c r="AR450" s="40"/>
      <c r="AS450" s="40"/>
      <c r="AT450" s="40"/>
      <c r="AU450" s="40"/>
    </row>
    <row r="451" spans="1:47" ht="15.75" customHeight="1" x14ac:dyDescent="0.25">
      <c r="A451" s="34"/>
      <c r="B451" s="35"/>
      <c r="C451" s="36"/>
      <c r="D451" s="37"/>
      <c r="E451" s="38"/>
      <c r="F451" s="39"/>
      <c r="G451" s="17"/>
      <c r="H451" s="39"/>
      <c r="I451" s="34"/>
      <c r="J451" s="40"/>
      <c r="K451" s="34"/>
      <c r="L451" s="34"/>
      <c r="M451" s="40"/>
      <c r="N451" s="34"/>
      <c r="O451" s="40"/>
      <c r="P451" s="34"/>
      <c r="Q451" s="34"/>
      <c r="R451" s="40"/>
      <c r="S451" s="40"/>
      <c r="T451" s="34"/>
      <c r="U451" s="40"/>
      <c r="V451" s="34"/>
      <c r="W451" s="40"/>
      <c r="X451" s="34"/>
      <c r="Y451" s="34"/>
      <c r="Z451" s="40"/>
      <c r="AA451" s="40"/>
      <c r="AB451" s="34"/>
      <c r="AC451" s="34"/>
      <c r="AD451" s="40"/>
      <c r="AE451" s="40"/>
      <c r="AF451" s="40"/>
      <c r="AG451" s="40"/>
      <c r="AH451" s="34"/>
      <c r="AI451" s="34"/>
      <c r="AJ451" s="34"/>
      <c r="AK451" s="40"/>
      <c r="AL451" s="34"/>
      <c r="AM451" s="40"/>
      <c r="AN451" s="40"/>
      <c r="AO451" s="40"/>
      <c r="AP451" s="40"/>
      <c r="AQ451" s="40"/>
      <c r="AR451" s="40"/>
      <c r="AS451" s="40"/>
      <c r="AT451" s="40"/>
      <c r="AU451" s="40"/>
    </row>
    <row r="452" spans="1:47" ht="15.75" customHeight="1" x14ac:dyDescent="0.25">
      <c r="A452" s="34"/>
      <c r="B452" s="35"/>
      <c r="C452" s="36"/>
      <c r="D452" s="37"/>
      <c r="E452" s="38"/>
      <c r="F452" s="39"/>
      <c r="G452" s="17"/>
      <c r="H452" s="39"/>
      <c r="I452" s="34"/>
      <c r="J452" s="40"/>
      <c r="K452" s="34"/>
      <c r="L452" s="34"/>
      <c r="M452" s="40"/>
      <c r="N452" s="34"/>
      <c r="O452" s="40"/>
      <c r="P452" s="34"/>
      <c r="Q452" s="34"/>
      <c r="R452" s="40"/>
      <c r="S452" s="40"/>
      <c r="T452" s="34"/>
      <c r="U452" s="40"/>
      <c r="V452" s="34"/>
      <c r="W452" s="40"/>
      <c r="X452" s="34"/>
      <c r="Y452" s="34"/>
      <c r="Z452" s="40"/>
      <c r="AA452" s="40"/>
      <c r="AB452" s="34"/>
      <c r="AC452" s="34"/>
      <c r="AD452" s="40"/>
      <c r="AE452" s="40"/>
      <c r="AF452" s="40"/>
      <c r="AG452" s="40"/>
      <c r="AH452" s="34"/>
      <c r="AI452" s="34"/>
      <c r="AJ452" s="34"/>
      <c r="AK452" s="40"/>
      <c r="AL452" s="34"/>
      <c r="AM452" s="40"/>
      <c r="AN452" s="40"/>
      <c r="AO452" s="40"/>
      <c r="AP452" s="40"/>
      <c r="AQ452" s="40"/>
      <c r="AR452" s="40"/>
      <c r="AS452" s="40"/>
      <c r="AT452" s="40"/>
      <c r="AU452" s="40"/>
    </row>
    <row r="453" spans="1:47" ht="15.75" customHeight="1" x14ac:dyDescent="0.25">
      <c r="A453" s="34"/>
      <c r="B453" s="35"/>
      <c r="C453" s="36"/>
      <c r="D453" s="37"/>
      <c r="E453" s="38"/>
      <c r="F453" s="39"/>
      <c r="G453" s="17"/>
      <c r="H453" s="39"/>
      <c r="I453" s="34"/>
      <c r="J453" s="40"/>
      <c r="K453" s="34"/>
      <c r="L453" s="34"/>
      <c r="M453" s="40"/>
      <c r="N453" s="34"/>
      <c r="O453" s="40"/>
      <c r="P453" s="34"/>
      <c r="Q453" s="34"/>
      <c r="R453" s="40"/>
      <c r="S453" s="40"/>
      <c r="T453" s="34"/>
      <c r="U453" s="40"/>
      <c r="V453" s="34"/>
      <c r="W453" s="40"/>
      <c r="X453" s="34"/>
      <c r="Y453" s="34"/>
      <c r="Z453" s="40"/>
      <c r="AA453" s="40"/>
      <c r="AB453" s="34"/>
      <c r="AC453" s="34"/>
      <c r="AD453" s="40"/>
      <c r="AE453" s="40"/>
      <c r="AF453" s="40"/>
      <c r="AG453" s="40"/>
      <c r="AH453" s="34"/>
      <c r="AI453" s="34"/>
      <c r="AJ453" s="34"/>
      <c r="AK453" s="40"/>
      <c r="AL453" s="34"/>
      <c r="AM453" s="40"/>
      <c r="AN453" s="40"/>
      <c r="AO453" s="40"/>
      <c r="AP453" s="40"/>
      <c r="AQ453" s="40"/>
      <c r="AR453" s="40"/>
      <c r="AS453" s="40"/>
      <c r="AT453" s="40"/>
      <c r="AU453" s="40"/>
    </row>
    <row r="454" spans="1:47" ht="15.75" customHeight="1" x14ac:dyDescent="0.25">
      <c r="A454" s="34"/>
      <c r="B454" s="35"/>
      <c r="C454" s="36"/>
      <c r="D454" s="37"/>
      <c r="E454" s="38"/>
      <c r="F454" s="39"/>
      <c r="G454" s="17"/>
      <c r="H454" s="39"/>
      <c r="I454" s="34"/>
      <c r="J454" s="40"/>
      <c r="K454" s="34"/>
      <c r="L454" s="34"/>
      <c r="M454" s="40"/>
      <c r="N454" s="34"/>
      <c r="O454" s="40"/>
      <c r="P454" s="34"/>
      <c r="Q454" s="34"/>
      <c r="R454" s="40"/>
      <c r="S454" s="40"/>
      <c r="T454" s="34"/>
      <c r="U454" s="40"/>
      <c r="V454" s="34"/>
      <c r="W454" s="40"/>
      <c r="X454" s="34"/>
      <c r="Y454" s="34"/>
      <c r="Z454" s="40"/>
      <c r="AA454" s="40"/>
      <c r="AB454" s="34"/>
      <c r="AC454" s="34"/>
      <c r="AD454" s="40"/>
      <c r="AE454" s="40"/>
      <c r="AF454" s="40"/>
      <c r="AG454" s="40"/>
      <c r="AH454" s="34"/>
      <c r="AI454" s="34"/>
      <c r="AJ454" s="34"/>
      <c r="AK454" s="40"/>
      <c r="AL454" s="34"/>
      <c r="AM454" s="40"/>
      <c r="AN454" s="40"/>
      <c r="AO454" s="40"/>
      <c r="AP454" s="40"/>
      <c r="AQ454" s="40"/>
      <c r="AR454" s="40"/>
      <c r="AS454" s="40"/>
      <c r="AT454" s="40"/>
      <c r="AU454" s="40"/>
    </row>
    <row r="455" spans="1:47" ht="15.75" customHeight="1" x14ac:dyDescent="0.25">
      <c r="A455" s="34"/>
      <c r="B455" s="35"/>
      <c r="C455" s="36"/>
      <c r="D455" s="37"/>
      <c r="E455" s="38"/>
      <c r="F455" s="39"/>
      <c r="G455" s="17"/>
      <c r="H455" s="39"/>
      <c r="I455" s="34"/>
      <c r="J455" s="40"/>
      <c r="K455" s="34"/>
      <c r="L455" s="34"/>
      <c r="M455" s="40"/>
      <c r="N455" s="34"/>
      <c r="O455" s="40"/>
      <c r="P455" s="34"/>
      <c r="Q455" s="34"/>
      <c r="R455" s="40"/>
      <c r="S455" s="40"/>
      <c r="T455" s="34"/>
      <c r="U455" s="40"/>
      <c r="V455" s="34"/>
      <c r="W455" s="40"/>
      <c r="X455" s="34"/>
      <c r="Y455" s="34"/>
      <c r="Z455" s="40"/>
      <c r="AA455" s="40"/>
      <c r="AB455" s="34"/>
      <c r="AC455" s="34"/>
      <c r="AD455" s="40"/>
      <c r="AE455" s="40"/>
      <c r="AF455" s="40"/>
      <c r="AG455" s="40"/>
      <c r="AH455" s="34"/>
      <c r="AI455" s="34"/>
      <c r="AJ455" s="34"/>
      <c r="AK455" s="40"/>
      <c r="AL455" s="34"/>
      <c r="AM455" s="40"/>
      <c r="AN455" s="40"/>
      <c r="AO455" s="40"/>
      <c r="AP455" s="40"/>
      <c r="AQ455" s="40"/>
      <c r="AR455" s="40"/>
      <c r="AS455" s="40"/>
      <c r="AT455" s="40"/>
      <c r="AU455" s="40"/>
    </row>
    <row r="456" spans="1:47" ht="15.75" customHeight="1" x14ac:dyDescent="0.25">
      <c r="A456" s="34"/>
      <c r="B456" s="35"/>
      <c r="C456" s="36"/>
      <c r="D456" s="37"/>
      <c r="E456" s="38"/>
      <c r="F456" s="39"/>
      <c r="G456" s="17"/>
      <c r="H456" s="39"/>
      <c r="I456" s="34"/>
      <c r="J456" s="40"/>
      <c r="K456" s="34"/>
      <c r="L456" s="34"/>
      <c r="M456" s="40"/>
      <c r="N456" s="34"/>
      <c r="O456" s="40"/>
      <c r="P456" s="34"/>
      <c r="Q456" s="34"/>
      <c r="R456" s="40"/>
      <c r="S456" s="40"/>
      <c r="T456" s="34"/>
      <c r="U456" s="40"/>
      <c r="V456" s="34"/>
      <c r="W456" s="40"/>
      <c r="X456" s="34"/>
      <c r="Y456" s="34"/>
      <c r="Z456" s="40"/>
      <c r="AA456" s="40"/>
      <c r="AB456" s="34"/>
      <c r="AC456" s="34"/>
      <c r="AD456" s="40"/>
      <c r="AE456" s="40"/>
      <c r="AF456" s="40"/>
      <c r="AG456" s="40"/>
      <c r="AH456" s="34"/>
      <c r="AI456" s="34"/>
      <c r="AJ456" s="34"/>
      <c r="AK456" s="40"/>
      <c r="AL456" s="34"/>
      <c r="AM456" s="40"/>
      <c r="AN456" s="40"/>
      <c r="AO456" s="40"/>
      <c r="AP456" s="40"/>
      <c r="AQ456" s="40"/>
      <c r="AR456" s="40"/>
      <c r="AS456" s="40"/>
      <c r="AT456" s="40"/>
      <c r="AU456" s="40"/>
    </row>
    <row r="457" spans="1:47" ht="15.75" customHeight="1" x14ac:dyDescent="0.25">
      <c r="A457" s="34"/>
      <c r="B457" s="35"/>
      <c r="C457" s="36"/>
      <c r="D457" s="37"/>
      <c r="E457" s="38"/>
      <c r="F457" s="39"/>
      <c r="G457" s="17"/>
      <c r="H457" s="39"/>
      <c r="I457" s="34"/>
      <c r="J457" s="40"/>
      <c r="K457" s="34"/>
      <c r="L457" s="34"/>
      <c r="M457" s="40"/>
      <c r="N457" s="34"/>
      <c r="O457" s="40"/>
      <c r="P457" s="34"/>
      <c r="Q457" s="34"/>
      <c r="R457" s="40"/>
      <c r="S457" s="40"/>
      <c r="T457" s="34"/>
      <c r="U457" s="40"/>
      <c r="V457" s="34"/>
      <c r="W457" s="40"/>
      <c r="X457" s="34"/>
      <c r="Y457" s="34"/>
      <c r="Z457" s="40"/>
      <c r="AA457" s="40"/>
      <c r="AB457" s="34"/>
      <c r="AC457" s="34"/>
      <c r="AD457" s="40"/>
      <c r="AE457" s="40"/>
      <c r="AF457" s="40"/>
      <c r="AG457" s="40"/>
      <c r="AH457" s="34"/>
      <c r="AI457" s="34"/>
      <c r="AJ457" s="34"/>
      <c r="AK457" s="40"/>
      <c r="AL457" s="34"/>
      <c r="AM457" s="40"/>
      <c r="AN457" s="40"/>
      <c r="AO457" s="40"/>
      <c r="AP457" s="40"/>
      <c r="AQ457" s="40"/>
      <c r="AR457" s="40"/>
      <c r="AS457" s="40"/>
      <c r="AT457" s="40"/>
      <c r="AU457" s="40"/>
    </row>
    <row r="458" spans="1:47" ht="15.75" customHeight="1" x14ac:dyDescent="0.25">
      <c r="A458" s="34"/>
      <c r="B458" s="35"/>
      <c r="C458" s="36"/>
      <c r="D458" s="37"/>
      <c r="E458" s="38"/>
      <c r="F458" s="39"/>
      <c r="G458" s="17"/>
      <c r="H458" s="39"/>
      <c r="I458" s="34"/>
      <c r="J458" s="40"/>
      <c r="K458" s="34"/>
      <c r="L458" s="34"/>
      <c r="M458" s="40"/>
      <c r="N458" s="34"/>
      <c r="O458" s="40"/>
      <c r="P458" s="34"/>
      <c r="Q458" s="34"/>
      <c r="R458" s="40"/>
      <c r="S458" s="40"/>
      <c r="T458" s="34"/>
      <c r="U458" s="40"/>
      <c r="V458" s="34"/>
      <c r="W458" s="40"/>
      <c r="X458" s="34"/>
      <c r="Y458" s="34"/>
      <c r="Z458" s="40"/>
      <c r="AA458" s="40"/>
      <c r="AB458" s="34"/>
      <c r="AC458" s="34"/>
      <c r="AD458" s="40"/>
      <c r="AE458" s="40"/>
      <c r="AF458" s="40"/>
      <c r="AG458" s="40"/>
      <c r="AH458" s="34"/>
      <c r="AI458" s="34"/>
      <c r="AJ458" s="34"/>
      <c r="AK458" s="40"/>
      <c r="AL458" s="34"/>
      <c r="AM458" s="40"/>
      <c r="AN458" s="40"/>
      <c r="AO458" s="40"/>
      <c r="AP458" s="40"/>
      <c r="AQ458" s="40"/>
      <c r="AR458" s="40"/>
      <c r="AS458" s="40"/>
      <c r="AT458" s="40"/>
      <c r="AU458" s="40"/>
    </row>
    <row r="459" spans="1:47" ht="15.75" customHeight="1" x14ac:dyDescent="0.25">
      <c r="A459" s="34"/>
      <c r="B459" s="35"/>
      <c r="C459" s="36"/>
      <c r="D459" s="37"/>
      <c r="E459" s="38"/>
      <c r="F459" s="39"/>
      <c r="G459" s="17"/>
      <c r="H459" s="39"/>
      <c r="I459" s="34"/>
      <c r="J459" s="40"/>
      <c r="K459" s="34"/>
      <c r="L459" s="34"/>
      <c r="M459" s="40"/>
      <c r="N459" s="34"/>
      <c r="O459" s="40"/>
      <c r="P459" s="34"/>
      <c r="Q459" s="34"/>
      <c r="R459" s="40"/>
      <c r="S459" s="40"/>
      <c r="T459" s="34"/>
      <c r="U459" s="40"/>
      <c r="V459" s="34"/>
      <c r="W459" s="40"/>
      <c r="X459" s="34"/>
      <c r="Y459" s="34"/>
      <c r="Z459" s="40"/>
      <c r="AA459" s="40"/>
      <c r="AB459" s="34"/>
      <c r="AC459" s="34"/>
      <c r="AD459" s="40"/>
      <c r="AE459" s="40"/>
      <c r="AF459" s="40"/>
      <c r="AG459" s="40"/>
      <c r="AH459" s="34"/>
      <c r="AI459" s="34"/>
      <c r="AJ459" s="34"/>
      <c r="AK459" s="40"/>
      <c r="AL459" s="34"/>
      <c r="AM459" s="40"/>
      <c r="AN459" s="40"/>
      <c r="AO459" s="40"/>
      <c r="AP459" s="40"/>
      <c r="AQ459" s="40"/>
      <c r="AR459" s="40"/>
      <c r="AS459" s="40"/>
      <c r="AT459" s="40"/>
      <c r="AU459" s="40"/>
    </row>
    <row r="460" spans="1:47" ht="15.75" customHeight="1" x14ac:dyDescent="0.25">
      <c r="A460" s="34"/>
      <c r="B460" s="35"/>
      <c r="C460" s="36"/>
      <c r="D460" s="37"/>
      <c r="E460" s="38"/>
      <c r="F460" s="39"/>
      <c r="G460" s="17"/>
      <c r="H460" s="39"/>
      <c r="I460" s="34"/>
      <c r="J460" s="40"/>
      <c r="K460" s="34"/>
      <c r="L460" s="34"/>
      <c r="M460" s="40"/>
      <c r="N460" s="34"/>
      <c r="O460" s="40"/>
      <c r="P460" s="34"/>
      <c r="Q460" s="34"/>
      <c r="R460" s="40"/>
      <c r="S460" s="40"/>
      <c r="T460" s="34"/>
      <c r="U460" s="40"/>
      <c r="V460" s="34"/>
      <c r="W460" s="40"/>
      <c r="X460" s="34"/>
      <c r="Y460" s="34"/>
      <c r="Z460" s="40"/>
      <c r="AA460" s="40"/>
      <c r="AB460" s="34"/>
      <c r="AC460" s="34"/>
      <c r="AD460" s="40"/>
      <c r="AE460" s="40"/>
      <c r="AF460" s="40"/>
      <c r="AG460" s="40"/>
      <c r="AH460" s="34"/>
      <c r="AI460" s="34"/>
      <c r="AJ460" s="34"/>
      <c r="AK460" s="40"/>
      <c r="AL460" s="34"/>
      <c r="AM460" s="40"/>
      <c r="AN460" s="40"/>
      <c r="AO460" s="40"/>
      <c r="AP460" s="40"/>
      <c r="AQ460" s="40"/>
      <c r="AR460" s="40"/>
      <c r="AS460" s="40"/>
      <c r="AT460" s="40"/>
      <c r="AU460" s="40"/>
    </row>
    <row r="461" spans="1:47" ht="15.75" customHeight="1" x14ac:dyDescent="0.25">
      <c r="A461" s="34"/>
      <c r="B461" s="35"/>
      <c r="C461" s="36"/>
      <c r="D461" s="37"/>
      <c r="E461" s="38"/>
      <c r="F461" s="39"/>
      <c r="G461" s="17"/>
      <c r="H461" s="39"/>
      <c r="I461" s="34"/>
      <c r="J461" s="40"/>
      <c r="K461" s="34"/>
      <c r="L461" s="34"/>
      <c r="M461" s="40"/>
      <c r="N461" s="34"/>
      <c r="O461" s="40"/>
      <c r="P461" s="34"/>
      <c r="Q461" s="34"/>
      <c r="R461" s="40"/>
      <c r="S461" s="40"/>
      <c r="T461" s="34"/>
      <c r="U461" s="40"/>
      <c r="V461" s="34"/>
      <c r="W461" s="40"/>
      <c r="X461" s="34"/>
      <c r="Y461" s="34"/>
      <c r="Z461" s="40"/>
      <c r="AA461" s="40"/>
      <c r="AB461" s="34"/>
      <c r="AC461" s="34"/>
      <c r="AD461" s="40"/>
      <c r="AE461" s="40"/>
      <c r="AF461" s="40"/>
      <c r="AG461" s="40"/>
      <c r="AH461" s="34"/>
      <c r="AI461" s="34"/>
      <c r="AJ461" s="34"/>
      <c r="AK461" s="40"/>
      <c r="AL461" s="34"/>
      <c r="AM461" s="40"/>
      <c r="AN461" s="40"/>
      <c r="AO461" s="40"/>
      <c r="AP461" s="40"/>
      <c r="AQ461" s="40"/>
      <c r="AR461" s="40"/>
      <c r="AS461" s="40"/>
      <c r="AT461" s="40"/>
      <c r="AU461" s="40"/>
    </row>
    <row r="462" spans="1:47" ht="15.75" customHeight="1" x14ac:dyDescent="0.25">
      <c r="A462" s="34"/>
      <c r="B462" s="35"/>
      <c r="C462" s="36"/>
      <c r="D462" s="37"/>
      <c r="E462" s="38"/>
      <c r="F462" s="39"/>
      <c r="G462" s="17"/>
      <c r="H462" s="39"/>
      <c r="I462" s="34"/>
      <c r="J462" s="40"/>
      <c r="K462" s="34"/>
      <c r="L462" s="34"/>
      <c r="M462" s="40"/>
      <c r="N462" s="34"/>
      <c r="O462" s="40"/>
      <c r="P462" s="34"/>
      <c r="Q462" s="34"/>
      <c r="R462" s="40"/>
      <c r="S462" s="40"/>
      <c r="T462" s="34"/>
      <c r="U462" s="40"/>
      <c r="V462" s="34"/>
      <c r="W462" s="40"/>
      <c r="X462" s="34"/>
      <c r="Y462" s="34"/>
      <c r="Z462" s="40"/>
      <c r="AA462" s="40"/>
      <c r="AB462" s="34"/>
      <c r="AC462" s="34"/>
      <c r="AD462" s="40"/>
      <c r="AE462" s="40"/>
      <c r="AF462" s="40"/>
      <c r="AG462" s="40"/>
      <c r="AH462" s="34"/>
      <c r="AI462" s="34"/>
      <c r="AJ462" s="34"/>
      <c r="AK462" s="40"/>
      <c r="AL462" s="34"/>
      <c r="AM462" s="40"/>
      <c r="AN462" s="40"/>
      <c r="AO462" s="40"/>
      <c r="AP462" s="40"/>
      <c r="AQ462" s="40"/>
      <c r="AR462" s="40"/>
      <c r="AS462" s="40"/>
      <c r="AT462" s="40"/>
      <c r="AU462" s="40"/>
    </row>
    <row r="463" spans="1:47" ht="15.75" customHeight="1" x14ac:dyDescent="0.25">
      <c r="A463" s="34"/>
      <c r="B463" s="35"/>
      <c r="C463" s="36"/>
      <c r="D463" s="37"/>
      <c r="E463" s="38"/>
      <c r="F463" s="39"/>
      <c r="G463" s="17"/>
      <c r="H463" s="39"/>
      <c r="I463" s="34"/>
      <c r="J463" s="40"/>
      <c r="K463" s="34"/>
      <c r="L463" s="34"/>
      <c r="M463" s="40"/>
      <c r="N463" s="34"/>
      <c r="O463" s="40"/>
      <c r="P463" s="34"/>
      <c r="Q463" s="34"/>
      <c r="R463" s="40"/>
      <c r="S463" s="40"/>
      <c r="T463" s="34"/>
      <c r="U463" s="40"/>
      <c r="V463" s="34"/>
      <c r="W463" s="40"/>
      <c r="X463" s="34"/>
      <c r="Y463" s="34"/>
      <c r="Z463" s="40"/>
      <c r="AA463" s="40"/>
      <c r="AB463" s="34"/>
      <c r="AC463" s="34"/>
      <c r="AD463" s="40"/>
      <c r="AE463" s="40"/>
      <c r="AF463" s="40"/>
      <c r="AG463" s="40"/>
      <c r="AH463" s="34"/>
      <c r="AI463" s="34"/>
      <c r="AJ463" s="34"/>
      <c r="AK463" s="40"/>
      <c r="AL463" s="34"/>
      <c r="AM463" s="40"/>
      <c r="AN463" s="40"/>
      <c r="AO463" s="40"/>
      <c r="AP463" s="40"/>
      <c r="AQ463" s="40"/>
      <c r="AR463" s="40"/>
      <c r="AS463" s="40"/>
      <c r="AT463" s="40"/>
      <c r="AU463" s="40"/>
    </row>
    <row r="464" spans="1:47" ht="15.75" customHeight="1" x14ac:dyDescent="0.25">
      <c r="A464" s="34"/>
      <c r="B464" s="35"/>
      <c r="C464" s="36"/>
      <c r="D464" s="37"/>
      <c r="E464" s="38"/>
      <c r="F464" s="39"/>
      <c r="G464" s="17"/>
      <c r="H464" s="39"/>
      <c r="I464" s="34"/>
      <c r="J464" s="40"/>
      <c r="K464" s="34"/>
      <c r="L464" s="34"/>
      <c r="M464" s="40"/>
      <c r="N464" s="34"/>
      <c r="O464" s="40"/>
      <c r="P464" s="34"/>
      <c r="Q464" s="34"/>
      <c r="R464" s="40"/>
      <c r="S464" s="40"/>
      <c r="T464" s="34"/>
      <c r="U464" s="40"/>
      <c r="V464" s="34"/>
      <c r="W464" s="40"/>
      <c r="X464" s="34"/>
      <c r="Y464" s="34"/>
      <c r="Z464" s="40"/>
      <c r="AA464" s="40"/>
      <c r="AB464" s="34"/>
      <c r="AC464" s="34"/>
      <c r="AD464" s="40"/>
      <c r="AE464" s="40"/>
      <c r="AF464" s="40"/>
      <c r="AG464" s="40"/>
      <c r="AH464" s="34"/>
      <c r="AI464" s="34"/>
      <c r="AJ464" s="34"/>
      <c r="AK464" s="40"/>
      <c r="AL464" s="34"/>
      <c r="AM464" s="40"/>
      <c r="AN464" s="40"/>
      <c r="AO464" s="40"/>
      <c r="AP464" s="40"/>
      <c r="AQ464" s="40"/>
      <c r="AR464" s="40"/>
      <c r="AS464" s="40"/>
      <c r="AT464" s="40"/>
      <c r="AU464" s="40"/>
    </row>
    <row r="465" spans="1:47" ht="15.75" customHeight="1" x14ac:dyDescent="0.25">
      <c r="A465" s="34"/>
      <c r="B465" s="35"/>
      <c r="C465" s="36"/>
      <c r="D465" s="37"/>
      <c r="E465" s="38"/>
      <c r="F465" s="39"/>
      <c r="G465" s="17"/>
      <c r="H465" s="39"/>
      <c r="I465" s="34"/>
      <c r="J465" s="40"/>
      <c r="K465" s="34"/>
      <c r="L465" s="34"/>
      <c r="M465" s="40"/>
      <c r="N465" s="34"/>
      <c r="O465" s="40"/>
      <c r="P465" s="34"/>
      <c r="Q465" s="34"/>
      <c r="R465" s="40"/>
      <c r="S465" s="40"/>
      <c r="T465" s="34"/>
      <c r="U465" s="40"/>
      <c r="V465" s="34"/>
      <c r="W465" s="40"/>
      <c r="X465" s="34"/>
      <c r="Y465" s="34"/>
      <c r="Z465" s="40"/>
      <c r="AA465" s="40"/>
      <c r="AB465" s="34"/>
      <c r="AC465" s="34"/>
      <c r="AD465" s="40"/>
      <c r="AE465" s="40"/>
      <c r="AF465" s="40"/>
      <c r="AG465" s="40"/>
      <c r="AH465" s="34"/>
      <c r="AI465" s="34"/>
      <c r="AJ465" s="34"/>
      <c r="AK465" s="40"/>
      <c r="AL465" s="34"/>
      <c r="AM465" s="40"/>
      <c r="AN465" s="40"/>
      <c r="AO465" s="40"/>
      <c r="AP465" s="40"/>
      <c r="AQ465" s="40"/>
      <c r="AR465" s="40"/>
      <c r="AS465" s="40"/>
      <c r="AT465" s="40"/>
      <c r="AU465" s="40"/>
    </row>
    <row r="466" spans="1:47" ht="15.75" customHeight="1" x14ac:dyDescent="0.25">
      <c r="A466" s="34"/>
      <c r="B466" s="35"/>
      <c r="C466" s="36"/>
      <c r="D466" s="37"/>
      <c r="E466" s="38"/>
      <c r="F466" s="39"/>
      <c r="G466" s="17"/>
      <c r="H466" s="39"/>
      <c r="I466" s="34"/>
      <c r="J466" s="40"/>
      <c r="K466" s="34"/>
      <c r="L466" s="34"/>
      <c r="M466" s="40"/>
      <c r="N466" s="34"/>
      <c r="O466" s="40"/>
      <c r="P466" s="34"/>
      <c r="Q466" s="34"/>
      <c r="R466" s="40"/>
      <c r="S466" s="40"/>
      <c r="T466" s="34"/>
      <c r="U466" s="40"/>
      <c r="V466" s="34"/>
      <c r="W466" s="40"/>
      <c r="X466" s="34"/>
      <c r="Y466" s="34"/>
      <c r="Z466" s="40"/>
      <c r="AA466" s="40"/>
      <c r="AB466" s="34"/>
      <c r="AC466" s="34"/>
      <c r="AD466" s="40"/>
      <c r="AE466" s="40"/>
      <c r="AF466" s="40"/>
      <c r="AG466" s="40"/>
      <c r="AH466" s="34"/>
      <c r="AI466" s="34"/>
      <c r="AJ466" s="34"/>
      <c r="AK466" s="40"/>
      <c r="AL466" s="34"/>
      <c r="AM466" s="40"/>
      <c r="AN466" s="40"/>
      <c r="AO466" s="40"/>
      <c r="AP466" s="40"/>
      <c r="AQ466" s="40"/>
      <c r="AR466" s="40"/>
      <c r="AS466" s="40"/>
      <c r="AT466" s="40"/>
      <c r="AU466" s="40"/>
    </row>
    <row r="467" spans="1:47" ht="15.75" customHeight="1" x14ac:dyDescent="0.25">
      <c r="A467" s="34"/>
      <c r="B467" s="35"/>
      <c r="C467" s="36"/>
      <c r="D467" s="37"/>
      <c r="E467" s="38"/>
      <c r="F467" s="39"/>
      <c r="G467" s="17"/>
      <c r="H467" s="39"/>
      <c r="I467" s="34"/>
      <c r="J467" s="40"/>
      <c r="K467" s="34"/>
      <c r="L467" s="34"/>
      <c r="M467" s="40"/>
      <c r="N467" s="34"/>
      <c r="O467" s="40"/>
      <c r="P467" s="34"/>
      <c r="Q467" s="34"/>
      <c r="R467" s="40"/>
      <c r="S467" s="40"/>
      <c r="T467" s="34"/>
      <c r="U467" s="40"/>
      <c r="V467" s="34"/>
      <c r="W467" s="40"/>
      <c r="X467" s="34"/>
      <c r="Y467" s="34"/>
      <c r="Z467" s="40"/>
      <c r="AA467" s="40"/>
      <c r="AB467" s="34"/>
      <c r="AC467" s="34"/>
      <c r="AD467" s="40"/>
      <c r="AE467" s="40"/>
      <c r="AF467" s="40"/>
      <c r="AG467" s="40"/>
      <c r="AH467" s="34"/>
      <c r="AI467" s="34"/>
      <c r="AJ467" s="34"/>
      <c r="AK467" s="40"/>
      <c r="AL467" s="34"/>
      <c r="AM467" s="40"/>
      <c r="AN467" s="40"/>
      <c r="AO467" s="40"/>
      <c r="AP467" s="40"/>
      <c r="AQ467" s="40"/>
      <c r="AR467" s="40"/>
      <c r="AS467" s="40"/>
      <c r="AT467" s="40"/>
      <c r="AU467" s="40"/>
    </row>
    <row r="468" spans="1:47" ht="15.75" customHeight="1" x14ac:dyDescent="0.25">
      <c r="A468" s="34"/>
      <c r="B468" s="35"/>
      <c r="C468" s="36"/>
      <c r="D468" s="37"/>
      <c r="E468" s="38"/>
      <c r="F468" s="39"/>
      <c r="G468" s="17"/>
      <c r="H468" s="39"/>
      <c r="I468" s="34"/>
      <c r="J468" s="40"/>
      <c r="K468" s="34"/>
      <c r="L468" s="34"/>
      <c r="M468" s="40"/>
      <c r="N468" s="34"/>
      <c r="O468" s="40"/>
      <c r="P468" s="34"/>
      <c r="Q468" s="34"/>
      <c r="R468" s="40"/>
      <c r="S468" s="40"/>
      <c r="T468" s="34"/>
      <c r="U468" s="40"/>
      <c r="V468" s="34"/>
      <c r="W468" s="40"/>
      <c r="X468" s="34"/>
      <c r="Y468" s="34"/>
      <c r="Z468" s="40"/>
      <c r="AA468" s="40"/>
      <c r="AB468" s="34"/>
      <c r="AC468" s="34"/>
      <c r="AD468" s="40"/>
      <c r="AE468" s="40"/>
      <c r="AF468" s="40"/>
      <c r="AG468" s="40"/>
      <c r="AH468" s="34"/>
      <c r="AI468" s="34"/>
      <c r="AJ468" s="34"/>
      <c r="AK468" s="40"/>
      <c r="AL468" s="34"/>
      <c r="AM468" s="40"/>
      <c r="AN468" s="40"/>
      <c r="AO468" s="40"/>
      <c r="AP468" s="40"/>
      <c r="AQ468" s="40"/>
      <c r="AR468" s="40"/>
      <c r="AS468" s="40"/>
      <c r="AT468" s="40"/>
      <c r="AU468" s="40"/>
    </row>
    <row r="469" spans="1:47" ht="15.75" customHeight="1" x14ac:dyDescent="0.25">
      <c r="A469" s="34"/>
      <c r="B469" s="35"/>
      <c r="C469" s="36"/>
      <c r="D469" s="37"/>
      <c r="E469" s="38"/>
      <c r="F469" s="39"/>
      <c r="G469" s="17"/>
      <c r="H469" s="39"/>
      <c r="I469" s="34"/>
      <c r="J469" s="40"/>
      <c r="K469" s="34"/>
      <c r="L469" s="34"/>
      <c r="M469" s="40"/>
      <c r="N469" s="34"/>
      <c r="O469" s="40"/>
      <c r="P469" s="34"/>
      <c r="Q469" s="34"/>
      <c r="R469" s="40"/>
      <c r="S469" s="40"/>
      <c r="T469" s="34"/>
      <c r="U469" s="40"/>
      <c r="V469" s="34"/>
      <c r="W469" s="40"/>
      <c r="X469" s="34"/>
      <c r="Y469" s="34"/>
      <c r="Z469" s="40"/>
      <c r="AA469" s="40"/>
      <c r="AB469" s="34"/>
      <c r="AC469" s="34"/>
      <c r="AD469" s="40"/>
      <c r="AE469" s="40"/>
      <c r="AF469" s="40"/>
      <c r="AG469" s="40"/>
      <c r="AH469" s="34"/>
      <c r="AI469" s="34"/>
      <c r="AJ469" s="34"/>
      <c r="AK469" s="40"/>
      <c r="AL469" s="34"/>
      <c r="AM469" s="40"/>
      <c r="AN469" s="40"/>
      <c r="AO469" s="40"/>
      <c r="AP469" s="40"/>
      <c r="AQ469" s="40"/>
      <c r="AR469" s="40"/>
      <c r="AS469" s="40"/>
      <c r="AT469" s="40"/>
      <c r="AU469" s="40"/>
    </row>
    <row r="470" spans="1:47" ht="15.75" customHeight="1" x14ac:dyDescent="0.25">
      <c r="A470" s="34"/>
      <c r="B470" s="35"/>
      <c r="C470" s="36"/>
      <c r="D470" s="37"/>
      <c r="E470" s="38"/>
      <c r="F470" s="39"/>
      <c r="G470" s="17"/>
      <c r="H470" s="39"/>
      <c r="I470" s="34"/>
      <c r="J470" s="40"/>
      <c r="K470" s="34"/>
      <c r="L470" s="34"/>
      <c r="M470" s="40"/>
      <c r="N470" s="34"/>
      <c r="O470" s="40"/>
      <c r="P470" s="34"/>
      <c r="Q470" s="34"/>
      <c r="R470" s="40"/>
      <c r="S470" s="40"/>
      <c r="T470" s="34"/>
      <c r="U470" s="40"/>
      <c r="V470" s="34"/>
      <c r="W470" s="40"/>
      <c r="X470" s="34"/>
      <c r="Y470" s="34"/>
      <c r="Z470" s="40"/>
      <c r="AA470" s="40"/>
      <c r="AB470" s="34"/>
      <c r="AC470" s="34"/>
      <c r="AD470" s="40"/>
      <c r="AE470" s="40"/>
      <c r="AF470" s="40"/>
      <c r="AG470" s="40"/>
      <c r="AH470" s="34"/>
      <c r="AI470" s="34"/>
      <c r="AJ470" s="34"/>
      <c r="AK470" s="40"/>
      <c r="AL470" s="34"/>
      <c r="AM470" s="40"/>
      <c r="AN470" s="40"/>
      <c r="AO470" s="40"/>
      <c r="AP470" s="40"/>
      <c r="AQ470" s="40"/>
      <c r="AR470" s="40"/>
      <c r="AS470" s="40"/>
      <c r="AT470" s="40"/>
      <c r="AU470" s="40"/>
    </row>
    <row r="471" spans="1:47" ht="15.75" customHeight="1" x14ac:dyDescent="0.25">
      <c r="A471" s="34"/>
      <c r="B471" s="35"/>
      <c r="C471" s="36"/>
      <c r="D471" s="37"/>
      <c r="E471" s="38"/>
      <c r="F471" s="39"/>
      <c r="G471" s="17"/>
      <c r="H471" s="39"/>
      <c r="I471" s="34"/>
      <c r="J471" s="40"/>
      <c r="K471" s="34"/>
      <c r="L471" s="34"/>
      <c r="M471" s="40"/>
      <c r="N471" s="34"/>
      <c r="O471" s="40"/>
      <c r="P471" s="34"/>
      <c r="Q471" s="34"/>
      <c r="R471" s="40"/>
      <c r="S471" s="40"/>
      <c r="T471" s="34"/>
      <c r="U471" s="40"/>
      <c r="V471" s="34"/>
      <c r="W471" s="40"/>
      <c r="X471" s="34"/>
      <c r="Y471" s="34"/>
      <c r="Z471" s="40"/>
      <c r="AA471" s="40"/>
      <c r="AB471" s="34"/>
      <c r="AC471" s="34"/>
      <c r="AD471" s="40"/>
      <c r="AE471" s="40"/>
      <c r="AF471" s="40"/>
      <c r="AG471" s="40"/>
      <c r="AH471" s="34"/>
      <c r="AI471" s="34"/>
      <c r="AJ471" s="34"/>
      <c r="AK471" s="40"/>
      <c r="AL471" s="34"/>
      <c r="AM471" s="40"/>
      <c r="AN471" s="40"/>
      <c r="AO471" s="40"/>
      <c r="AP471" s="40"/>
      <c r="AQ471" s="40"/>
      <c r="AR471" s="40"/>
      <c r="AS471" s="40"/>
      <c r="AT471" s="40"/>
      <c r="AU471" s="40"/>
    </row>
    <row r="472" spans="1:47" ht="15.75" customHeight="1" x14ac:dyDescent="0.25">
      <c r="A472" s="34"/>
      <c r="B472" s="35"/>
      <c r="C472" s="36"/>
      <c r="D472" s="37"/>
      <c r="E472" s="38"/>
      <c r="F472" s="39"/>
      <c r="G472" s="17"/>
      <c r="H472" s="39"/>
      <c r="I472" s="34"/>
      <c r="J472" s="40"/>
      <c r="K472" s="34"/>
      <c r="L472" s="34"/>
      <c r="M472" s="40"/>
      <c r="N472" s="34"/>
      <c r="O472" s="40"/>
      <c r="P472" s="34"/>
      <c r="Q472" s="34"/>
      <c r="R472" s="40"/>
      <c r="S472" s="40"/>
      <c r="T472" s="34"/>
      <c r="U472" s="40"/>
      <c r="V472" s="34"/>
      <c r="W472" s="40"/>
      <c r="X472" s="34"/>
      <c r="Y472" s="34"/>
      <c r="Z472" s="40"/>
      <c r="AA472" s="40"/>
      <c r="AB472" s="34"/>
      <c r="AC472" s="34"/>
      <c r="AD472" s="40"/>
      <c r="AE472" s="40"/>
      <c r="AF472" s="40"/>
      <c r="AG472" s="40"/>
      <c r="AH472" s="34"/>
      <c r="AI472" s="34"/>
      <c r="AJ472" s="34"/>
      <c r="AK472" s="40"/>
      <c r="AL472" s="34"/>
      <c r="AM472" s="40"/>
      <c r="AN472" s="40"/>
      <c r="AO472" s="40"/>
      <c r="AP472" s="40"/>
      <c r="AQ472" s="40"/>
      <c r="AR472" s="40"/>
      <c r="AS472" s="40"/>
      <c r="AT472" s="40"/>
      <c r="AU472" s="40"/>
    </row>
    <row r="473" spans="1:47" ht="15.75" customHeight="1" x14ac:dyDescent="0.25">
      <c r="A473" s="34"/>
      <c r="B473" s="35"/>
      <c r="C473" s="36"/>
      <c r="D473" s="37"/>
      <c r="E473" s="38"/>
      <c r="F473" s="39"/>
      <c r="G473" s="17"/>
      <c r="H473" s="39"/>
      <c r="I473" s="34"/>
      <c r="J473" s="40"/>
      <c r="K473" s="34"/>
      <c r="L473" s="34"/>
      <c r="M473" s="40"/>
      <c r="N473" s="34"/>
      <c r="O473" s="40"/>
      <c r="P473" s="34"/>
      <c r="Q473" s="34"/>
      <c r="R473" s="40"/>
      <c r="S473" s="40"/>
      <c r="T473" s="34"/>
      <c r="U473" s="40"/>
      <c r="V473" s="34"/>
      <c r="W473" s="40"/>
      <c r="X473" s="34"/>
      <c r="Y473" s="34"/>
      <c r="Z473" s="40"/>
      <c r="AA473" s="40"/>
      <c r="AB473" s="34"/>
      <c r="AC473" s="34"/>
      <c r="AD473" s="40"/>
      <c r="AE473" s="40"/>
      <c r="AF473" s="40"/>
      <c r="AG473" s="40"/>
      <c r="AH473" s="34"/>
      <c r="AI473" s="34"/>
      <c r="AJ473" s="34"/>
      <c r="AK473" s="40"/>
      <c r="AL473" s="34"/>
      <c r="AM473" s="40"/>
      <c r="AN473" s="40"/>
      <c r="AO473" s="40"/>
      <c r="AP473" s="40"/>
      <c r="AQ473" s="40"/>
      <c r="AR473" s="40"/>
      <c r="AS473" s="40"/>
      <c r="AT473" s="40"/>
      <c r="AU473" s="40"/>
    </row>
    <row r="474" spans="1:47" ht="15.75" customHeight="1" x14ac:dyDescent="0.25">
      <c r="A474" s="34"/>
      <c r="B474" s="35"/>
      <c r="C474" s="36"/>
      <c r="D474" s="37"/>
      <c r="E474" s="38"/>
      <c r="F474" s="39"/>
      <c r="G474" s="17"/>
      <c r="H474" s="39"/>
      <c r="I474" s="34"/>
      <c r="J474" s="40"/>
      <c r="K474" s="34"/>
      <c r="L474" s="34"/>
      <c r="M474" s="40"/>
      <c r="N474" s="34"/>
      <c r="O474" s="40"/>
      <c r="P474" s="34"/>
      <c r="Q474" s="34"/>
      <c r="R474" s="40"/>
      <c r="S474" s="40"/>
      <c r="T474" s="34"/>
      <c r="U474" s="40"/>
      <c r="V474" s="34"/>
      <c r="W474" s="40"/>
      <c r="X474" s="34"/>
      <c r="Y474" s="34"/>
      <c r="Z474" s="40"/>
      <c r="AA474" s="40"/>
      <c r="AB474" s="34"/>
      <c r="AC474" s="34"/>
      <c r="AD474" s="40"/>
      <c r="AE474" s="40"/>
      <c r="AF474" s="40"/>
      <c r="AG474" s="40"/>
      <c r="AH474" s="34"/>
      <c r="AI474" s="34"/>
      <c r="AJ474" s="34"/>
      <c r="AK474" s="40"/>
      <c r="AL474" s="34"/>
      <c r="AM474" s="40"/>
      <c r="AN474" s="40"/>
      <c r="AO474" s="40"/>
      <c r="AP474" s="40"/>
      <c r="AQ474" s="40"/>
      <c r="AR474" s="40"/>
      <c r="AS474" s="40"/>
      <c r="AT474" s="40"/>
      <c r="AU474" s="40"/>
    </row>
    <row r="475" spans="1:47" ht="15.75" customHeight="1" x14ac:dyDescent="0.25">
      <c r="A475" s="34"/>
      <c r="B475" s="35"/>
      <c r="C475" s="36"/>
      <c r="D475" s="37"/>
      <c r="E475" s="38"/>
      <c r="F475" s="39"/>
      <c r="G475" s="17"/>
      <c r="H475" s="39"/>
      <c r="I475" s="34"/>
      <c r="J475" s="40"/>
      <c r="K475" s="34"/>
      <c r="L475" s="34"/>
      <c r="M475" s="40"/>
      <c r="N475" s="34"/>
      <c r="O475" s="40"/>
      <c r="P475" s="34"/>
      <c r="Q475" s="34"/>
      <c r="R475" s="40"/>
      <c r="S475" s="40"/>
      <c r="T475" s="34"/>
      <c r="U475" s="40"/>
      <c r="V475" s="34"/>
      <c r="W475" s="40"/>
      <c r="X475" s="34"/>
      <c r="Y475" s="34"/>
      <c r="Z475" s="40"/>
      <c r="AA475" s="40"/>
      <c r="AB475" s="34"/>
      <c r="AC475" s="34"/>
      <c r="AD475" s="40"/>
      <c r="AE475" s="40"/>
      <c r="AF475" s="40"/>
      <c r="AG475" s="40"/>
      <c r="AH475" s="34"/>
      <c r="AI475" s="34"/>
      <c r="AJ475" s="34"/>
      <c r="AK475" s="40"/>
      <c r="AL475" s="34"/>
      <c r="AM475" s="40"/>
      <c r="AN475" s="40"/>
      <c r="AO475" s="40"/>
      <c r="AP475" s="40"/>
      <c r="AQ475" s="40"/>
      <c r="AR475" s="40"/>
      <c r="AS475" s="40"/>
      <c r="AT475" s="40"/>
      <c r="AU475" s="40"/>
    </row>
    <row r="476" spans="1:47" ht="15.75" customHeight="1" x14ac:dyDescent="0.25">
      <c r="A476" s="34"/>
      <c r="B476" s="35"/>
      <c r="C476" s="36"/>
      <c r="D476" s="37"/>
      <c r="E476" s="38"/>
      <c r="F476" s="39"/>
      <c r="G476" s="17"/>
      <c r="H476" s="39"/>
      <c r="I476" s="34"/>
      <c r="J476" s="40"/>
      <c r="K476" s="34"/>
      <c r="L476" s="34"/>
      <c r="M476" s="40"/>
      <c r="N476" s="34"/>
      <c r="O476" s="40"/>
      <c r="P476" s="34"/>
      <c r="Q476" s="34"/>
      <c r="R476" s="40"/>
      <c r="S476" s="40"/>
      <c r="T476" s="34"/>
      <c r="U476" s="40"/>
      <c r="V476" s="34"/>
      <c r="W476" s="40"/>
      <c r="X476" s="34"/>
      <c r="Y476" s="34"/>
      <c r="Z476" s="40"/>
      <c r="AA476" s="40"/>
      <c r="AB476" s="34"/>
      <c r="AC476" s="34"/>
      <c r="AD476" s="40"/>
      <c r="AE476" s="40"/>
      <c r="AF476" s="40"/>
      <c r="AG476" s="40"/>
      <c r="AH476" s="34"/>
      <c r="AI476" s="34"/>
      <c r="AJ476" s="34"/>
      <c r="AK476" s="40"/>
      <c r="AL476" s="34"/>
      <c r="AM476" s="40"/>
      <c r="AN476" s="40"/>
      <c r="AO476" s="40"/>
      <c r="AP476" s="40"/>
      <c r="AQ476" s="40"/>
      <c r="AR476" s="40"/>
      <c r="AS476" s="40"/>
      <c r="AT476" s="40"/>
      <c r="AU476" s="40"/>
    </row>
    <row r="477" spans="1:47" ht="15.75" customHeight="1" x14ac:dyDescent="0.25">
      <c r="A477" s="34"/>
      <c r="B477" s="35"/>
      <c r="C477" s="36"/>
      <c r="D477" s="37"/>
      <c r="E477" s="38"/>
      <c r="F477" s="39"/>
      <c r="G477" s="17"/>
      <c r="H477" s="39"/>
      <c r="I477" s="34"/>
      <c r="J477" s="40"/>
      <c r="K477" s="34"/>
      <c r="L477" s="34"/>
      <c r="M477" s="40"/>
      <c r="N477" s="34"/>
      <c r="O477" s="40"/>
      <c r="P477" s="34"/>
      <c r="Q477" s="34"/>
      <c r="R477" s="40"/>
      <c r="S477" s="40"/>
      <c r="T477" s="34"/>
      <c r="U477" s="40"/>
      <c r="V477" s="34"/>
      <c r="W477" s="40"/>
      <c r="X477" s="34"/>
      <c r="Y477" s="34"/>
      <c r="Z477" s="40"/>
      <c r="AA477" s="40"/>
      <c r="AB477" s="34"/>
      <c r="AC477" s="34"/>
      <c r="AD477" s="40"/>
      <c r="AE477" s="40"/>
      <c r="AF477" s="40"/>
      <c r="AG477" s="40"/>
      <c r="AH477" s="34"/>
      <c r="AI477" s="34"/>
      <c r="AJ477" s="34"/>
      <c r="AK477" s="40"/>
      <c r="AL477" s="34"/>
      <c r="AM477" s="40"/>
      <c r="AN477" s="40"/>
      <c r="AO477" s="40"/>
      <c r="AP477" s="40"/>
      <c r="AQ477" s="40"/>
      <c r="AR477" s="40"/>
      <c r="AS477" s="40"/>
      <c r="AT477" s="40"/>
      <c r="AU477" s="40"/>
    </row>
    <row r="478" spans="1:47" ht="15.75" customHeight="1" x14ac:dyDescent="0.25">
      <c r="A478" s="34"/>
      <c r="B478" s="35"/>
      <c r="C478" s="36"/>
      <c r="D478" s="37"/>
      <c r="E478" s="38"/>
      <c r="F478" s="39"/>
      <c r="G478" s="17"/>
      <c r="H478" s="39"/>
      <c r="I478" s="34"/>
      <c r="J478" s="40"/>
      <c r="K478" s="34"/>
      <c r="L478" s="34"/>
      <c r="M478" s="40"/>
      <c r="N478" s="34"/>
      <c r="O478" s="40"/>
      <c r="P478" s="34"/>
      <c r="Q478" s="34"/>
      <c r="R478" s="40"/>
      <c r="S478" s="40"/>
      <c r="T478" s="34"/>
      <c r="U478" s="40"/>
      <c r="V478" s="34"/>
      <c r="W478" s="40"/>
      <c r="X478" s="34"/>
      <c r="Y478" s="34"/>
      <c r="Z478" s="40"/>
      <c r="AA478" s="40"/>
      <c r="AB478" s="34"/>
      <c r="AC478" s="34"/>
      <c r="AD478" s="40"/>
      <c r="AE478" s="40"/>
      <c r="AF478" s="40"/>
      <c r="AG478" s="40"/>
      <c r="AH478" s="34"/>
      <c r="AI478" s="34"/>
      <c r="AJ478" s="34"/>
      <c r="AK478" s="40"/>
      <c r="AL478" s="34"/>
      <c r="AM478" s="40"/>
      <c r="AN478" s="40"/>
      <c r="AO478" s="40"/>
      <c r="AP478" s="40"/>
      <c r="AQ478" s="40"/>
      <c r="AR478" s="40"/>
      <c r="AS478" s="40"/>
      <c r="AT478" s="40"/>
      <c r="AU478" s="40"/>
    </row>
    <row r="479" spans="1:47" ht="15.75" customHeight="1" x14ac:dyDescent="0.25">
      <c r="A479" s="34"/>
      <c r="B479" s="35"/>
      <c r="C479" s="36"/>
      <c r="D479" s="37"/>
      <c r="E479" s="38"/>
      <c r="F479" s="39"/>
      <c r="G479" s="17"/>
      <c r="H479" s="39"/>
      <c r="I479" s="34"/>
      <c r="J479" s="40"/>
      <c r="K479" s="34"/>
      <c r="L479" s="34"/>
      <c r="M479" s="40"/>
      <c r="N479" s="34"/>
      <c r="O479" s="40"/>
      <c r="P479" s="34"/>
      <c r="Q479" s="34"/>
      <c r="R479" s="40"/>
      <c r="S479" s="40"/>
      <c r="T479" s="34"/>
      <c r="U479" s="40"/>
      <c r="V479" s="34"/>
      <c r="W479" s="40"/>
      <c r="X479" s="34"/>
      <c r="Y479" s="34"/>
      <c r="Z479" s="40"/>
      <c r="AA479" s="40"/>
      <c r="AB479" s="34"/>
      <c r="AC479" s="34"/>
      <c r="AD479" s="40"/>
      <c r="AE479" s="40"/>
      <c r="AF479" s="40"/>
      <c r="AG479" s="40"/>
      <c r="AH479" s="34"/>
      <c r="AI479" s="34"/>
      <c r="AJ479" s="34"/>
      <c r="AK479" s="40"/>
      <c r="AL479" s="34"/>
      <c r="AM479" s="40"/>
      <c r="AN479" s="40"/>
      <c r="AO479" s="40"/>
      <c r="AP479" s="40"/>
      <c r="AQ479" s="40"/>
      <c r="AR479" s="40"/>
      <c r="AS479" s="40"/>
      <c r="AT479" s="40"/>
      <c r="AU479" s="40"/>
    </row>
    <row r="480" spans="1:47" ht="15.75" customHeight="1" x14ac:dyDescent="0.25">
      <c r="A480" s="34"/>
      <c r="B480" s="35"/>
      <c r="C480" s="36"/>
      <c r="D480" s="37"/>
      <c r="E480" s="38"/>
      <c r="F480" s="39"/>
      <c r="G480" s="17"/>
      <c r="H480" s="39"/>
      <c r="I480" s="34"/>
      <c r="J480" s="40"/>
      <c r="K480" s="34"/>
      <c r="L480" s="34"/>
      <c r="M480" s="40"/>
      <c r="N480" s="34"/>
      <c r="O480" s="40"/>
      <c r="P480" s="34"/>
      <c r="Q480" s="34"/>
      <c r="R480" s="40"/>
      <c r="S480" s="40"/>
      <c r="T480" s="34"/>
      <c r="U480" s="40"/>
      <c r="V480" s="34"/>
      <c r="W480" s="40"/>
      <c r="X480" s="34"/>
      <c r="Y480" s="34"/>
      <c r="Z480" s="40"/>
      <c r="AA480" s="40"/>
      <c r="AB480" s="34"/>
      <c r="AC480" s="34"/>
      <c r="AD480" s="40"/>
      <c r="AE480" s="40"/>
      <c r="AF480" s="40"/>
      <c r="AG480" s="40"/>
      <c r="AH480" s="34"/>
      <c r="AI480" s="34"/>
      <c r="AJ480" s="34"/>
      <c r="AK480" s="40"/>
      <c r="AL480" s="34"/>
      <c r="AM480" s="40"/>
      <c r="AN480" s="40"/>
      <c r="AO480" s="40"/>
      <c r="AP480" s="40"/>
      <c r="AQ480" s="40"/>
      <c r="AR480" s="40"/>
      <c r="AS480" s="40"/>
      <c r="AT480" s="40"/>
      <c r="AU480" s="40"/>
    </row>
    <row r="481" spans="1:47" ht="15.75" customHeight="1" x14ac:dyDescent="0.25">
      <c r="A481" s="34"/>
      <c r="B481" s="35"/>
      <c r="C481" s="36"/>
      <c r="D481" s="37"/>
      <c r="E481" s="38"/>
      <c r="F481" s="39"/>
      <c r="G481" s="17"/>
      <c r="H481" s="39"/>
      <c r="I481" s="34"/>
      <c r="J481" s="40"/>
      <c r="K481" s="34"/>
      <c r="L481" s="34"/>
      <c r="M481" s="40"/>
      <c r="N481" s="34"/>
      <c r="O481" s="40"/>
      <c r="P481" s="34"/>
      <c r="Q481" s="34"/>
      <c r="R481" s="40"/>
      <c r="S481" s="40"/>
      <c r="T481" s="34"/>
      <c r="U481" s="40"/>
      <c r="V481" s="34"/>
      <c r="W481" s="40"/>
      <c r="X481" s="34"/>
      <c r="Y481" s="34"/>
      <c r="Z481" s="40"/>
      <c r="AA481" s="40"/>
      <c r="AB481" s="34"/>
      <c r="AC481" s="34"/>
      <c r="AD481" s="40"/>
      <c r="AE481" s="40"/>
      <c r="AF481" s="40"/>
      <c r="AG481" s="40"/>
      <c r="AH481" s="34"/>
      <c r="AI481" s="34"/>
      <c r="AJ481" s="34"/>
      <c r="AK481" s="40"/>
      <c r="AL481" s="34"/>
      <c r="AM481" s="40"/>
      <c r="AN481" s="40"/>
      <c r="AO481" s="40"/>
      <c r="AP481" s="40"/>
      <c r="AQ481" s="40"/>
      <c r="AR481" s="40"/>
      <c r="AS481" s="40"/>
      <c r="AT481" s="40"/>
      <c r="AU481" s="40"/>
    </row>
    <row r="482" spans="1:47" ht="15.75" customHeight="1" x14ac:dyDescent="0.25">
      <c r="A482" s="34"/>
      <c r="B482" s="35"/>
      <c r="C482" s="36"/>
      <c r="D482" s="37"/>
      <c r="E482" s="38"/>
      <c r="F482" s="39"/>
      <c r="G482" s="17"/>
      <c r="H482" s="39"/>
      <c r="I482" s="34"/>
      <c r="J482" s="40"/>
      <c r="K482" s="34"/>
      <c r="L482" s="34"/>
      <c r="M482" s="40"/>
      <c r="N482" s="34"/>
      <c r="O482" s="40"/>
      <c r="P482" s="34"/>
      <c r="Q482" s="34"/>
      <c r="R482" s="40"/>
      <c r="S482" s="40"/>
      <c r="T482" s="34"/>
      <c r="U482" s="40"/>
      <c r="V482" s="34"/>
      <c r="W482" s="40"/>
      <c r="X482" s="34"/>
      <c r="Y482" s="34"/>
      <c r="Z482" s="40"/>
      <c r="AA482" s="40"/>
      <c r="AB482" s="34"/>
      <c r="AC482" s="34"/>
      <c r="AD482" s="40"/>
      <c r="AE482" s="40"/>
      <c r="AF482" s="40"/>
      <c r="AG482" s="40"/>
      <c r="AH482" s="34"/>
      <c r="AI482" s="34"/>
      <c r="AJ482" s="34"/>
      <c r="AK482" s="40"/>
      <c r="AL482" s="34"/>
      <c r="AM482" s="40"/>
      <c r="AN482" s="40"/>
      <c r="AO482" s="40"/>
      <c r="AP482" s="40"/>
      <c r="AQ482" s="40"/>
      <c r="AR482" s="40"/>
      <c r="AS482" s="40"/>
      <c r="AT482" s="40"/>
      <c r="AU482" s="40"/>
    </row>
    <row r="483" spans="1:47" ht="15.75" customHeight="1" x14ac:dyDescent="0.25">
      <c r="A483" s="34"/>
      <c r="B483" s="35"/>
      <c r="C483" s="36"/>
      <c r="D483" s="37"/>
      <c r="E483" s="38"/>
      <c r="F483" s="39"/>
      <c r="G483" s="17"/>
      <c r="H483" s="39"/>
      <c r="I483" s="34"/>
      <c r="J483" s="40"/>
      <c r="K483" s="34"/>
      <c r="L483" s="34"/>
      <c r="M483" s="40"/>
      <c r="N483" s="34"/>
      <c r="O483" s="40"/>
      <c r="P483" s="34"/>
      <c r="Q483" s="34"/>
      <c r="R483" s="40"/>
      <c r="S483" s="40"/>
      <c r="T483" s="34"/>
      <c r="U483" s="40"/>
      <c r="V483" s="34"/>
      <c r="W483" s="40"/>
      <c r="X483" s="34"/>
      <c r="Y483" s="34"/>
      <c r="Z483" s="40"/>
      <c r="AA483" s="40"/>
      <c r="AB483" s="34"/>
      <c r="AC483" s="34"/>
      <c r="AD483" s="40"/>
      <c r="AE483" s="40"/>
      <c r="AF483" s="40"/>
      <c r="AG483" s="40"/>
      <c r="AH483" s="34"/>
      <c r="AI483" s="34"/>
      <c r="AJ483" s="34"/>
      <c r="AK483" s="40"/>
      <c r="AL483" s="34"/>
      <c r="AM483" s="40"/>
      <c r="AN483" s="40"/>
      <c r="AO483" s="40"/>
      <c r="AP483" s="40"/>
      <c r="AQ483" s="40"/>
      <c r="AR483" s="40"/>
      <c r="AS483" s="40"/>
      <c r="AT483" s="40"/>
      <c r="AU483" s="40"/>
    </row>
    <row r="484" spans="1:47" ht="15.75" customHeight="1" x14ac:dyDescent="0.25">
      <c r="A484" s="34"/>
      <c r="B484" s="35"/>
      <c r="C484" s="36"/>
      <c r="D484" s="37"/>
      <c r="E484" s="38"/>
      <c r="F484" s="39"/>
      <c r="G484" s="17"/>
      <c r="H484" s="39"/>
      <c r="I484" s="34"/>
      <c r="J484" s="40"/>
      <c r="K484" s="34"/>
      <c r="L484" s="34"/>
      <c r="M484" s="40"/>
      <c r="N484" s="34"/>
      <c r="O484" s="40"/>
      <c r="P484" s="34"/>
      <c r="Q484" s="34"/>
      <c r="R484" s="40"/>
      <c r="S484" s="40"/>
      <c r="T484" s="34"/>
      <c r="U484" s="40"/>
      <c r="V484" s="34"/>
      <c r="W484" s="40"/>
      <c r="X484" s="34"/>
      <c r="Y484" s="34"/>
      <c r="Z484" s="40"/>
      <c r="AA484" s="40"/>
      <c r="AB484" s="34"/>
      <c r="AC484" s="34"/>
      <c r="AD484" s="40"/>
      <c r="AE484" s="40"/>
      <c r="AF484" s="40"/>
      <c r="AG484" s="40"/>
      <c r="AH484" s="34"/>
      <c r="AI484" s="34"/>
      <c r="AJ484" s="34"/>
      <c r="AK484" s="40"/>
      <c r="AL484" s="34"/>
      <c r="AM484" s="40"/>
      <c r="AN484" s="40"/>
      <c r="AO484" s="40"/>
      <c r="AP484" s="40"/>
      <c r="AQ484" s="40"/>
      <c r="AR484" s="40"/>
      <c r="AS484" s="40"/>
      <c r="AT484" s="40"/>
      <c r="AU484" s="40"/>
    </row>
    <row r="485" spans="1:47" ht="15.75" customHeight="1" x14ac:dyDescent="0.25">
      <c r="A485" s="34"/>
      <c r="B485" s="35"/>
      <c r="C485" s="36"/>
      <c r="D485" s="37"/>
      <c r="E485" s="38"/>
      <c r="F485" s="39"/>
      <c r="G485" s="17"/>
      <c r="H485" s="39"/>
      <c r="I485" s="34"/>
      <c r="J485" s="40"/>
      <c r="K485" s="34"/>
      <c r="L485" s="34"/>
      <c r="M485" s="40"/>
      <c r="N485" s="34"/>
      <c r="O485" s="40"/>
      <c r="P485" s="34"/>
      <c r="Q485" s="34"/>
      <c r="R485" s="40"/>
      <c r="S485" s="40"/>
      <c r="T485" s="34"/>
      <c r="U485" s="40"/>
      <c r="V485" s="34"/>
      <c r="W485" s="40"/>
      <c r="X485" s="34"/>
      <c r="Y485" s="34"/>
      <c r="Z485" s="40"/>
      <c r="AA485" s="40"/>
      <c r="AB485" s="34"/>
      <c r="AC485" s="34"/>
      <c r="AD485" s="40"/>
      <c r="AE485" s="40"/>
      <c r="AF485" s="40"/>
      <c r="AG485" s="40"/>
      <c r="AH485" s="34"/>
      <c r="AI485" s="34"/>
      <c r="AJ485" s="34"/>
      <c r="AK485" s="40"/>
      <c r="AL485" s="34"/>
      <c r="AM485" s="40"/>
      <c r="AN485" s="40"/>
      <c r="AO485" s="40"/>
      <c r="AP485" s="40"/>
      <c r="AQ485" s="40"/>
      <c r="AR485" s="40"/>
      <c r="AS485" s="40"/>
      <c r="AT485" s="40"/>
      <c r="AU485" s="40"/>
    </row>
    <row r="486" spans="1:47" ht="15.75" customHeight="1" x14ac:dyDescent="0.25">
      <c r="A486" s="34"/>
      <c r="B486" s="35"/>
      <c r="C486" s="36"/>
      <c r="D486" s="37"/>
      <c r="E486" s="38"/>
      <c r="F486" s="39"/>
      <c r="G486" s="17"/>
      <c r="H486" s="39"/>
      <c r="I486" s="34"/>
      <c r="J486" s="40"/>
      <c r="K486" s="34"/>
      <c r="L486" s="34"/>
      <c r="M486" s="40"/>
      <c r="N486" s="34"/>
      <c r="O486" s="40"/>
      <c r="P486" s="34"/>
      <c r="Q486" s="34"/>
      <c r="R486" s="40"/>
      <c r="S486" s="40"/>
      <c r="T486" s="34"/>
      <c r="U486" s="40"/>
      <c r="V486" s="34"/>
      <c r="W486" s="40"/>
      <c r="X486" s="34"/>
      <c r="Y486" s="34"/>
      <c r="Z486" s="40"/>
      <c r="AA486" s="40"/>
      <c r="AB486" s="34"/>
      <c r="AC486" s="34"/>
      <c r="AD486" s="40"/>
      <c r="AE486" s="40"/>
      <c r="AF486" s="40"/>
      <c r="AG486" s="40"/>
      <c r="AH486" s="34"/>
      <c r="AI486" s="34"/>
      <c r="AJ486" s="34"/>
      <c r="AK486" s="40"/>
      <c r="AL486" s="34"/>
      <c r="AM486" s="40"/>
      <c r="AN486" s="40"/>
      <c r="AO486" s="40"/>
      <c r="AP486" s="40"/>
      <c r="AQ486" s="40"/>
      <c r="AR486" s="40"/>
      <c r="AS486" s="40"/>
      <c r="AT486" s="40"/>
      <c r="AU486" s="40"/>
    </row>
    <row r="487" spans="1:47" ht="15.75" customHeight="1" x14ac:dyDescent="0.25">
      <c r="A487" s="34"/>
      <c r="B487" s="35"/>
      <c r="C487" s="36"/>
      <c r="D487" s="37"/>
      <c r="E487" s="38"/>
      <c r="F487" s="39"/>
      <c r="G487" s="17"/>
      <c r="H487" s="39"/>
      <c r="I487" s="34"/>
      <c r="J487" s="40"/>
      <c r="K487" s="34"/>
      <c r="L487" s="34"/>
      <c r="M487" s="40"/>
      <c r="N487" s="34"/>
      <c r="O487" s="40"/>
      <c r="P487" s="34"/>
      <c r="Q487" s="34"/>
      <c r="R487" s="40"/>
      <c r="S487" s="40"/>
      <c r="T487" s="34"/>
      <c r="U487" s="40"/>
      <c r="V487" s="34"/>
      <c r="W487" s="40"/>
      <c r="X487" s="34"/>
      <c r="Y487" s="34"/>
      <c r="Z487" s="40"/>
      <c r="AA487" s="40"/>
      <c r="AB487" s="34"/>
      <c r="AC487" s="34"/>
      <c r="AD487" s="40"/>
      <c r="AE487" s="40"/>
      <c r="AF487" s="40"/>
      <c r="AG487" s="40"/>
      <c r="AH487" s="34"/>
      <c r="AI487" s="34"/>
      <c r="AJ487" s="34"/>
      <c r="AK487" s="40"/>
      <c r="AL487" s="34"/>
      <c r="AM487" s="40"/>
      <c r="AN487" s="40"/>
      <c r="AO487" s="40"/>
      <c r="AP487" s="40"/>
      <c r="AQ487" s="40"/>
      <c r="AR487" s="40"/>
      <c r="AS487" s="40"/>
      <c r="AT487" s="40"/>
      <c r="AU487" s="40"/>
    </row>
    <row r="488" spans="1:47" ht="15.75" customHeight="1" x14ac:dyDescent="0.25">
      <c r="A488" s="34"/>
      <c r="B488" s="35"/>
      <c r="C488" s="36"/>
      <c r="D488" s="37"/>
      <c r="E488" s="38"/>
      <c r="F488" s="39"/>
      <c r="G488" s="17"/>
      <c r="H488" s="39"/>
      <c r="I488" s="34"/>
      <c r="J488" s="40"/>
      <c r="K488" s="34"/>
      <c r="L488" s="34"/>
      <c r="M488" s="40"/>
      <c r="N488" s="34"/>
      <c r="O488" s="40"/>
      <c r="P488" s="34"/>
      <c r="Q488" s="34"/>
      <c r="R488" s="40"/>
      <c r="S488" s="40"/>
      <c r="T488" s="34"/>
      <c r="U488" s="40"/>
      <c r="V488" s="34"/>
      <c r="W488" s="40"/>
      <c r="X488" s="34"/>
      <c r="Y488" s="34"/>
      <c r="Z488" s="40"/>
      <c r="AA488" s="40"/>
      <c r="AB488" s="34"/>
      <c r="AC488" s="34"/>
      <c r="AD488" s="40"/>
      <c r="AE488" s="40"/>
      <c r="AF488" s="40"/>
      <c r="AG488" s="40"/>
      <c r="AH488" s="34"/>
      <c r="AI488" s="34"/>
      <c r="AJ488" s="34"/>
      <c r="AK488" s="40"/>
      <c r="AL488" s="34"/>
      <c r="AM488" s="40"/>
      <c r="AN488" s="40"/>
      <c r="AO488" s="40"/>
      <c r="AP488" s="40"/>
      <c r="AQ488" s="40"/>
      <c r="AR488" s="40"/>
      <c r="AS488" s="40"/>
      <c r="AT488" s="40"/>
      <c r="AU488" s="40"/>
    </row>
    <row r="489" spans="1:47" ht="15.75" customHeight="1" x14ac:dyDescent="0.25">
      <c r="A489" s="34"/>
      <c r="B489" s="35"/>
      <c r="C489" s="36"/>
      <c r="D489" s="37"/>
      <c r="E489" s="38"/>
      <c r="F489" s="39"/>
      <c r="G489" s="17"/>
      <c r="H489" s="39"/>
      <c r="I489" s="34"/>
      <c r="J489" s="40"/>
      <c r="K489" s="34"/>
      <c r="L489" s="34"/>
      <c r="M489" s="40"/>
      <c r="N489" s="34"/>
      <c r="O489" s="40"/>
      <c r="P489" s="34"/>
      <c r="Q489" s="34"/>
      <c r="R489" s="40"/>
      <c r="S489" s="40"/>
      <c r="T489" s="34"/>
      <c r="U489" s="40"/>
      <c r="V489" s="34"/>
      <c r="W489" s="40"/>
      <c r="X489" s="34"/>
      <c r="Y489" s="34"/>
      <c r="Z489" s="40"/>
      <c r="AA489" s="40"/>
      <c r="AB489" s="34"/>
      <c r="AC489" s="34"/>
      <c r="AD489" s="40"/>
      <c r="AE489" s="40"/>
      <c r="AF489" s="40"/>
      <c r="AG489" s="40"/>
      <c r="AH489" s="34"/>
      <c r="AI489" s="34"/>
      <c r="AJ489" s="34"/>
      <c r="AK489" s="40"/>
      <c r="AL489" s="34"/>
      <c r="AM489" s="40"/>
      <c r="AN489" s="40"/>
      <c r="AO489" s="40"/>
      <c r="AP489" s="40"/>
      <c r="AQ489" s="40"/>
      <c r="AR489" s="40"/>
      <c r="AS489" s="40"/>
      <c r="AT489" s="40"/>
      <c r="AU489" s="40"/>
    </row>
    <row r="490" spans="1:47" ht="15.75" customHeight="1" x14ac:dyDescent="0.25">
      <c r="A490" s="34"/>
      <c r="B490" s="35"/>
      <c r="C490" s="36"/>
      <c r="D490" s="37"/>
      <c r="E490" s="38"/>
      <c r="F490" s="39"/>
      <c r="G490" s="17"/>
      <c r="H490" s="39"/>
      <c r="I490" s="34"/>
      <c r="J490" s="40"/>
      <c r="K490" s="34"/>
      <c r="L490" s="34"/>
      <c r="M490" s="40"/>
      <c r="N490" s="34"/>
      <c r="O490" s="40"/>
      <c r="P490" s="34"/>
      <c r="Q490" s="34"/>
      <c r="R490" s="40"/>
      <c r="S490" s="40"/>
      <c r="T490" s="34"/>
      <c r="U490" s="40"/>
      <c r="V490" s="34"/>
      <c r="W490" s="40"/>
      <c r="X490" s="34"/>
      <c r="Y490" s="34"/>
      <c r="Z490" s="40"/>
      <c r="AA490" s="40"/>
      <c r="AB490" s="34"/>
      <c r="AC490" s="34"/>
      <c r="AD490" s="40"/>
      <c r="AE490" s="40"/>
      <c r="AF490" s="40"/>
      <c r="AG490" s="40"/>
      <c r="AH490" s="34"/>
      <c r="AI490" s="34"/>
      <c r="AJ490" s="34"/>
      <c r="AK490" s="40"/>
      <c r="AL490" s="34"/>
      <c r="AM490" s="40"/>
      <c r="AN490" s="40"/>
      <c r="AO490" s="40"/>
      <c r="AP490" s="40"/>
      <c r="AQ490" s="40"/>
      <c r="AR490" s="40"/>
      <c r="AS490" s="40"/>
      <c r="AT490" s="40"/>
      <c r="AU490" s="40"/>
    </row>
    <row r="491" spans="1:47" ht="15.75" customHeight="1" x14ac:dyDescent="0.25">
      <c r="A491" s="34"/>
      <c r="B491" s="35"/>
      <c r="C491" s="36"/>
      <c r="D491" s="37"/>
      <c r="E491" s="38"/>
      <c r="F491" s="39"/>
      <c r="G491" s="17"/>
      <c r="H491" s="39"/>
      <c r="I491" s="34"/>
      <c r="J491" s="40"/>
      <c r="K491" s="34"/>
      <c r="L491" s="34"/>
      <c r="M491" s="40"/>
      <c r="N491" s="34"/>
      <c r="O491" s="40"/>
      <c r="P491" s="34"/>
      <c r="Q491" s="34"/>
      <c r="R491" s="40"/>
      <c r="S491" s="40"/>
      <c r="T491" s="34"/>
      <c r="U491" s="40"/>
      <c r="V491" s="34"/>
      <c r="W491" s="40"/>
      <c r="X491" s="34"/>
      <c r="Y491" s="34"/>
      <c r="Z491" s="40"/>
      <c r="AA491" s="40"/>
      <c r="AB491" s="34"/>
      <c r="AC491" s="34"/>
      <c r="AD491" s="40"/>
      <c r="AE491" s="40"/>
      <c r="AF491" s="40"/>
      <c r="AG491" s="40"/>
      <c r="AH491" s="34"/>
      <c r="AI491" s="34"/>
      <c r="AJ491" s="34"/>
      <c r="AK491" s="40"/>
      <c r="AL491" s="34"/>
      <c r="AM491" s="40"/>
      <c r="AN491" s="40"/>
      <c r="AO491" s="40"/>
      <c r="AP491" s="40"/>
      <c r="AQ491" s="40"/>
      <c r="AR491" s="40"/>
      <c r="AS491" s="40"/>
      <c r="AT491" s="40"/>
      <c r="AU491" s="40"/>
    </row>
    <row r="492" spans="1:47" ht="15.75" customHeight="1" x14ac:dyDescent="0.25">
      <c r="A492" s="34"/>
      <c r="B492" s="35"/>
      <c r="C492" s="36"/>
      <c r="D492" s="37"/>
      <c r="E492" s="38"/>
      <c r="F492" s="39"/>
      <c r="G492" s="17"/>
      <c r="H492" s="39"/>
      <c r="I492" s="34"/>
      <c r="J492" s="40"/>
      <c r="K492" s="34"/>
      <c r="L492" s="34"/>
      <c r="M492" s="40"/>
      <c r="N492" s="34"/>
      <c r="O492" s="40"/>
      <c r="P492" s="34"/>
      <c r="Q492" s="34"/>
      <c r="R492" s="40"/>
      <c r="S492" s="40"/>
      <c r="T492" s="34"/>
      <c r="U492" s="40"/>
      <c r="V492" s="34"/>
      <c r="W492" s="40"/>
      <c r="X492" s="34"/>
      <c r="Y492" s="34"/>
      <c r="Z492" s="40"/>
      <c r="AA492" s="40"/>
      <c r="AB492" s="34"/>
      <c r="AC492" s="34"/>
      <c r="AD492" s="40"/>
      <c r="AE492" s="40"/>
      <c r="AF492" s="40"/>
      <c r="AG492" s="40"/>
      <c r="AH492" s="34"/>
      <c r="AI492" s="34"/>
      <c r="AJ492" s="34"/>
      <c r="AK492" s="40"/>
      <c r="AL492" s="34"/>
      <c r="AM492" s="40"/>
      <c r="AN492" s="40"/>
      <c r="AO492" s="40"/>
      <c r="AP492" s="40"/>
      <c r="AQ492" s="40"/>
      <c r="AR492" s="40"/>
      <c r="AS492" s="40"/>
      <c r="AT492" s="40"/>
      <c r="AU492" s="40"/>
    </row>
    <row r="493" spans="1:47" ht="15.75" customHeight="1" x14ac:dyDescent="0.25">
      <c r="A493" s="34"/>
      <c r="B493" s="35"/>
      <c r="C493" s="36"/>
      <c r="D493" s="37"/>
      <c r="E493" s="38"/>
      <c r="F493" s="39"/>
      <c r="G493" s="17"/>
      <c r="H493" s="39"/>
      <c r="I493" s="34"/>
      <c r="J493" s="40"/>
      <c r="K493" s="34"/>
      <c r="L493" s="34"/>
      <c r="M493" s="40"/>
      <c r="N493" s="34"/>
      <c r="O493" s="40"/>
      <c r="P493" s="34"/>
      <c r="Q493" s="34"/>
      <c r="R493" s="40"/>
      <c r="S493" s="40"/>
      <c r="T493" s="34"/>
      <c r="U493" s="40"/>
      <c r="V493" s="34"/>
      <c r="W493" s="40"/>
      <c r="X493" s="34"/>
      <c r="Y493" s="34"/>
      <c r="Z493" s="40"/>
      <c r="AA493" s="40"/>
      <c r="AB493" s="34"/>
      <c r="AC493" s="34"/>
      <c r="AD493" s="40"/>
      <c r="AE493" s="40"/>
      <c r="AF493" s="40"/>
      <c r="AG493" s="40"/>
      <c r="AH493" s="34"/>
      <c r="AI493" s="34"/>
      <c r="AJ493" s="34"/>
      <c r="AK493" s="40"/>
      <c r="AL493" s="34"/>
      <c r="AM493" s="40"/>
      <c r="AN493" s="40"/>
      <c r="AO493" s="40"/>
      <c r="AP493" s="40"/>
      <c r="AQ493" s="40"/>
      <c r="AR493" s="40"/>
      <c r="AS493" s="40"/>
      <c r="AT493" s="40"/>
      <c r="AU493" s="40"/>
    </row>
    <row r="494" spans="1:47" ht="15.75" customHeight="1" x14ac:dyDescent="0.25">
      <c r="A494" s="34"/>
      <c r="B494" s="35"/>
      <c r="C494" s="36"/>
      <c r="D494" s="37"/>
      <c r="E494" s="38"/>
      <c r="F494" s="39"/>
      <c r="G494" s="17"/>
      <c r="H494" s="39"/>
      <c r="I494" s="34"/>
      <c r="J494" s="40"/>
      <c r="K494" s="34"/>
      <c r="L494" s="34"/>
      <c r="M494" s="40"/>
      <c r="N494" s="34"/>
      <c r="O494" s="40"/>
      <c r="P494" s="34"/>
      <c r="Q494" s="34"/>
      <c r="R494" s="40"/>
      <c r="S494" s="40"/>
      <c r="T494" s="34"/>
      <c r="U494" s="40"/>
      <c r="V494" s="34"/>
      <c r="W494" s="40"/>
      <c r="X494" s="34"/>
      <c r="Y494" s="34"/>
      <c r="Z494" s="40"/>
      <c r="AA494" s="40"/>
      <c r="AB494" s="34"/>
      <c r="AC494" s="34"/>
      <c r="AD494" s="40"/>
      <c r="AE494" s="40"/>
      <c r="AF494" s="40"/>
      <c r="AG494" s="40"/>
      <c r="AH494" s="34"/>
      <c r="AI494" s="34"/>
      <c r="AJ494" s="34"/>
      <c r="AK494" s="40"/>
      <c r="AL494" s="34"/>
      <c r="AM494" s="40"/>
      <c r="AN494" s="40"/>
      <c r="AO494" s="40"/>
      <c r="AP494" s="40"/>
      <c r="AQ494" s="40"/>
      <c r="AR494" s="40"/>
      <c r="AS494" s="40"/>
      <c r="AT494" s="40"/>
      <c r="AU494" s="40"/>
    </row>
    <row r="495" spans="1:47" ht="15.75" customHeight="1" x14ac:dyDescent="0.25">
      <c r="A495" s="34"/>
      <c r="B495" s="35"/>
      <c r="C495" s="36"/>
      <c r="D495" s="37"/>
      <c r="E495" s="38"/>
      <c r="F495" s="39"/>
      <c r="G495" s="17"/>
      <c r="H495" s="39"/>
      <c r="I495" s="34"/>
      <c r="J495" s="40"/>
      <c r="K495" s="34"/>
      <c r="L495" s="34"/>
      <c r="M495" s="40"/>
      <c r="N495" s="34"/>
      <c r="O495" s="40"/>
      <c r="P495" s="34"/>
      <c r="Q495" s="34"/>
      <c r="R495" s="40"/>
      <c r="S495" s="40"/>
      <c r="T495" s="34"/>
      <c r="U495" s="40"/>
      <c r="V495" s="34"/>
      <c r="W495" s="40"/>
      <c r="X495" s="34"/>
      <c r="Y495" s="34"/>
      <c r="Z495" s="40"/>
      <c r="AA495" s="40"/>
      <c r="AB495" s="34"/>
      <c r="AC495" s="34"/>
      <c r="AD495" s="40"/>
      <c r="AE495" s="40"/>
      <c r="AF495" s="40"/>
      <c r="AG495" s="40"/>
      <c r="AH495" s="34"/>
      <c r="AI495" s="34"/>
      <c r="AJ495" s="34"/>
      <c r="AK495" s="40"/>
      <c r="AL495" s="34"/>
      <c r="AM495" s="40"/>
      <c r="AN495" s="40"/>
      <c r="AO495" s="40"/>
      <c r="AP495" s="40"/>
      <c r="AQ495" s="40"/>
      <c r="AR495" s="40"/>
      <c r="AS495" s="40"/>
      <c r="AT495" s="40"/>
      <c r="AU495" s="40"/>
    </row>
    <row r="496" spans="1:47" ht="15.75" customHeight="1" x14ac:dyDescent="0.25">
      <c r="A496" s="34"/>
      <c r="B496" s="35"/>
      <c r="C496" s="36"/>
      <c r="D496" s="37"/>
      <c r="E496" s="38"/>
      <c r="F496" s="39"/>
      <c r="G496" s="17"/>
      <c r="H496" s="39"/>
      <c r="I496" s="34"/>
      <c r="J496" s="40"/>
      <c r="K496" s="34"/>
      <c r="L496" s="34"/>
      <c r="M496" s="40"/>
      <c r="N496" s="34"/>
      <c r="O496" s="40"/>
      <c r="P496" s="34"/>
      <c r="Q496" s="34"/>
      <c r="R496" s="40"/>
      <c r="S496" s="40"/>
      <c r="T496" s="34"/>
      <c r="U496" s="40"/>
      <c r="V496" s="34"/>
      <c r="W496" s="40"/>
      <c r="X496" s="34"/>
      <c r="Y496" s="34"/>
      <c r="Z496" s="40"/>
      <c r="AA496" s="40"/>
      <c r="AB496" s="34"/>
      <c r="AC496" s="34"/>
      <c r="AD496" s="40"/>
      <c r="AE496" s="40"/>
      <c r="AF496" s="40"/>
      <c r="AG496" s="40"/>
      <c r="AH496" s="34"/>
      <c r="AI496" s="34"/>
      <c r="AJ496" s="34"/>
      <c r="AK496" s="40"/>
      <c r="AL496" s="34"/>
      <c r="AM496" s="40"/>
      <c r="AN496" s="40"/>
      <c r="AO496" s="40"/>
      <c r="AP496" s="40"/>
      <c r="AQ496" s="40"/>
      <c r="AR496" s="40"/>
      <c r="AS496" s="40"/>
      <c r="AT496" s="40"/>
      <c r="AU496" s="40"/>
    </row>
    <row r="497" spans="1:47" ht="15.75" customHeight="1" x14ac:dyDescent="0.25">
      <c r="A497" s="34"/>
      <c r="B497" s="35"/>
      <c r="C497" s="36"/>
      <c r="D497" s="37"/>
      <c r="E497" s="38"/>
      <c r="F497" s="39"/>
      <c r="G497" s="17"/>
      <c r="H497" s="39"/>
      <c r="I497" s="34"/>
      <c r="J497" s="40"/>
      <c r="K497" s="34"/>
      <c r="L497" s="34"/>
      <c r="M497" s="40"/>
      <c r="N497" s="34"/>
      <c r="O497" s="40"/>
      <c r="P497" s="34"/>
      <c r="Q497" s="34"/>
      <c r="R497" s="40"/>
      <c r="S497" s="40"/>
      <c r="T497" s="34"/>
      <c r="U497" s="40"/>
      <c r="V497" s="34"/>
      <c r="W497" s="40"/>
      <c r="X497" s="34"/>
      <c r="Y497" s="34"/>
      <c r="Z497" s="40"/>
      <c r="AA497" s="40"/>
      <c r="AB497" s="34"/>
      <c r="AC497" s="34"/>
      <c r="AD497" s="40"/>
      <c r="AE497" s="40"/>
      <c r="AF497" s="40"/>
      <c r="AG497" s="40"/>
      <c r="AH497" s="34"/>
      <c r="AI497" s="34"/>
      <c r="AJ497" s="34"/>
      <c r="AK497" s="40"/>
      <c r="AL497" s="34"/>
      <c r="AM497" s="40"/>
      <c r="AN497" s="40"/>
      <c r="AO497" s="40"/>
      <c r="AP497" s="40"/>
      <c r="AQ497" s="40"/>
      <c r="AR497" s="40"/>
      <c r="AS497" s="40"/>
      <c r="AT497" s="40"/>
      <c r="AU497" s="40"/>
    </row>
    <row r="498" spans="1:47" ht="15.75" customHeight="1" x14ac:dyDescent="0.25">
      <c r="A498" s="34"/>
      <c r="B498" s="35"/>
      <c r="C498" s="36"/>
      <c r="D498" s="37"/>
      <c r="E498" s="38"/>
      <c r="F498" s="39"/>
      <c r="G498" s="17"/>
      <c r="H498" s="39"/>
      <c r="I498" s="34"/>
      <c r="J498" s="40"/>
      <c r="K498" s="34"/>
      <c r="L498" s="34"/>
      <c r="M498" s="40"/>
      <c r="N498" s="34"/>
      <c r="O498" s="40"/>
      <c r="P498" s="34"/>
      <c r="Q498" s="34"/>
      <c r="R498" s="40"/>
      <c r="S498" s="40"/>
      <c r="T498" s="34"/>
      <c r="U498" s="40"/>
      <c r="V498" s="34"/>
      <c r="W498" s="40"/>
      <c r="X498" s="34"/>
      <c r="Y498" s="34"/>
      <c r="Z498" s="40"/>
      <c r="AA498" s="40"/>
      <c r="AB498" s="34"/>
      <c r="AC498" s="34"/>
      <c r="AD498" s="40"/>
      <c r="AE498" s="40"/>
      <c r="AF498" s="40"/>
      <c r="AG498" s="40"/>
      <c r="AH498" s="34"/>
      <c r="AI498" s="34"/>
      <c r="AJ498" s="34"/>
      <c r="AK498" s="40"/>
      <c r="AL498" s="34"/>
      <c r="AM498" s="40"/>
      <c r="AN498" s="40"/>
      <c r="AO498" s="40"/>
      <c r="AP498" s="40"/>
      <c r="AQ498" s="40"/>
      <c r="AR498" s="40"/>
      <c r="AS498" s="40"/>
      <c r="AT498" s="40"/>
      <c r="AU498" s="40"/>
    </row>
    <row r="499" spans="1:47" ht="15.75" customHeight="1" x14ac:dyDescent="0.25">
      <c r="A499" s="34"/>
      <c r="B499" s="35"/>
      <c r="C499" s="36"/>
      <c r="D499" s="37"/>
      <c r="E499" s="38"/>
      <c r="F499" s="39"/>
      <c r="G499" s="17"/>
      <c r="H499" s="39"/>
      <c r="I499" s="34"/>
      <c r="J499" s="40"/>
      <c r="K499" s="34"/>
      <c r="L499" s="34"/>
      <c r="M499" s="40"/>
      <c r="N499" s="34"/>
      <c r="O499" s="40"/>
      <c r="P499" s="34"/>
      <c r="Q499" s="34"/>
      <c r="R499" s="40"/>
      <c r="S499" s="40"/>
      <c r="T499" s="34"/>
      <c r="U499" s="40"/>
      <c r="V499" s="34"/>
      <c r="W499" s="40"/>
      <c r="X499" s="34"/>
      <c r="Y499" s="34"/>
      <c r="Z499" s="40"/>
      <c r="AA499" s="40"/>
      <c r="AB499" s="34"/>
      <c r="AC499" s="34"/>
      <c r="AD499" s="40"/>
      <c r="AE499" s="40"/>
      <c r="AF499" s="40"/>
      <c r="AG499" s="40"/>
      <c r="AH499" s="34"/>
      <c r="AI499" s="34"/>
      <c r="AJ499" s="34"/>
      <c r="AK499" s="40"/>
      <c r="AL499" s="34"/>
      <c r="AM499" s="40"/>
      <c r="AN499" s="40"/>
      <c r="AO499" s="40"/>
      <c r="AP499" s="40"/>
      <c r="AQ499" s="40"/>
      <c r="AR499" s="40"/>
      <c r="AS499" s="40"/>
      <c r="AT499" s="40"/>
      <c r="AU499" s="40"/>
    </row>
    <row r="500" spans="1:47" ht="15.75" customHeight="1" x14ac:dyDescent="0.25">
      <c r="A500" s="34"/>
      <c r="B500" s="35"/>
      <c r="C500" s="36"/>
      <c r="D500" s="37"/>
      <c r="E500" s="38"/>
      <c r="F500" s="39"/>
      <c r="G500" s="17"/>
      <c r="H500" s="39"/>
      <c r="I500" s="34"/>
      <c r="J500" s="40"/>
      <c r="K500" s="34"/>
      <c r="L500" s="34"/>
      <c r="M500" s="40"/>
      <c r="N500" s="34"/>
      <c r="O500" s="40"/>
      <c r="P500" s="34"/>
      <c r="Q500" s="34"/>
      <c r="R500" s="40"/>
      <c r="S500" s="40"/>
      <c r="T500" s="34"/>
      <c r="U500" s="40"/>
      <c r="V500" s="34"/>
      <c r="W500" s="40"/>
      <c r="X500" s="34"/>
      <c r="Y500" s="34"/>
      <c r="Z500" s="40"/>
      <c r="AA500" s="40"/>
      <c r="AB500" s="34"/>
      <c r="AC500" s="34"/>
      <c r="AD500" s="40"/>
      <c r="AE500" s="40"/>
      <c r="AF500" s="40"/>
      <c r="AG500" s="40"/>
      <c r="AH500" s="34"/>
      <c r="AI500" s="34"/>
      <c r="AJ500" s="34"/>
      <c r="AK500" s="40"/>
      <c r="AL500" s="34"/>
      <c r="AM500" s="40"/>
      <c r="AN500" s="40"/>
      <c r="AO500" s="40"/>
      <c r="AP500" s="40"/>
      <c r="AQ500" s="40"/>
      <c r="AR500" s="40"/>
      <c r="AS500" s="40"/>
      <c r="AT500" s="40"/>
      <c r="AU500" s="40"/>
    </row>
    <row r="501" spans="1:47" ht="15.75" customHeight="1" x14ac:dyDescent="0.25">
      <c r="A501" s="34"/>
      <c r="B501" s="35"/>
      <c r="C501" s="36"/>
      <c r="D501" s="37"/>
      <c r="E501" s="38"/>
      <c r="F501" s="39"/>
      <c r="G501" s="17"/>
      <c r="H501" s="39"/>
      <c r="I501" s="34"/>
      <c r="J501" s="40"/>
      <c r="K501" s="34"/>
      <c r="L501" s="34"/>
      <c r="M501" s="40"/>
      <c r="N501" s="34"/>
      <c r="O501" s="40"/>
      <c r="P501" s="34"/>
      <c r="Q501" s="34"/>
      <c r="R501" s="40"/>
      <c r="S501" s="40"/>
      <c r="T501" s="34"/>
      <c r="U501" s="40"/>
      <c r="V501" s="34"/>
      <c r="W501" s="40"/>
      <c r="X501" s="34"/>
      <c r="Y501" s="34"/>
      <c r="Z501" s="40"/>
      <c r="AA501" s="40"/>
      <c r="AB501" s="34"/>
      <c r="AC501" s="34"/>
      <c r="AD501" s="40"/>
      <c r="AE501" s="40"/>
      <c r="AF501" s="40"/>
      <c r="AG501" s="40"/>
      <c r="AH501" s="34"/>
      <c r="AI501" s="34"/>
      <c r="AJ501" s="34"/>
      <c r="AK501" s="40"/>
      <c r="AL501" s="34"/>
      <c r="AM501" s="40"/>
      <c r="AN501" s="40"/>
      <c r="AO501" s="40"/>
      <c r="AP501" s="40"/>
      <c r="AQ501" s="40"/>
      <c r="AR501" s="40"/>
      <c r="AS501" s="40"/>
      <c r="AT501" s="40"/>
      <c r="AU501" s="40"/>
    </row>
    <row r="502" spans="1:47" ht="15.75" customHeight="1" x14ac:dyDescent="0.25">
      <c r="A502" s="34"/>
      <c r="B502" s="35"/>
      <c r="C502" s="36"/>
      <c r="D502" s="37"/>
      <c r="E502" s="38"/>
      <c r="F502" s="39"/>
      <c r="G502" s="17"/>
      <c r="H502" s="39"/>
      <c r="I502" s="34"/>
      <c r="J502" s="40"/>
      <c r="K502" s="34"/>
      <c r="L502" s="34"/>
      <c r="M502" s="40"/>
      <c r="N502" s="34"/>
      <c r="O502" s="40"/>
      <c r="P502" s="34"/>
      <c r="Q502" s="34"/>
      <c r="R502" s="40"/>
      <c r="S502" s="40"/>
      <c r="T502" s="34"/>
      <c r="U502" s="40"/>
      <c r="V502" s="34"/>
      <c r="W502" s="40"/>
      <c r="X502" s="34"/>
      <c r="Y502" s="34"/>
      <c r="Z502" s="40"/>
      <c r="AA502" s="40"/>
      <c r="AB502" s="34"/>
      <c r="AC502" s="34"/>
      <c r="AD502" s="40"/>
      <c r="AE502" s="40"/>
      <c r="AF502" s="40"/>
      <c r="AG502" s="40"/>
      <c r="AH502" s="34"/>
      <c r="AI502" s="34"/>
      <c r="AJ502" s="34"/>
      <c r="AK502" s="40"/>
      <c r="AL502" s="34"/>
      <c r="AM502" s="40"/>
      <c r="AN502" s="40"/>
      <c r="AO502" s="40"/>
      <c r="AP502" s="40"/>
      <c r="AQ502" s="40"/>
      <c r="AR502" s="40"/>
      <c r="AS502" s="40"/>
      <c r="AT502" s="40"/>
      <c r="AU502" s="40"/>
    </row>
    <row r="503" spans="1:47" ht="15.75" customHeight="1" x14ac:dyDescent="0.25">
      <c r="A503" s="34"/>
      <c r="B503" s="35"/>
      <c r="C503" s="36"/>
      <c r="D503" s="37"/>
      <c r="E503" s="38"/>
      <c r="F503" s="39"/>
      <c r="G503" s="17"/>
      <c r="H503" s="39"/>
      <c r="I503" s="34"/>
      <c r="J503" s="40"/>
      <c r="K503" s="34"/>
      <c r="L503" s="34"/>
      <c r="M503" s="40"/>
      <c r="N503" s="34"/>
      <c r="O503" s="40"/>
      <c r="P503" s="34"/>
      <c r="Q503" s="34"/>
      <c r="R503" s="40"/>
      <c r="S503" s="40"/>
      <c r="T503" s="34"/>
      <c r="U503" s="40"/>
      <c r="V503" s="34"/>
      <c r="W503" s="40"/>
      <c r="X503" s="34"/>
      <c r="Y503" s="34"/>
      <c r="Z503" s="40"/>
      <c r="AA503" s="40"/>
      <c r="AB503" s="34"/>
      <c r="AC503" s="34"/>
      <c r="AD503" s="40"/>
      <c r="AE503" s="40"/>
      <c r="AF503" s="40"/>
      <c r="AG503" s="40"/>
      <c r="AH503" s="34"/>
      <c r="AI503" s="34"/>
      <c r="AJ503" s="34"/>
      <c r="AK503" s="40"/>
      <c r="AL503" s="34"/>
      <c r="AM503" s="40"/>
      <c r="AN503" s="40"/>
      <c r="AO503" s="40"/>
      <c r="AP503" s="40"/>
      <c r="AQ503" s="40"/>
      <c r="AR503" s="40"/>
      <c r="AS503" s="40"/>
      <c r="AT503" s="40"/>
      <c r="AU503" s="40"/>
    </row>
    <row r="504" spans="1:47" ht="15.75" customHeight="1" x14ac:dyDescent="0.25">
      <c r="A504" s="34"/>
      <c r="B504" s="35"/>
      <c r="C504" s="36"/>
      <c r="D504" s="37"/>
      <c r="E504" s="38"/>
      <c r="F504" s="39"/>
      <c r="G504" s="17"/>
      <c r="H504" s="39"/>
      <c r="I504" s="34"/>
      <c r="J504" s="40"/>
      <c r="K504" s="34"/>
      <c r="L504" s="34"/>
      <c r="M504" s="40"/>
      <c r="N504" s="34"/>
      <c r="O504" s="40"/>
      <c r="P504" s="34"/>
      <c r="Q504" s="34"/>
      <c r="R504" s="40"/>
      <c r="S504" s="40"/>
      <c r="T504" s="34"/>
      <c r="U504" s="40"/>
      <c r="V504" s="34"/>
      <c r="W504" s="40"/>
      <c r="X504" s="34"/>
      <c r="Y504" s="34"/>
      <c r="Z504" s="40"/>
      <c r="AA504" s="40"/>
      <c r="AB504" s="34"/>
      <c r="AC504" s="34"/>
      <c r="AD504" s="40"/>
      <c r="AE504" s="40"/>
      <c r="AF504" s="40"/>
      <c r="AG504" s="40"/>
      <c r="AH504" s="34"/>
      <c r="AI504" s="34"/>
      <c r="AJ504" s="34"/>
      <c r="AK504" s="40"/>
      <c r="AL504" s="34"/>
      <c r="AM504" s="40"/>
      <c r="AN504" s="40"/>
      <c r="AO504" s="40"/>
      <c r="AP504" s="40"/>
      <c r="AQ504" s="40"/>
      <c r="AR504" s="40"/>
      <c r="AS504" s="40"/>
      <c r="AT504" s="40"/>
      <c r="AU504" s="40"/>
    </row>
    <row r="505" spans="1:47" ht="15.75" customHeight="1" x14ac:dyDescent="0.25">
      <c r="A505" s="34"/>
      <c r="B505" s="35"/>
      <c r="C505" s="36"/>
      <c r="D505" s="37"/>
      <c r="E505" s="38"/>
      <c r="F505" s="39"/>
      <c r="G505" s="17"/>
      <c r="H505" s="39"/>
      <c r="I505" s="34"/>
      <c r="J505" s="40"/>
      <c r="K505" s="34"/>
      <c r="L505" s="34"/>
      <c r="M505" s="40"/>
      <c r="N505" s="34"/>
      <c r="O505" s="40"/>
      <c r="P505" s="34"/>
      <c r="Q505" s="34"/>
      <c r="R505" s="40"/>
      <c r="S505" s="40"/>
      <c r="T505" s="34"/>
      <c r="U505" s="40"/>
      <c r="V505" s="34"/>
      <c r="W505" s="40"/>
      <c r="X505" s="34"/>
      <c r="Y505" s="34"/>
      <c r="Z505" s="40"/>
      <c r="AA505" s="40"/>
      <c r="AB505" s="34"/>
      <c r="AC505" s="34"/>
      <c r="AD505" s="40"/>
      <c r="AE505" s="40"/>
      <c r="AF505" s="40"/>
      <c r="AG505" s="40"/>
      <c r="AH505" s="34"/>
      <c r="AI505" s="34"/>
      <c r="AJ505" s="34"/>
      <c r="AK505" s="40"/>
      <c r="AL505" s="34"/>
      <c r="AM505" s="40"/>
      <c r="AN505" s="40"/>
      <c r="AO505" s="40"/>
      <c r="AP505" s="40"/>
      <c r="AQ505" s="40"/>
      <c r="AR505" s="40"/>
      <c r="AS505" s="40"/>
      <c r="AT505" s="40"/>
      <c r="AU505" s="40"/>
    </row>
    <row r="506" spans="1:47" ht="15.75" customHeight="1" x14ac:dyDescent="0.25">
      <c r="A506" s="34"/>
      <c r="B506" s="35"/>
      <c r="C506" s="36"/>
      <c r="D506" s="37"/>
      <c r="E506" s="38"/>
      <c r="F506" s="39"/>
      <c r="G506" s="17"/>
      <c r="H506" s="39"/>
      <c r="I506" s="34"/>
      <c r="J506" s="40"/>
      <c r="K506" s="34"/>
      <c r="L506" s="34"/>
      <c r="M506" s="40"/>
      <c r="N506" s="34"/>
      <c r="O506" s="40"/>
      <c r="P506" s="34"/>
      <c r="Q506" s="34"/>
      <c r="R506" s="40"/>
      <c r="S506" s="40"/>
      <c r="T506" s="34"/>
      <c r="U506" s="40"/>
      <c r="V506" s="34"/>
      <c r="W506" s="40"/>
      <c r="X506" s="34"/>
      <c r="Y506" s="34"/>
      <c r="Z506" s="40"/>
      <c r="AA506" s="40"/>
      <c r="AB506" s="34"/>
      <c r="AC506" s="34"/>
      <c r="AD506" s="40"/>
      <c r="AE506" s="40"/>
      <c r="AF506" s="40"/>
      <c r="AG506" s="40"/>
      <c r="AH506" s="34"/>
      <c r="AI506" s="34"/>
      <c r="AJ506" s="34"/>
      <c r="AK506" s="40"/>
      <c r="AL506" s="34"/>
      <c r="AM506" s="40"/>
      <c r="AN506" s="40"/>
      <c r="AO506" s="40"/>
      <c r="AP506" s="40"/>
      <c r="AQ506" s="40"/>
      <c r="AR506" s="40"/>
      <c r="AS506" s="40"/>
      <c r="AT506" s="40"/>
      <c r="AU506" s="40"/>
    </row>
    <row r="507" spans="1:47" ht="15.75" customHeight="1" x14ac:dyDescent="0.25">
      <c r="A507" s="34"/>
      <c r="B507" s="35"/>
      <c r="C507" s="36"/>
      <c r="D507" s="37"/>
      <c r="E507" s="38"/>
      <c r="F507" s="39"/>
      <c r="G507" s="17"/>
      <c r="H507" s="39"/>
      <c r="I507" s="34"/>
      <c r="J507" s="40"/>
      <c r="K507" s="34"/>
      <c r="L507" s="34"/>
      <c r="M507" s="40"/>
      <c r="N507" s="34"/>
      <c r="O507" s="40"/>
      <c r="P507" s="34"/>
      <c r="Q507" s="34"/>
      <c r="R507" s="40"/>
      <c r="S507" s="40"/>
      <c r="T507" s="34"/>
      <c r="U507" s="40"/>
      <c r="V507" s="34"/>
      <c r="W507" s="40"/>
      <c r="X507" s="34"/>
      <c r="Y507" s="34"/>
      <c r="Z507" s="40"/>
      <c r="AA507" s="40"/>
      <c r="AB507" s="34"/>
      <c r="AC507" s="34"/>
      <c r="AD507" s="40"/>
      <c r="AE507" s="40"/>
      <c r="AF507" s="40"/>
      <c r="AG507" s="40"/>
      <c r="AH507" s="34"/>
      <c r="AI507" s="34"/>
      <c r="AJ507" s="34"/>
      <c r="AK507" s="40"/>
      <c r="AL507" s="34"/>
      <c r="AM507" s="40"/>
      <c r="AN507" s="40"/>
      <c r="AO507" s="40"/>
      <c r="AP507" s="40"/>
      <c r="AQ507" s="40"/>
      <c r="AR507" s="40"/>
      <c r="AS507" s="40"/>
      <c r="AT507" s="40"/>
      <c r="AU507" s="40"/>
    </row>
    <row r="508" spans="1:47" ht="15.75" customHeight="1" x14ac:dyDescent="0.25">
      <c r="A508" s="34"/>
      <c r="B508" s="35"/>
      <c r="C508" s="36"/>
      <c r="D508" s="37"/>
      <c r="E508" s="38"/>
      <c r="F508" s="39"/>
      <c r="G508" s="17"/>
      <c r="H508" s="39"/>
      <c r="I508" s="34"/>
      <c r="J508" s="40"/>
      <c r="K508" s="34"/>
      <c r="L508" s="34"/>
      <c r="M508" s="40"/>
      <c r="N508" s="34"/>
      <c r="O508" s="40"/>
      <c r="P508" s="34"/>
      <c r="Q508" s="34"/>
      <c r="R508" s="40"/>
      <c r="S508" s="40"/>
      <c r="T508" s="34"/>
      <c r="U508" s="40"/>
      <c r="V508" s="34"/>
      <c r="W508" s="40"/>
      <c r="X508" s="34"/>
      <c r="Y508" s="34"/>
      <c r="Z508" s="40"/>
      <c r="AA508" s="40"/>
      <c r="AB508" s="34"/>
      <c r="AC508" s="34"/>
      <c r="AD508" s="40"/>
      <c r="AE508" s="40"/>
      <c r="AF508" s="40"/>
      <c r="AG508" s="40"/>
      <c r="AH508" s="34"/>
      <c r="AI508" s="34"/>
      <c r="AJ508" s="34"/>
      <c r="AK508" s="40"/>
      <c r="AL508" s="34"/>
      <c r="AM508" s="40"/>
      <c r="AN508" s="40"/>
      <c r="AO508" s="40"/>
      <c r="AP508" s="40"/>
      <c r="AQ508" s="40"/>
      <c r="AR508" s="40"/>
      <c r="AS508" s="40"/>
      <c r="AT508" s="40"/>
      <c r="AU508" s="40"/>
    </row>
    <row r="509" spans="1:47" ht="15.75" customHeight="1" x14ac:dyDescent="0.25">
      <c r="A509" s="34"/>
      <c r="B509" s="35"/>
      <c r="C509" s="36"/>
      <c r="D509" s="37"/>
      <c r="E509" s="38"/>
      <c r="F509" s="39"/>
      <c r="G509" s="17"/>
      <c r="H509" s="39"/>
      <c r="I509" s="34"/>
      <c r="J509" s="40"/>
      <c r="K509" s="34"/>
      <c r="L509" s="34"/>
      <c r="M509" s="40"/>
      <c r="N509" s="34"/>
      <c r="O509" s="40"/>
      <c r="P509" s="34"/>
      <c r="Q509" s="34"/>
      <c r="R509" s="40"/>
      <c r="S509" s="40"/>
      <c r="T509" s="34"/>
      <c r="U509" s="40"/>
      <c r="V509" s="34"/>
      <c r="W509" s="40"/>
      <c r="X509" s="34"/>
      <c r="Y509" s="34"/>
      <c r="Z509" s="40"/>
      <c r="AA509" s="40"/>
      <c r="AB509" s="34"/>
      <c r="AC509" s="34"/>
      <c r="AD509" s="40"/>
      <c r="AE509" s="40"/>
      <c r="AF509" s="40"/>
      <c r="AG509" s="40"/>
      <c r="AH509" s="34"/>
      <c r="AI509" s="34"/>
      <c r="AJ509" s="34"/>
      <c r="AK509" s="40"/>
      <c r="AL509" s="34"/>
      <c r="AM509" s="40"/>
      <c r="AN509" s="40"/>
      <c r="AO509" s="40"/>
      <c r="AP509" s="40"/>
      <c r="AQ509" s="40"/>
      <c r="AR509" s="40"/>
      <c r="AS509" s="40"/>
      <c r="AT509" s="40"/>
      <c r="AU509" s="40"/>
    </row>
    <row r="510" spans="1:47" ht="15.75" customHeight="1" x14ac:dyDescent="0.25">
      <c r="A510" s="34"/>
      <c r="B510" s="35"/>
      <c r="C510" s="36"/>
      <c r="D510" s="37"/>
      <c r="E510" s="38"/>
      <c r="F510" s="39"/>
      <c r="G510" s="17"/>
      <c r="H510" s="39"/>
      <c r="I510" s="34"/>
      <c r="J510" s="40"/>
      <c r="K510" s="34"/>
      <c r="L510" s="34"/>
      <c r="M510" s="40"/>
      <c r="N510" s="34"/>
      <c r="O510" s="40"/>
      <c r="P510" s="34"/>
      <c r="Q510" s="34"/>
      <c r="R510" s="40"/>
      <c r="S510" s="40"/>
      <c r="T510" s="34"/>
      <c r="U510" s="40"/>
      <c r="V510" s="34"/>
      <c r="W510" s="40"/>
      <c r="X510" s="34"/>
      <c r="Y510" s="34"/>
      <c r="Z510" s="40"/>
      <c r="AA510" s="40"/>
      <c r="AB510" s="34"/>
      <c r="AC510" s="34"/>
      <c r="AD510" s="40"/>
      <c r="AE510" s="40"/>
      <c r="AF510" s="40"/>
      <c r="AG510" s="40"/>
      <c r="AH510" s="34"/>
      <c r="AI510" s="34"/>
      <c r="AJ510" s="34"/>
      <c r="AK510" s="40"/>
      <c r="AL510" s="34"/>
      <c r="AM510" s="40"/>
      <c r="AN510" s="40"/>
      <c r="AO510" s="40"/>
      <c r="AP510" s="40"/>
      <c r="AQ510" s="40"/>
      <c r="AR510" s="40"/>
      <c r="AS510" s="40"/>
      <c r="AT510" s="40"/>
      <c r="AU510" s="40"/>
    </row>
    <row r="511" spans="1:47" ht="15.75" customHeight="1" x14ac:dyDescent="0.25">
      <c r="A511" s="34"/>
      <c r="B511" s="35"/>
      <c r="C511" s="36"/>
      <c r="D511" s="37"/>
      <c r="E511" s="38"/>
      <c r="F511" s="39"/>
      <c r="G511" s="17"/>
      <c r="H511" s="39"/>
      <c r="I511" s="34"/>
      <c r="J511" s="40"/>
      <c r="K511" s="34"/>
      <c r="L511" s="34"/>
      <c r="M511" s="40"/>
      <c r="N511" s="34"/>
      <c r="O511" s="40"/>
      <c r="P511" s="34"/>
      <c r="Q511" s="34"/>
      <c r="R511" s="40"/>
      <c r="S511" s="40"/>
      <c r="T511" s="34"/>
      <c r="U511" s="40"/>
      <c r="V511" s="34"/>
      <c r="W511" s="40"/>
      <c r="X511" s="34"/>
      <c r="Y511" s="34"/>
      <c r="Z511" s="40"/>
      <c r="AA511" s="40"/>
      <c r="AB511" s="34"/>
      <c r="AC511" s="34"/>
      <c r="AD511" s="40"/>
      <c r="AE511" s="40"/>
      <c r="AF511" s="40"/>
      <c r="AG511" s="40"/>
      <c r="AH511" s="34"/>
      <c r="AI511" s="34"/>
      <c r="AJ511" s="34"/>
      <c r="AK511" s="40"/>
      <c r="AL511" s="34"/>
      <c r="AM511" s="40"/>
      <c r="AN511" s="40"/>
      <c r="AO511" s="40"/>
      <c r="AP511" s="40"/>
      <c r="AQ511" s="40"/>
      <c r="AR511" s="40"/>
      <c r="AS511" s="40"/>
      <c r="AT511" s="40"/>
      <c r="AU511" s="40"/>
    </row>
    <row r="512" spans="1:47" ht="15.75" customHeight="1" x14ac:dyDescent="0.25">
      <c r="A512" s="34"/>
      <c r="B512" s="35"/>
      <c r="C512" s="36"/>
      <c r="D512" s="37"/>
      <c r="E512" s="38"/>
      <c r="F512" s="39"/>
      <c r="G512" s="17"/>
      <c r="H512" s="39"/>
      <c r="I512" s="34"/>
      <c r="J512" s="40"/>
      <c r="K512" s="34"/>
      <c r="L512" s="34"/>
      <c r="M512" s="40"/>
      <c r="N512" s="34"/>
      <c r="O512" s="40"/>
      <c r="P512" s="34"/>
      <c r="Q512" s="34"/>
      <c r="R512" s="40"/>
      <c r="S512" s="40"/>
      <c r="T512" s="34"/>
      <c r="U512" s="40"/>
      <c r="V512" s="34"/>
      <c r="W512" s="40"/>
      <c r="X512" s="34"/>
      <c r="Y512" s="34"/>
      <c r="Z512" s="40"/>
      <c r="AA512" s="40"/>
      <c r="AB512" s="34"/>
      <c r="AC512" s="34"/>
      <c r="AD512" s="40"/>
      <c r="AE512" s="40"/>
      <c r="AF512" s="40"/>
      <c r="AG512" s="40"/>
      <c r="AH512" s="34"/>
      <c r="AI512" s="34"/>
      <c r="AJ512" s="34"/>
      <c r="AK512" s="40"/>
      <c r="AL512" s="34"/>
      <c r="AM512" s="40"/>
      <c r="AN512" s="40"/>
      <c r="AO512" s="40"/>
      <c r="AP512" s="40"/>
      <c r="AQ512" s="40"/>
      <c r="AR512" s="40"/>
      <c r="AS512" s="40"/>
      <c r="AT512" s="40"/>
      <c r="AU512" s="40"/>
    </row>
    <row r="513" spans="1:47" ht="15.75" customHeight="1" x14ac:dyDescent="0.25">
      <c r="A513" s="34"/>
      <c r="B513" s="35"/>
      <c r="C513" s="36"/>
      <c r="D513" s="37"/>
      <c r="E513" s="38"/>
      <c r="F513" s="39"/>
      <c r="G513" s="17"/>
      <c r="H513" s="39"/>
      <c r="I513" s="34"/>
      <c r="J513" s="40"/>
      <c r="K513" s="34"/>
      <c r="L513" s="34"/>
      <c r="M513" s="40"/>
      <c r="N513" s="34"/>
      <c r="O513" s="40"/>
      <c r="P513" s="34"/>
      <c r="Q513" s="34"/>
      <c r="R513" s="40"/>
      <c r="S513" s="40"/>
      <c r="T513" s="34"/>
      <c r="U513" s="40"/>
      <c r="V513" s="34"/>
      <c r="W513" s="40"/>
      <c r="X513" s="34"/>
      <c r="Y513" s="34"/>
      <c r="Z513" s="40"/>
      <c r="AA513" s="40"/>
      <c r="AB513" s="34"/>
      <c r="AC513" s="34"/>
      <c r="AD513" s="40"/>
      <c r="AE513" s="40"/>
      <c r="AF513" s="40"/>
      <c r="AG513" s="40"/>
      <c r="AH513" s="34"/>
      <c r="AI513" s="34"/>
      <c r="AJ513" s="34"/>
      <c r="AK513" s="40"/>
      <c r="AL513" s="34"/>
      <c r="AM513" s="40"/>
      <c r="AN513" s="40"/>
      <c r="AO513" s="40"/>
      <c r="AP513" s="40"/>
      <c r="AQ513" s="40"/>
      <c r="AR513" s="40"/>
      <c r="AS513" s="40"/>
      <c r="AT513" s="40"/>
      <c r="AU513" s="40"/>
    </row>
    <row r="514" spans="1:47" ht="15.75" customHeight="1" x14ac:dyDescent="0.25">
      <c r="A514" s="34"/>
      <c r="B514" s="35"/>
      <c r="C514" s="36"/>
      <c r="D514" s="37"/>
      <c r="E514" s="38"/>
      <c r="F514" s="39"/>
      <c r="G514" s="17"/>
      <c r="H514" s="39"/>
      <c r="I514" s="34"/>
      <c r="J514" s="40"/>
      <c r="K514" s="34"/>
      <c r="L514" s="34"/>
      <c r="M514" s="40"/>
      <c r="N514" s="34"/>
      <c r="O514" s="40"/>
      <c r="P514" s="34"/>
      <c r="Q514" s="34"/>
      <c r="R514" s="40"/>
      <c r="S514" s="40"/>
      <c r="T514" s="34"/>
      <c r="U514" s="40"/>
      <c r="V514" s="34"/>
      <c r="W514" s="40"/>
      <c r="X514" s="34"/>
      <c r="Y514" s="34"/>
      <c r="Z514" s="40"/>
      <c r="AA514" s="40"/>
      <c r="AB514" s="34"/>
      <c r="AC514" s="34"/>
      <c r="AD514" s="40"/>
      <c r="AE514" s="40"/>
      <c r="AF514" s="40"/>
      <c r="AG514" s="40"/>
      <c r="AH514" s="34"/>
      <c r="AI514" s="34"/>
      <c r="AJ514" s="34"/>
      <c r="AK514" s="40"/>
      <c r="AL514" s="34"/>
      <c r="AM514" s="40"/>
      <c r="AN514" s="40"/>
      <c r="AO514" s="40"/>
      <c r="AP514" s="40"/>
      <c r="AQ514" s="40"/>
      <c r="AR514" s="40"/>
      <c r="AS514" s="40"/>
      <c r="AT514" s="40"/>
      <c r="AU514" s="40"/>
    </row>
    <row r="515" spans="1:47" ht="15.75" customHeight="1" x14ac:dyDescent="0.25">
      <c r="A515" s="34"/>
      <c r="B515" s="35"/>
      <c r="C515" s="36"/>
      <c r="D515" s="37"/>
      <c r="E515" s="38"/>
      <c r="F515" s="39"/>
      <c r="G515" s="17"/>
      <c r="H515" s="39"/>
      <c r="I515" s="34"/>
      <c r="J515" s="40"/>
      <c r="K515" s="34"/>
      <c r="L515" s="34"/>
      <c r="M515" s="40"/>
      <c r="N515" s="34"/>
      <c r="O515" s="40"/>
      <c r="P515" s="34"/>
      <c r="Q515" s="34"/>
      <c r="R515" s="40"/>
      <c r="S515" s="40"/>
      <c r="T515" s="34"/>
      <c r="U515" s="40"/>
      <c r="V515" s="34"/>
      <c r="W515" s="40"/>
      <c r="X515" s="34"/>
      <c r="Y515" s="34"/>
      <c r="Z515" s="40"/>
      <c r="AA515" s="40"/>
      <c r="AB515" s="34"/>
      <c r="AC515" s="34"/>
      <c r="AD515" s="40"/>
      <c r="AE515" s="40"/>
      <c r="AF515" s="40"/>
      <c r="AG515" s="40"/>
      <c r="AH515" s="34"/>
      <c r="AI515" s="34"/>
      <c r="AJ515" s="34"/>
      <c r="AK515" s="40"/>
      <c r="AL515" s="34"/>
      <c r="AM515" s="40"/>
      <c r="AN515" s="40"/>
      <c r="AO515" s="40"/>
      <c r="AP515" s="40"/>
      <c r="AQ515" s="40"/>
      <c r="AR515" s="40"/>
      <c r="AS515" s="40"/>
      <c r="AT515" s="40"/>
      <c r="AU515" s="40"/>
    </row>
    <row r="516" spans="1:47" ht="15.75" customHeight="1" x14ac:dyDescent="0.25">
      <c r="A516" s="34"/>
      <c r="B516" s="35"/>
      <c r="C516" s="36"/>
      <c r="D516" s="37"/>
      <c r="E516" s="38"/>
      <c r="F516" s="39"/>
      <c r="G516" s="17"/>
      <c r="H516" s="39"/>
      <c r="I516" s="34"/>
      <c r="J516" s="40"/>
      <c r="K516" s="34"/>
      <c r="L516" s="34"/>
      <c r="M516" s="40"/>
      <c r="N516" s="34"/>
      <c r="O516" s="40"/>
      <c r="P516" s="34"/>
      <c r="Q516" s="34"/>
      <c r="R516" s="40"/>
      <c r="S516" s="40"/>
      <c r="T516" s="34"/>
      <c r="U516" s="40"/>
      <c r="V516" s="34"/>
      <c r="W516" s="40"/>
      <c r="X516" s="34"/>
      <c r="Y516" s="34"/>
      <c r="Z516" s="40"/>
      <c r="AA516" s="40"/>
      <c r="AB516" s="34"/>
      <c r="AC516" s="34"/>
      <c r="AD516" s="40"/>
      <c r="AE516" s="40"/>
      <c r="AF516" s="40"/>
      <c r="AG516" s="40"/>
      <c r="AH516" s="34"/>
      <c r="AI516" s="34"/>
      <c r="AJ516" s="34"/>
      <c r="AK516" s="40"/>
      <c r="AL516" s="34"/>
      <c r="AM516" s="40"/>
      <c r="AN516" s="40"/>
      <c r="AO516" s="40"/>
      <c r="AP516" s="40"/>
      <c r="AQ516" s="40"/>
      <c r="AR516" s="40"/>
      <c r="AS516" s="40"/>
      <c r="AT516" s="40"/>
      <c r="AU516" s="40"/>
    </row>
    <row r="517" spans="1:47" ht="15.75" customHeight="1" x14ac:dyDescent="0.25">
      <c r="A517" s="34"/>
      <c r="B517" s="35"/>
      <c r="C517" s="36"/>
      <c r="D517" s="37"/>
      <c r="E517" s="38"/>
      <c r="F517" s="39"/>
      <c r="G517" s="17"/>
      <c r="H517" s="39"/>
      <c r="I517" s="34"/>
      <c r="J517" s="40"/>
      <c r="K517" s="34"/>
      <c r="L517" s="34"/>
      <c r="M517" s="40"/>
      <c r="N517" s="34"/>
      <c r="O517" s="40"/>
      <c r="P517" s="34"/>
      <c r="Q517" s="34"/>
      <c r="R517" s="40"/>
      <c r="S517" s="40"/>
      <c r="T517" s="34"/>
      <c r="U517" s="40"/>
      <c r="V517" s="34"/>
      <c r="W517" s="40"/>
      <c r="X517" s="34"/>
      <c r="Y517" s="34"/>
      <c r="Z517" s="40"/>
      <c r="AA517" s="40"/>
      <c r="AB517" s="34"/>
      <c r="AC517" s="34"/>
      <c r="AD517" s="40"/>
      <c r="AE517" s="40"/>
      <c r="AF517" s="40"/>
      <c r="AG517" s="40"/>
      <c r="AH517" s="34"/>
      <c r="AI517" s="34"/>
      <c r="AJ517" s="34"/>
      <c r="AK517" s="40"/>
      <c r="AL517" s="34"/>
      <c r="AM517" s="40"/>
      <c r="AN517" s="40"/>
      <c r="AO517" s="40"/>
      <c r="AP517" s="40"/>
      <c r="AQ517" s="40"/>
      <c r="AR517" s="40"/>
      <c r="AS517" s="40"/>
      <c r="AT517" s="40"/>
      <c r="AU517" s="40"/>
    </row>
    <row r="518" spans="1:47" ht="15.75" customHeight="1" x14ac:dyDescent="0.25">
      <c r="A518" s="34"/>
      <c r="B518" s="35"/>
      <c r="C518" s="36"/>
      <c r="D518" s="37"/>
      <c r="E518" s="38"/>
      <c r="F518" s="39"/>
      <c r="G518" s="17"/>
      <c r="H518" s="39"/>
      <c r="I518" s="34"/>
      <c r="J518" s="40"/>
      <c r="K518" s="34"/>
      <c r="L518" s="34"/>
      <c r="M518" s="40"/>
      <c r="N518" s="34"/>
      <c r="O518" s="40"/>
      <c r="P518" s="34"/>
      <c r="Q518" s="34"/>
      <c r="R518" s="40"/>
      <c r="S518" s="40"/>
      <c r="T518" s="34"/>
      <c r="U518" s="40"/>
      <c r="V518" s="34"/>
      <c r="W518" s="40"/>
      <c r="X518" s="34"/>
      <c r="Y518" s="34"/>
      <c r="Z518" s="40"/>
      <c r="AA518" s="40"/>
      <c r="AB518" s="34"/>
      <c r="AC518" s="34"/>
      <c r="AD518" s="40"/>
      <c r="AE518" s="40"/>
      <c r="AF518" s="40"/>
      <c r="AG518" s="40"/>
      <c r="AH518" s="34"/>
      <c r="AI518" s="34"/>
      <c r="AJ518" s="34"/>
      <c r="AK518" s="40"/>
      <c r="AL518" s="34"/>
      <c r="AM518" s="40"/>
      <c r="AN518" s="40"/>
      <c r="AO518" s="40"/>
      <c r="AP518" s="40"/>
      <c r="AQ518" s="40"/>
      <c r="AR518" s="40"/>
      <c r="AS518" s="40"/>
      <c r="AT518" s="40"/>
      <c r="AU518" s="40"/>
    </row>
    <row r="519" spans="1:47" ht="15.75" customHeight="1" x14ac:dyDescent="0.25">
      <c r="A519" s="34"/>
      <c r="B519" s="35"/>
      <c r="C519" s="36"/>
      <c r="D519" s="37"/>
      <c r="E519" s="38"/>
      <c r="F519" s="39"/>
      <c r="G519" s="17"/>
      <c r="H519" s="39"/>
      <c r="I519" s="34"/>
      <c r="J519" s="40"/>
      <c r="K519" s="34"/>
      <c r="L519" s="34"/>
      <c r="M519" s="40"/>
      <c r="N519" s="34"/>
      <c r="O519" s="40"/>
      <c r="P519" s="34"/>
      <c r="Q519" s="34"/>
      <c r="R519" s="40"/>
      <c r="S519" s="40"/>
      <c r="T519" s="34"/>
      <c r="U519" s="40"/>
      <c r="V519" s="34"/>
      <c r="W519" s="40"/>
      <c r="X519" s="34"/>
      <c r="Y519" s="34"/>
      <c r="Z519" s="40"/>
      <c r="AA519" s="40"/>
      <c r="AB519" s="34"/>
      <c r="AC519" s="34"/>
      <c r="AD519" s="40"/>
      <c r="AE519" s="40"/>
      <c r="AF519" s="40"/>
      <c r="AG519" s="40"/>
      <c r="AH519" s="34"/>
      <c r="AI519" s="34"/>
      <c r="AJ519" s="34"/>
      <c r="AK519" s="40"/>
      <c r="AL519" s="34"/>
      <c r="AM519" s="40"/>
      <c r="AN519" s="40"/>
      <c r="AO519" s="40"/>
      <c r="AP519" s="40"/>
      <c r="AQ519" s="40"/>
      <c r="AR519" s="40"/>
      <c r="AS519" s="40"/>
      <c r="AT519" s="40"/>
      <c r="AU519" s="40"/>
    </row>
    <row r="520" spans="1:47" ht="15.75" customHeight="1" x14ac:dyDescent="0.25">
      <c r="A520" s="34"/>
      <c r="B520" s="35"/>
      <c r="C520" s="36"/>
      <c r="D520" s="37"/>
      <c r="E520" s="38"/>
      <c r="F520" s="39"/>
      <c r="G520" s="17"/>
      <c r="H520" s="39"/>
      <c r="I520" s="34"/>
      <c r="J520" s="40"/>
      <c r="K520" s="34"/>
      <c r="L520" s="34"/>
      <c r="M520" s="40"/>
      <c r="N520" s="34"/>
      <c r="O520" s="40"/>
      <c r="P520" s="34"/>
      <c r="Q520" s="34"/>
      <c r="R520" s="40"/>
      <c r="S520" s="40"/>
      <c r="T520" s="34"/>
      <c r="U520" s="40"/>
      <c r="V520" s="34"/>
      <c r="W520" s="40"/>
      <c r="X520" s="34"/>
      <c r="Y520" s="34"/>
      <c r="Z520" s="40"/>
      <c r="AA520" s="40"/>
      <c r="AB520" s="34"/>
      <c r="AC520" s="34"/>
      <c r="AD520" s="40"/>
      <c r="AE520" s="40"/>
      <c r="AF520" s="40"/>
      <c r="AG520" s="40"/>
      <c r="AH520" s="34"/>
      <c r="AI520" s="34"/>
      <c r="AJ520" s="34"/>
      <c r="AK520" s="40"/>
      <c r="AL520" s="34"/>
      <c r="AM520" s="40"/>
      <c r="AN520" s="40"/>
      <c r="AO520" s="40"/>
      <c r="AP520" s="40"/>
      <c r="AQ520" s="40"/>
      <c r="AR520" s="40"/>
      <c r="AS520" s="40"/>
      <c r="AT520" s="40"/>
      <c r="AU520" s="40"/>
    </row>
    <row r="521" spans="1:47" ht="15.75" customHeight="1" x14ac:dyDescent="0.25">
      <c r="A521" s="34"/>
      <c r="B521" s="35"/>
      <c r="C521" s="36"/>
      <c r="D521" s="37"/>
      <c r="E521" s="38"/>
      <c r="F521" s="39"/>
      <c r="G521" s="17"/>
      <c r="H521" s="39"/>
      <c r="I521" s="34"/>
      <c r="J521" s="40"/>
      <c r="K521" s="34"/>
      <c r="L521" s="34"/>
      <c r="M521" s="40"/>
      <c r="N521" s="34"/>
      <c r="O521" s="40"/>
      <c r="P521" s="34"/>
      <c r="Q521" s="34"/>
      <c r="R521" s="40"/>
      <c r="S521" s="40"/>
      <c r="T521" s="34"/>
      <c r="U521" s="40"/>
      <c r="V521" s="34"/>
      <c r="W521" s="40"/>
      <c r="X521" s="34"/>
      <c r="Y521" s="34"/>
      <c r="Z521" s="40"/>
      <c r="AA521" s="40"/>
      <c r="AB521" s="34"/>
      <c r="AC521" s="34"/>
      <c r="AD521" s="40"/>
      <c r="AE521" s="40"/>
      <c r="AF521" s="40"/>
      <c r="AG521" s="40"/>
      <c r="AH521" s="34"/>
      <c r="AI521" s="34"/>
      <c r="AJ521" s="34"/>
      <c r="AK521" s="40"/>
      <c r="AL521" s="34"/>
      <c r="AM521" s="40"/>
      <c r="AN521" s="40"/>
      <c r="AO521" s="40"/>
      <c r="AP521" s="40"/>
      <c r="AQ521" s="40"/>
      <c r="AR521" s="40"/>
      <c r="AS521" s="40"/>
      <c r="AT521" s="40"/>
      <c r="AU521" s="40"/>
    </row>
    <row r="522" spans="1:47" ht="15.75" customHeight="1" x14ac:dyDescent="0.25">
      <c r="A522" s="34"/>
      <c r="B522" s="35"/>
      <c r="C522" s="36"/>
      <c r="D522" s="37"/>
      <c r="E522" s="38"/>
      <c r="F522" s="39"/>
      <c r="G522" s="17"/>
      <c r="H522" s="39"/>
      <c r="I522" s="34"/>
      <c r="J522" s="40"/>
      <c r="K522" s="34"/>
      <c r="L522" s="34"/>
      <c r="M522" s="40"/>
      <c r="N522" s="34"/>
      <c r="O522" s="40"/>
      <c r="P522" s="34"/>
      <c r="Q522" s="34"/>
      <c r="R522" s="40"/>
      <c r="S522" s="40"/>
      <c r="T522" s="34"/>
      <c r="U522" s="40"/>
      <c r="V522" s="34"/>
      <c r="W522" s="40"/>
      <c r="X522" s="34"/>
      <c r="Y522" s="34"/>
      <c r="Z522" s="40"/>
      <c r="AA522" s="40"/>
      <c r="AB522" s="34"/>
      <c r="AC522" s="34"/>
      <c r="AD522" s="40"/>
      <c r="AE522" s="40"/>
      <c r="AF522" s="40"/>
      <c r="AG522" s="40"/>
      <c r="AH522" s="34"/>
      <c r="AI522" s="34"/>
      <c r="AJ522" s="34"/>
      <c r="AK522" s="40"/>
      <c r="AL522" s="34"/>
      <c r="AM522" s="40"/>
      <c r="AN522" s="40"/>
      <c r="AO522" s="40"/>
      <c r="AP522" s="40"/>
      <c r="AQ522" s="40"/>
      <c r="AR522" s="40"/>
      <c r="AS522" s="40"/>
      <c r="AT522" s="40"/>
      <c r="AU522" s="40"/>
    </row>
    <row r="523" spans="1:47" ht="15.75" customHeight="1" x14ac:dyDescent="0.25">
      <c r="A523" s="34"/>
      <c r="B523" s="35"/>
      <c r="C523" s="36"/>
      <c r="D523" s="37"/>
      <c r="E523" s="38"/>
      <c r="F523" s="39"/>
      <c r="G523" s="17"/>
      <c r="H523" s="39"/>
      <c r="I523" s="34"/>
      <c r="J523" s="40"/>
      <c r="K523" s="34"/>
      <c r="L523" s="34"/>
      <c r="M523" s="40"/>
      <c r="N523" s="34"/>
      <c r="O523" s="40"/>
      <c r="P523" s="34"/>
      <c r="Q523" s="34"/>
      <c r="R523" s="40"/>
      <c r="S523" s="40"/>
      <c r="T523" s="34"/>
      <c r="U523" s="40"/>
      <c r="V523" s="34"/>
      <c r="W523" s="40"/>
      <c r="X523" s="34"/>
      <c r="Y523" s="34"/>
      <c r="Z523" s="40"/>
      <c r="AA523" s="40"/>
      <c r="AB523" s="34"/>
      <c r="AC523" s="34"/>
      <c r="AD523" s="40"/>
      <c r="AE523" s="40"/>
      <c r="AF523" s="40"/>
      <c r="AG523" s="40"/>
      <c r="AH523" s="34"/>
      <c r="AI523" s="34"/>
      <c r="AJ523" s="34"/>
      <c r="AK523" s="40"/>
      <c r="AL523" s="34"/>
      <c r="AM523" s="40"/>
      <c r="AN523" s="40"/>
      <c r="AO523" s="40"/>
      <c r="AP523" s="40"/>
      <c r="AQ523" s="40"/>
      <c r="AR523" s="40"/>
      <c r="AS523" s="40"/>
      <c r="AT523" s="40"/>
      <c r="AU523" s="40"/>
    </row>
    <row r="524" spans="1:47" ht="15.75" customHeight="1" x14ac:dyDescent="0.25">
      <c r="A524" s="34"/>
      <c r="B524" s="35"/>
      <c r="C524" s="36"/>
      <c r="D524" s="37"/>
      <c r="E524" s="38"/>
      <c r="F524" s="39"/>
      <c r="G524" s="17"/>
      <c r="H524" s="39"/>
      <c r="I524" s="34"/>
      <c r="J524" s="40"/>
      <c r="K524" s="34"/>
      <c r="L524" s="34"/>
      <c r="M524" s="40"/>
      <c r="N524" s="34"/>
      <c r="O524" s="40"/>
      <c r="P524" s="34"/>
      <c r="Q524" s="34"/>
      <c r="R524" s="40"/>
      <c r="S524" s="40"/>
      <c r="T524" s="34"/>
      <c r="U524" s="40"/>
      <c r="V524" s="34"/>
      <c r="W524" s="40"/>
      <c r="X524" s="34"/>
      <c r="Y524" s="34"/>
      <c r="Z524" s="40"/>
      <c r="AA524" s="40"/>
      <c r="AB524" s="34"/>
      <c r="AC524" s="34"/>
      <c r="AD524" s="40"/>
      <c r="AE524" s="40"/>
      <c r="AF524" s="40"/>
      <c r="AG524" s="40"/>
      <c r="AH524" s="34"/>
      <c r="AI524" s="34"/>
      <c r="AJ524" s="34"/>
      <c r="AK524" s="40"/>
      <c r="AL524" s="34"/>
      <c r="AM524" s="40"/>
      <c r="AN524" s="40"/>
      <c r="AO524" s="40"/>
      <c r="AP524" s="40"/>
      <c r="AQ524" s="40"/>
      <c r="AR524" s="40"/>
      <c r="AS524" s="40"/>
      <c r="AT524" s="40"/>
      <c r="AU524" s="40"/>
    </row>
    <row r="525" spans="1:47" ht="15.75" customHeight="1" x14ac:dyDescent="0.25">
      <c r="A525" s="34"/>
      <c r="B525" s="35"/>
      <c r="C525" s="36"/>
      <c r="D525" s="37"/>
      <c r="E525" s="38"/>
      <c r="F525" s="39"/>
      <c r="G525" s="17"/>
      <c r="H525" s="39"/>
      <c r="I525" s="34"/>
      <c r="J525" s="40"/>
      <c r="K525" s="34"/>
      <c r="L525" s="34"/>
      <c r="M525" s="40"/>
      <c r="N525" s="34"/>
      <c r="O525" s="40"/>
      <c r="P525" s="34"/>
      <c r="Q525" s="34"/>
      <c r="R525" s="40"/>
      <c r="S525" s="40"/>
      <c r="T525" s="34"/>
      <c r="U525" s="40"/>
      <c r="V525" s="34"/>
      <c r="W525" s="40"/>
      <c r="X525" s="34"/>
      <c r="Y525" s="34"/>
      <c r="Z525" s="40"/>
      <c r="AA525" s="40"/>
      <c r="AB525" s="34"/>
      <c r="AC525" s="34"/>
      <c r="AD525" s="40"/>
      <c r="AE525" s="40"/>
      <c r="AF525" s="40"/>
      <c r="AG525" s="40"/>
      <c r="AH525" s="34"/>
      <c r="AI525" s="34"/>
      <c r="AJ525" s="34"/>
      <c r="AK525" s="40"/>
      <c r="AL525" s="34"/>
      <c r="AM525" s="40"/>
      <c r="AN525" s="40"/>
      <c r="AO525" s="40"/>
      <c r="AP525" s="40"/>
      <c r="AQ525" s="40"/>
      <c r="AR525" s="40"/>
      <c r="AS525" s="40"/>
      <c r="AT525" s="40"/>
      <c r="AU525" s="40"/>
    </row>
    <row r="526" spans="1:47" ht="15.75" customHeight="1" x14ac:dyDescent="0.25">
      <c r="A526" s="34"/>
      <c r="B526" s="35"/>
      <c r="C526" s="36"/>
      <c r="D526" s="37"/>
      <c r="E526" s="38"/>
      <c r="F526" s="39"/>
      <c r="G526" s="17"/>
      <c r="H526" s="39"/>
      <c r="I526" s="34"/>
      <c r="J526" s="40"/>
      <c r="K526" s="34"/>
      <c r="L526" s="34"/>
      <c r="M526" s="40"/>
      <c r="N526" s="34"/>
      <c r="O526" s="40"/>
      <c r="P526" s="34"/>
      <c r="Q526" s="34"/>
      <c r="R526" s="40"/>
      <c r="S526" s="40"/>
      <c r="T526" s="34"/>
      <c r="U526" s="40"/>
      <c r="V526" s="34"/>
      <c r="W526" s="40"/>
      <c r="X526" s="34"/>
      <c r="Y526" s="34"/>
      <c r="Z526" s="40"/>
      <c r="AA526" s="40"/>
      <c r="AB526" s="34"/>
      <c r="AC526" s="34"/>
      <c r="AD526" s="40"/>
      <c r="AE526" s="40"/>
      <c r="AF526" s="40"/>
      <c r="AG526" s="40"/>
      <c r="AH526" s="34"/>
      <c r="AI526" s="34"/>
      <c r="AJ526" s="34"/>
      <c r="AK526" s="40"/>
      <c r="AL526" s="34"/>
      <c r="AM526" s="40"/>
      <c r="AN526" s="40"/>
      <c r="AO526" s="40"/>
      <c r="AP526" s="40"/>
      <c r="AQ526" s="40"/>
      <c r="AR526" s="40"/>
      <c r="AS526" s="40"/>
      <c r="AT526" s="40"/>
      <c r="AU526" s="40"/>
    </row>
    <row r="527" spans="1:47" ht="15.75" customHeight="1" x14ac:dyDescent="0.25">
      <c r="A527" s="34"/>
      <c r="B527" s="35"/>
      <c r="C527" s="36"/>
      <c r="D527" s="37"/>
      <c r="E527" s="38"/>
      <c r="F527" s="39"/>
      <c r="G527" s="17"/>
      <c r="H527" s="39"/>
      <c r="I527" s="34"/>
      <c r="J527" s="40"/>
      <c r="K527" s="34"/>
      <c r="L527" s="34"/>
      <c r="M527" s="40"/>
      <c r="N527" s="34"/>
      <c r="O527" s="40"/>
      <c r="P527" s="34"/>
      <c r="Q527" s="34"/>
      <c r="R527" s="40"/>
      <c r="S527" s="40"/>
      <c r="T527" s="34"/>
      <c r="U527" s="40"/>
      <c r="V527" s="34"/>
      <c r="W527" s="40"/>
      <c r="X527" s="34"/>
      <c r="Y527" s="34"/>
      <c r="Z527" s="40"/>
      <c r="AA527" s="40"/>
      <c r="AB527" s="34"/>
      <c r="AC527" s="34"/>
      <c r="AD527" s="40"/>
      <c r="AE527" s="40"/>
      <c r="AF527" s="40"/>
      <c r="AG527" s="40"/>
      <c r="AH527" s="34"/>
      <c r="AI527" s="34"/>
      <c r="AJ527" s="34"/>
      <c r="AK527" s="40"/>
      <c r="AL527" s="34"/>
      <c r="AM527" s="40"/>
      <c r="AN527" s="40"/>
      <c r="AO527" s="40"/>
      <c r="AP527" s="40"/>
      <c r="AQ527" s="40"/>
      <c r="AR527" s="40"/>
      <c r="AS527" s="40"/>
      <c r="AT527" s="40"/>
      <c r="AU527" s="40"/>
    </row>
    <row r="528" spans="1:47" ht="15.75" customHeight="1" x14ac:dyDescent="0.25">
      <c r="A528" s="34"/>
      <c r="B528" s="35"/>
      <c r="C528" s="36"/>
      <c r="D528" s="37"/>
      <c r="E528" s="38"/>
      <c r="F528" s="39"/>
      <c r="G528" s="17"/>
      <c r="H528" s="39"/>
      <c r="I528" s="34"/>
      <c r="J528" s="40"/>
      <c r="K528" s="34"/>
      <c r="L528" s="34"/>
      <c r="M528" s="40"/>
      <c r="N528" s="34"/>
      <c r="O528" s="40"/>
      <c r="P528" s="34"/>
      <c r="Q528" s="34"/>
      <c r="R528" s="40"/>
      <c r="S528" s="40"/>
      <c r="T528" s="34"/>
      <c r="U528" s="40"/>
      <c r="V528" s="34"/>
      <c r="W528" s="40"/>
      <c r="X528" s="34"/>
      <c r="Y528" s="34"/>
      <c r="Z528" s="40"/>
      <c r="AA528" s="40"/>
      <c r="AB528" s="34"/>
      <c r="AC528" s="34"/>
      <c r="AD528" s="40"/>
      <c r="AE528" s="40"/>
      <c r="AF528" s="40"/>
      <c r="AG528" s="40"/>
      <c r="AH528" s="34"/>
      <c r="AI528" s="34"/>
      <c r="AJ528" s="34"/>
      <c r="AK528" s="40"/>
      <c r="AL528" s="34"/>
      <c r="AM528" s="40"/>
      <c r="AN528" s="40"/>
      <c r="AO528" s="40"/>
      <c r="AP528" s="40"/>
      <c r="AQ528" s="40"/>
      <c r="AR528" s="40"/>
      <c r="AS528" s="40"/>
      <c r="AT528" s="40"/>
      <c r="AU528" s="40"/>
    </row>
    <row r="529" spans="1:47" ht="15.75" customHeight="1" x14ac:dyDescent="0.25">
      <c r="A529" s="34"/>
      <c r="B529" s="35"/>
      <c r="C529" s="36"/>
      <c r="D529" s="37"/>
      <c r="E529" s="38"/>
      <c r="F529" s="39"/>
      <c r="G529" s="17"/>
      <c r="H529" s="39"/>
      <c r="I529" s="34"/>
      <c r="J529" s="40"/>
      <c r="K529" s="34"/>
      <c r="L529" s="34"/>
      <c r="M529" s="40"/>
      <c r="N529" s="34"/>
      <c r="O529" s="40"/>
      <c r="P529" s="34"/>
      <c r="Q529" s="34"/>
      <c r="R529" s="40"/>
      <c r="S529" s="40"/>
      <c r="T529" s="34"/>
      <c r="U529" s="40"/>
      <c r="V529" s="34"/>
      <c r="W529" s="40"/>
      <c r="X529" s="34"/>
      <c r="Y529" s="34"/>
      <c r="Z529" s="40"/>
      <c r="AA529" s="40"/>
      <c r="AB529" s="34"/>
      <c r="AC529" s="34"/>
      <c r="AD529" s="40"/>
      <c r="AE529" s="40"/>
      <c r="AF529" s="40"/>
      <c r="AG529" s="40"/>
      <c r="AH529" s="34"/>
      <c r="AI529" s="34"/>
      <c r="AJ529" s="34"/>
      <c r="AK529" s="40"/>
      <c r="AL529" s="34"/>
      <c r="AM529" s="40"/>
      <c r="AN529" s="40"/>
      <c r="AO529" s="40"/>
      <c r="AP529" s="40"/>
      <c r="AQ529" s="40"/>
      <c r="AR529" s="40"/>
      <c r="AS529" s="40"/>
      <c r="AT529" s="40"/>
      <c r="AU529" s="40"/>
    </row>
    <row r="530" spans="1:47" ht="15.75" customHeight="1" x14ac:dyDescent="0.25">
      <c r="A530" s="34"/>
      <c r="B530" s="35"/>
      <c r="C530" s="36"/>
      <c r="D530" s="37"/>
      <c r="E530" s="38"/>
      <c r="F530" s="39"/>
      <c r="G530" s="17"/>
      <c r="H530" s="39"/>
      <c r="I530" s="34"/>
      <c r="J530" s="40"/>
      <c r="K530" s="34"/>
      <c r="L530" s="34"/>
      <c r="M530" s="40"/>
      <c r="N530" s="34"/>
      <c r="O530" s="40"/>
      <c r="P530" s="34"/>
      <c r="Q530" s="34"/>
      <c r="R530" s="40"/>
      <c r="S530" s="40"/>
      <c r="T530" s="34"/>
      <c r="U530" s="40"/>
      <c r="V530" s="34"/>
      <c r="W530" s="40"/>
      <c r="X530" s="34"/>
      <c r="Y530" s="34"/>
      <c r="Z530" s="40"/>
      <c r="AA530" s="40"/>
      <c r="AB530" s="34"/>
      <c r="AC530" s="34"/>
      <c r="AD530" s="40"/>
      <c r="AE530" s="40"/>
      <c r="AF530" s="40"/>
      <c r="AG530" s="40"/>
      <c r="AH530" s="34"/>
      <c r="AI530" s="34"/>
      <c r="AJ530" s="34"/>
      <c r="AK530" s="40"/>
      <c r="AL530" s="34"/>
      <c r="AM530" s="40"/>
      <c r="AN530" s="40"/>
      <c r="AO530" s="40"/>
      <c r="AP530" s="40"/>
      <c r="AQ530" s="40"/>
      <c r="AR530" s="40"/>
      <c r="AS530" s="40"/>
      <c r="AT530" s="40"/>
      <c r="AU530" s="40"/>
    </row>
    <row r="531" spans="1:47" ht="15.75" customHeight="1" x14ac:dyDescent="0.25">
      <c r="A531" s="34"/>
      <c r="B531" s="35"/>
      <c r="C531" s="36"/>
      <c r="D531" s="37"/>
      <c r="E531" s="38"/>
      <c r="F531" s="39"/>
      <c r="G531" s="17"/>
      <c r="H531" s="39"/>
      <c r="I531" s="34"/>
      <c r="J531" s="40"/>
      <c r="K531" s="34"/>
      <c r="L531" s="34"/>
      <c r="M531" s="40"/>
      <c r="N531" s="34"/>
      <c r="O531" s="40"/>
      <c r="P531" s="34"/>
      <c r="Q531" s="34"/>
      <c r="R531" s="40"/>
      <c r="S531" s="40"/>
      <c r="T531" s="34"/>
      <c r="U531" s="40"/>
      <c r="V531" s="34"/>
      <c r="W531" s="40"/>
      <c r="X531" s="34"/>
      <c r="Y531" s="34"/>
      <c r="Z531" s="40"/>
      <c r="AA531" s="40"/>
      <c r="AB531" s="34"/>
      <c r="AC531" s="34"/>
      <c r="AD531" s="40"/>
      <c r="AE531" s="40"/>
      <c r="AF531" s="40"/>
      <c r="AG531" s="40"/>
      <c r="AH531" s="34"/>
      <c r="AI531" s="34"/>
      <c r="AJ531" s="34"/>
      <c r="AK531" s="40"/>
      <c r="AL531" s="34"/>
      <c r="AM531" s="40"/>
      <c r="AN531" s="40"/>
      <c r="AO531" s="40"/>
      <c r="AP531" s="40"/>
      <c r="AQ531" s="40"/>
      <c r="AR531" s="40"/>
      <c r="AS531" s="40"/>
      <c r="AT531" s="40"/>
      <c r="AU531" s="40"/>
    </row>
    <row r="532" spans="1:47" ht="15.75" customHeight="1" x14ac:dyDescent="0.25">
      <c r="A532" s="34"/>
      <c r="B532" s="35"/>
      <c r="C532" s="36"/>
      <c r="D532" s="37"/>
      <c r="E532" s="38"/>
      <c r="F532" s="39"/>
      <c r="G532" s="17"/>
      <c r="H532" s="39"/>
      <c r="I532" s="34"/>
      <c r="J532" s="40"/>
      <c r="K532" s="34"/>
      <c r="L532" s="34"/>
      <c r="M532" s="40"/>
      <c r="N532" s="34"/>
      <c r="O532" s="40"/>
      <c r="P532" s="34"/>
      <c r="Q532" s="34"/>
      <c r="R532" s="40"/>
      <c r="S532" s="40"/>
      <c r="T532" s="34"/>
      <c r="U532" s="40"/>
      <c r="V532" s="34"/>
      <c r="W532" s="40"/>
      <c r="X532" s="34"/>
      <c r="Y532" s="34"/>
      <c r="Z532" s="40"/>
      <c r="AA532" s="40"/>
      <c r="AB532" s="34"/>
      <c r="AC532" s="34"/>
      <c r="AD532" s="40"/>
      <c r="AE532" s="40"/>
      <c r="AF532" s="40"/>
      <c r="AG532" s="40"/>
      <c r="AH532" s="34"/>
      <c r="AI532" s="34"/>
      <c r="AJ532" s="34"/>
      <c r="AK532" s="40"/>
      <c r="AL532" s="34"/>
      <c r="AM532" s="40"/>
      <c r="AN532" s="40"/>
      <c r="AO532" s="40"/>
      <c r="AP532" s="40"/>
      <c r="AQ532" s="40"/>
      <c r="AR532" s="40"/>
      <c r="AS532" s="40"/>
      <c r="AT532" s="40"/>
      <c r="AU532" s="40"/>
    </row>
    <row r="533" spans="1:47" ht="15.75" customHeight="1" x14ac:dyDescent="0.25">
      <c r="A533" s="34"/>
      <c r="B533" s="35"/>
      <c r="C533" s="36"/>
      <c r="D533" s="37"/>
      <c r="E533" s="38"/>
      <c r="F533" s="39"/>
      <c r="G533" s="17"/>
      <c r="H533" s="39"/>
      <c r="I533" s="34"/>
      <c r="J533" s="40"/>
      <c r="K533" s="34"/>
      <c r="L533" s="34"/>
      <c r="M533" s="40"/>
      <c r="N533" s="34"/>
      <c r="O533" s="40"/>
      <c r="P533" s="34"/>
      <c r="Q533" s="34"/>
      <c r="R533" s="40"/>
      <c r="S533" s="40"/>
      <c r="T533" s="34"/>
      <c r="U533" s="40"/>
      <c r="V533" s="34"/>
      <c r="W533" s="40"/>
      <c r="X533" s="34"/>
      <c r="Y533" s="34"/>
      <c r="Z533" s="40"/>
      <c r="AA533" s="40"/>
      <c r="AB533" s="34"/>
      <c r="AC533" s="34"/>
      <c r="AD533" s="40"/>
      <c r="AE533" s="40"/>
      <c r="AF533" s="40"/>
      <c r="AG533" s="40"/>
      <c r="AH533" s="34"/>
      <c r="AI533" s="34"/>
      <c r="AJ533" s="34"/>
      <c r="AK533" s="40"/>
      <c r="AL533" s="34"/>
      <c r="AM533" s="40"/>
      <c r="AN533" s="40"/>
      <c r="AO533" s="40"/>
      <c r="AP533" s="40"/>
      <c r="AQ533" s="40"/>
      <c r="AR533" s="40"/>
      <c r="AS533" s="40"/>
      <c r="AT533" s="40"/>
      <c r="AU533" s="40"/>
    </row>
    <row r="534" spans="1:47" ht="15.75" customHeight="1" x14ac:dyDescent="0.25">
      <c r="A534" s="34"/>
      <c r="B534" s="35"/>
      <c r="C534" s="36"/>
      <c r="D534" s="37"/>
      <c r="E534" s="38"/>
      <c r="F534" s="39"/>
      <c r="G534" s="17"/>
      <c r="H534" s="39"/>
      <c r="I534" s="34"/>
      <c r="J534" s="40"/>
      <c r="K534" s="34"/>
      <c r="L534" s="34"/>
      <c r="M534" s="40"/>
      <c r="N534" s="34"/>
      <c r="O534" s="40"/>
      <c r="P534" s="34"/>
      <c r="Q534" s="34"/>
      <c r="R534" s="40"/>
      <c r="S534" s="40"/>
      <c r="T534" s="34"/>
      <c r="U534" s="40"/>
      <c r="V534" s="34"/>
      <c r="W534" s="40"/>
      <c r="X534" s="34"/>
      <c r="Y534" s="34"/>
      <c r="Z534" s="40"/>
      <c r="AA534" s="40"/>
      <c r="AB534" s="34"/>
      <c r="AC534" s="34"/>
      <c r="AD534" s="40"/>
      <c r="AE534" s="40"/>
      <c r="AF534" s="40"/>
      <c r="AG534" s="40"/>
      <c r="AH534" s="34"/>
      <c r="AI534" s="34"/>
      <c r="AJ534" s="34"/>
      <c r="AK534" s="40"/>
      <c r="AL534" s="34"/>
      <c r="AM534" s="40"/>
      <c r="AN534" s="40"/>
      <c r="AO534" s="40"/>
      <c r="AP534" s="40"/>
      <c r="AQ534" s="40"/>
      <c r="AR534" s="40"/>
      <c r="AS534" s="40"/>
      <c r="AT534" s="40"/>
      <c r="AU534" s="40"/>
    </row>
    <row r="535" spans="1:47" ht="15.75" customHeight="1" x14ac:dyDescent="0.25">
      <c r="A535" s="34"/>
      <c r="B535" s="35"/>
      <c r="C535" s="36"/>
      <c r="D535" s="37"/>
      <c r="E535" s="38"/>
      <c r="F535" s="39"/>
      <c r="G535" s="17"/>
      <c r="H535" s="39"/>
      <c r="I535" s="34"/>
      <c r="J535" s="40"/>
      <c r="K535" s="34"/>
      <c r="L535" s="34"/>
      <c r="M535" s="40"/>
      <c r="N535" s="34"/>
      <c r="O535" s="40"/>
      <c r="P535" s="34"/>
      <c r="Q535" s="34"/>
      <c r="R535" s="40"/>
      <c r="S535" s="40"/>
      <c r="T535" s="34"/>
      <c r="U535" s="40"/>
      <c r="V535" s="34"/>
      <c r="W535" s="40"/>
      <c r="X535" s="34"/>
      <c r="Y535" s="34"/>
      <c r="Z535" s="40"/>
      <c r="AA535" s="40"/>
      <c r="AB535" s="34"/>
      <c r="AC535" s="34"/>
      <c r="AD535" s="40"/>
      <c r="AE535" s="40"/>
      <c r="AF535" s="40"/>
      <c r="AG535" s="40"/>
      <c r="AH535" s="34"/>
      <c r="AI535" s="34"/>
      <c r="AJ535" s="34"/>
      <c r="AK535" s="40"/>
      <c r="AL535" s="34"/>
      <c r="AM535" s="40"/>
      <c r="AN535" s="40"/>
      <c r="AO535" s="40"/>
      <c r="AP535" s="40"/>
      <c r="AQ535" s="40"/>
      <c r="AR535" s="40"/>
      <c r="AS535" s="40"/>
      <c r="AT535" s="40"/>
      <c r="AU535" s="40"/>
    </row>
    <row r="536" spans="1:47" ht="15.75" customHeight="1" x14ac:dyDescent="0.25">
      <c r="A536" s="34"/>
      <c r="B536" s="35"/>
      <c r="C536" s="36"/>
      <c r="D536" s="37"/>
      <c r="E536" s="38"/>
      <c r="F536" s="39"/>
      <c r="G536" s="17"/>
      <c r="H536" s="39"/>
      <c r="I536" s="34"/>
      <c r="J536" s="40"/>
      <c r="K536" s="34"/>
      <c r="L536" s="34"/>
      <c r="M536" s="40"/>
      <c r="N536" s="34"/>
      <c r="O536" s="40"/>
      <c r="P536" s="34"/>
      <c r="Q536" s="34"/>
      <c r="R536" s="40"/>
      <c r="S536" s="40"/>
      <c r="T536" s="34"/>
      <c r="U536" s="40"/>
      <c r="V536" s="34"/>
      <c r="W536" s="40"/>
      <c r="X536" s="34"/>
      <c r="Y536" s="34"/>
      <c r="Z536" s="40"/>
      <c r="AA536" s="40"/>
      <c r="AB536" s="34"/>
      <c r="AC536" s="34"/>
      <c r="AD536" s="40"/>
      <c r="AE536" s="40"/>
      <c r="AF536" s="40"/>
      <c r="AG536" s="40"/>
      <c r="AH536" s="34"/>
      <c r="AI536" s="34"/>
      <c r="AJ536" s="34"/>
      <c r="AK536" s="40"/>
      <c r="AL536" s="34"/>
      <c r="AM536" s="40"/>
      <c r="AN536" s="40"/>
      <c r="AO536" s="40"/>
      <c r="AP536" s="40"/>
      <c r="AQ536" s="40"/>
      <c r="AR536" s="40"/>
      <c r="AS536" s="40"/>
      <c r="AT536" s="40"/>
      <c r="AU536" s="40"/>
    </row>
    <row r="537" spans="1:47" ht="15.75" customHeight="1" x14ac:dyDescent="0.25">
      <c r="A537" s="34"/>
      <c r="B537" s="35"/>
      <c r="C537" s="36"/>
      <c r="D537" s="37"/>
      <c r="E537" s="38"/>
      <c r="F537" s="39"/>
      <c r="G537" s="17"/>
      <c r="H537" s="39"/>
      <c r="I537" s="34"/>
      <c r="J537" s="40"/>
      <c r="K537" s="34"/>
      <c r="L537" s="34"/>
      <c r="M537" s="40"/>
      <c r="N537" s="34"/>
      <c r="O537" s="40"/>
      <c r="P537" s="34"/>
      <c r="Q537" s="34"/>
      <c r="R537" s="40"/>
      <c r="S537" s="40"/>
      <c r="T537" s="34"/>
      <c r="U537" s="40"/>
      <c r="V537" s="34"/>
      <c r="W537" s="40"/>
      <c r="X537" s="34"/>
      <c r="Y537" s="34"/>
      <c r="Z537" s="40"/>
      <c r="AA537" s="40"/>
      <c r="AB537" s="34"/>
      <c r="AC537" s="34"/>
      <c r="AD537" s="40"/>
      <c r="AE537" s="40"/>
      <c r="AF537" s="40"/>
      <c r="AG537" s="40"/>
      <c r="AH537" s="34"/>
      <c r="AI537" s="34"/>
      <c r="AJ537" s="34"/>
      <c r="AK537" s="40"/>
      <c r="AL537" s="34"/>
      <c r="AM537" s="40"/>
      <c r="AN537" s="40"/>
      <c r="AO537" s="40"/>
      <c r="AP537" s="40"/>
      <c r="AQ537" s="40"/>
      <c r="AR537" s="40"/>
      <c r="AS537" s="40"/>
      <c r="AT537" s="40"/>
      <c r="AU537" s="40"/>
    </row>
    <row r="538" spans="1:47" ht="15.75" customHeight="1" x14ac:dyDescent="0.25">
      <c r="A538" s="34"/>
      <c r="B538" s="35"/>
      <c r="C538" s="36"/>
      <c r="D538" s="37"/>
      <c r="E538" s="38"/>
      <c r="F538" s="39"/>
      <c r="G538" s="17"/>
      <c r="H538" s="39"/>
      <c r="I538" s="34"/>
      <c r="J538" s="40"/>
      <c r="K538" s="34"/>
      <c r="L538" s="34"/>
      <c r="M538" s="40"/>
      <c r="N538" s="34"/>
      <c r="O538" s="40"/>
      <c r="P538" s="34"/>
      <c r="Q538" s="34"/>
      <c r="R538" s="40"/>
      <c r="S538" s="40"/>
      <c r="T538" s="34"/>
      <c r="U538" s="40"/>
      <c r="V538" s="34"/>
      <c r="W538" s="40"/>
      <c r="X538" s="34"/>
      <c r="Y538" s="34"/>
      <c r="Z538" s="40"/>
      <c r="AA538" s="40"/>
      <c r="AB538" s="34"/>
      <c r="AC538" s="34"/>
      <c r="AD538" s="40"/>
      <c r="AE538" s="40"/>
      <c r="AF538" s="40"/>
      <c r="AG538" s="40"/>
      <c r="AH538" s="34"/>
      <c r="AI538" s="34"/>
      <c r="AJ538" s="34"/>
      <c r="AK538" s="40"/>
      <c r="AL538" s="34"/>
      <c r="AM538" s="40"/>
      <c r="AN538" s="40"/>
      <c r="AO538" s="40"/>
      <c r="AP538" s="40"/>
      <c r="AQ538" s="40"/>
      <c r="AR538" s="40"/>
      <c r="AS538" s="40"/>
      <c r="AT538" s="40"/>
      <c r="AU538" s="40"/>
    </row>
    <row r="539" spans="1:47" ht="15.75" customHeight="1" x14ac:dyDescent="0.25">
      <c r="A539" s="34"/>
      <c r="B539" s="35"/>
      <c r="C539" s="36"/>
      <c r="D539" s="37"/>
      <c r="E539" s="38"/>
      <c r="F539" s="39"/>
      <c r="G539" s="17"/>
      <c r="H539" s="39"/>
      <c r="I539" s="34"/>
      <c r="J539" s="40"/>
      <c r="K539" s="34"/>
      <c r="L539" s="34"/>
      <c r="M539" s="40"/>
      <c r="N539" s="34"/>
      <c r="O539" s="40"/>
      <c r="P539" s="34"/>
      <c r="Q539" s="34"/>
      <c r="R539" s="40"/>
      <c r="S539" s="40"/>
      <c r="T539" s="34"/>
      <c r="U539" s="40"/>
      <c r="V539" s="34"/>
      <c r="W539" s="40"/>
      <c r="X539" s="34"/>
      <c r="Y539" s="34"/>
      <c r="Z539" s="40"/>
      <c r="AA539" s="40"/>
      <c r="AB539" s="34"/>
      <c r="AC539" s="34"/>
      <c r="AD539" s="40"/>
      <c r="AE539" s="40"/>
      <c r="AF539" s="40"/>
      <c r="AG539" s="40"/>
      <c r="AH539" s="34"/>
      <c r="AI539" s="34"/>
      <c r="AJ539" s="34"/>
      <c r="AK539" s="40"/>
      <c r="AL539" s="34"/>
      <c r="AM539" s="40"/>
      <c r="AN539" s="40"/>
      <c r="AO539" s="40"/>
      <c r="AP539" s="40"/>
      <c r="AQ539" s="40"/>
      <c r="AR539" s="40"/>
      <c r="AS539" s="40"/>
      <c r="AT539" s="40"/>
      <c r="AU539" s="40"/>
    </row>
    <row r="540" spans="1:47" ht="15.75" customHeight="1" x14ac:dyDescent="0.25">
      <c r="A540" s="34"/>
      <c r="B540" s="35"/>
      <c r="C540" s="36"/>
      <c r="D540" s="37"/>
      <c r="E540" s="38"/>
      <c r="F540" s="39"/>
      <c r="G540" s="17"/>
      <c r="H540" s="39"/>
      <c r="I540" s="34"/>
      <c r="J540" s="40"/>
      <c r="K540" s="34"/>
      <c r="L540" s="34"/>
      <c r="M540" s="40"/>
      <c r="N540" s="34"/>
      <c r="O540" s="40"/>
      <c r="P540" s="34"/>
      <c r="Q540" s="34"/>
      <c r="R540" s="40"/>
      <c r="S540" s="40"/>
      <c r="T540" s="34"/>
      <c r="U540" s="40"/>
      <c r="V540" s="34"/>
      <c r="W540" s="40"/>
      <c r="X540" s="34"/>
      <c r="Y540" s="34"/>
      <c r="Z540" s="40"/>
      <c r="AA540" s="40"/>
      <c r="AB540" s="34"/>
      <c r="AC540" s="34"/>
      <c r="AD540" s="40"/>
      <c r="AE540" s="40"/>
      <c r="AF540" s="40"/>
      <c r="AG540" s="40"/>
      <c r="AH540" s="34"/>
      <c r="AI540" s="34"/>
      <c r="AJ540" s="34"/>
      <c r="AK540" s="40"/>
      <c r="AL540" s="34"/>
      <c r="AM540" s="40"/>
      <c r="AN540" s="40"/>
      <c r="AO540" s="40"/>
      <c r="AP540" s="40"/>
      <c r="AQ540" s="40"/>
      <c r="AR540" s="40"/>
      <c r="AS540" s="40"/>
      <c r="AT540" s="40"/>
      <c r="AU540" s="40"/>
    </row>
    <row r="541" spans="1:47" ht="15.75" customHeight="1" x14ac:dyDescent="0.25">
      <c r="A541" s="34"/>
      <c r="B541" s="35"/>
      <c r="C541" s="36"/>
      <c r="D541" s="37"/>
      <c r="E541" s="38"/>
      <c r="F541" s="39"/>
      <c r="G541" s="17"/>
      <c r="H541" s="39"/>
      <c r="I541" s="34"/>
      <c r="J541" s="40"/>
      <c r="K541" s="34"/>
      <c r="L541" s="34"/>
      <c r="M541" s="40"/>
      <c r="N541" s="34"/>
      <c r="O541" s="40"/>
      <c r="P541" s="34"/>
      <c r="Q541" s="34"/>
      <c r="R541" s="40"/>
      <c r="S541" s="40"/>
      <c r="T541" s="34"/>
      <c r="U541" s="40"/>
      <c r="V541" s="34"/>
      <c r="W541" s="40"/>
      <c r="X541" s="34"/>
      <c r="Y541" s="34"/>
      <c r="Z541" s="40"/>
      <c r="AA541" s="40"/>
      <c r="AB541" s="34"/>
      <c r="AC541" s="34"/>
      <c r="AD541" s="40"/>
      <c r="AE541" s="40"/>
      <c r="AF541" s="40"/>
      <c r="AG541" s="40"/>
      <c r="AH541" s="34"/>
      <c r="AI541" s="34"/>
      <c r="AJ541" s="34"/>
      <c r="AK541" s="40"/>
      <c r="AL541" s="34"/>
      <c r="AM541" s="40"/>
      <c r="AN541" s="40"/>
      <c r="AO541" s="40"/>
      <c r="AP541" s="40"/>
      <c r="AQ541" s="40"/>
      <c r="AR541" s="40"/>
      <c r="AS541" s="40"/>
      <c r="AT541" s="40"/>
      <c r="AU541" s="40"/>
    </row>
    <row r="542" spans="1:47" ht="15.75" customHeight="1" x14ac:dyDescent="0.25">
      <c r="A542" s="34"/>
      <c r="B542" s="35"/>
      <c r="C542" s="36"/>
      <c r="D542" s="37"/>
      <c r="E542" s="38"/>
      <c r="F542" s="39"/>
      <c r="G542" s="17"/>
      <c r="H542" s="39"/>
      <c r="I542" s="34"/>
      <c r="J542" s="40"/>
      <c r="K542" s="34"/>
      <c r="L542" s="34"/>
      <c r="M542" s="40"/>
      <c r="N542" s="34"/>
      <c r="O542" s="40"/>
      <c r="P542" s="34"/>
      <c r="Q542" s="34"/>
      <c r="R542" s="40"/>
      <c r="S542" s="40"/>
      <c r="T542" s="34"/>
      <c r="U542" s="40"/>
      <c r="V542" s="34"/>
      <c r="W542" s="40"/>
      <c r="X542" s="34"/>
      <c r="Y542" s="34"/>
      <c r="Z542" s="40"/>
      <c r="AA542" s="40"/>
      <c r="AB542" s="34"/>
      <c r="AC542" s="34"/>
      <c r="AD542" s="40"/>
      <c r="AE542" s="40"/>
      <c r="AF542" s="40"/>
      <c r="AG542" s="40"/>
      <c r="AH542" s="34"/>
      <c r="AI542" s="34"/>
      <c r="AJ542" s="34"/>
      <c r="AK542" s="40"/>
      <c r="AL542" s="34"/>
      <c r="AM542" s="40"/>
      <c r="AN542" s="40"/>
      <c r="AO542" s="40"/>
      <c r="AP542" s="40"/>
      <c r="AQ542" s="40"/>
      <c r="AR542" s="40"/>
      <c r="AS542" s="40"/>
      <c r="AT542" s="40"/>
      <c r="AU542" s="40"/>
    </row>
    <row r="543" spans="1:47" ht="15.75" customHeight="1" x14ac:dyDescent="0.25">
      <c r="A543" s="34"/>
      <c r="B543" s="35"/>
      <c r="C543" s="36"/>
      <c r="D543" s="37"/>
      <c r="E543" s="38"/>
      <c r="F543" s="39"/>
      <c r="G543" s="17"/>
      <c r="H543" s="39"/>
      <c r="I543" s="34"/>
      <c r="J543" s="40"/>
      <c r="K543" s="34"/>
      <c r="L543" s="34"/>
      <c r="M543" s="40"/>
      <c r="N543" s="34"/>
      <c r="O543" s="40"/>
      <c r="P543" s="34"/>
      <c r="Q543" s="34"/>
      <c r="R543" s="40"/>
      <c r="S543" s="40"/>
      <c r="T543" s="34"/>
      <c r="U543" s="40"/>
      <c r="V543" s="34"/>
      <c r="W543" s="40"/>
      <c r="X543" s="34"/>
      <c r="Y543" s="34"/>
      <c r="Z543" s="40"/>
      <c r="AA543" s="40"/>
      <c r="AB543" s="34"/>
      <c r="AC543" s="34"/>
      <c r="AD543" s="40"/>
      <c r="AE543" s="40"/>
      <c r="AF543" s="40"/>
      <c r="AG543" s="40"/>
      <c r="AH543" s="34"/>
      <c r="AI543" s="34"/>
      <c r="AJ543" s="34"/>
      <c r="AK543" s="40"/>
      <c r="AL543" s="34"/>
      <c r="AM543" s="40"/>
      <c r="AN543" s="40"/>
      <c r="AO543" s="40"/>
      <c r="AP543" s="40"/>
      <c r="AQ543" s="40"/>
      <c r="AR543" s="40"/>
      <c r="AS543" s="40"/>
      <c r="AT543" s="40"/>
      <c r="AU543" s="40"/>
    </row>
    <row r="544" spans="1:47" ht="15.75" customHeight="1" x14ac:dyDescent="0.25">
      <c r="A544" s="34"/>
      <c r="B544" s="35"/>
      <c r="C544" s="36"/>
      <c r="D544" s="37"/>
      <c r="E544" s="38"/>
      <c r="F544" s="39"/>
      <c r="G544" s="17"/>
      <c r="H544" s="39"/>
      <c r="I544" s="34"/>
      <c r="J544" s="40"/>
      <c r="K544" s="34"/>
      <c r="L544" s="34"/>
      <c r="M544" s="40"/>
      <c r="N544" s="34"/>
      <c r="O544" s="40"/>
      <c r="P544" s="34"/>
      <c r="Q544" s="34"/>
      <c r="R544" s="40"/>
      <c r="S544" s="40"/>
      <c r="T544" s="34"/>
      <c r="U544" s="40"/>
      <c r="V544" s="34"/>
      <c r="W544" s="40"/>
      <c r="X544" s="34"/>
      <c r="Y544" s="34"/>
      <c r="Z544" s="40"/>
      <c r="AA544" s="40"/>
      <c r="AB544" s="34"/>
      <c r="AC544" s="34"/>
      <c r="AD544" s="40"/>
      <c r="AE544" s="40"/>
      <c r="AF544" s="40"/>
      <c r="AG544" s="40"/>
      <c r="AH544" s="34"/>
      <c r="AI544" s="34"/>
      <c r="AJ544" s="34"/>
      <c r="AK544" s="40"/>
      <c r="AL544" s="34"/>
      <c r="AM544" s="40"/>
      <c r="AN544" s="40"/>
      <c r="AO544" s="40"/>
      <c r="AP544" s="40"/>
      <c r="AQ544" s="40"/>
      <c r="AR544" s="40"/>
      <c r="AS544" s="40"/>
      <c r="AT544" s="40"/>
      <c r="AU544" s="40"/>
    </row>
    <row r="545" spans="1:47" ht="15.75" customHeight="1" x14ac:dyDescent="0.25">
      <c r="A545" s="34"/>
      <c r="B545" s="35"/>
      <c r="C545" s="36"/>
      <c r="D545" s="37"/>
      <c r="E545" s="38"/>
      <c r="F545" s="39"/>
      <c r="G545" s="17"/>
      <c r="H545" s="39"/>
      <c r="I545" s="34"/>
      <c r="J545" s="40"/>
      <c r="K545" s="34"/>
      <c r="L545" s="34"/>
      <c r="M545" s="40"/>
      <c r="N545" s="34"/>
      <c r="O545" s="40"/>
      <c r="P545" s="34"/>
      <c r="Q545" s="34"/>
      <c r="R545" s="40"/>
      <c r="S545" s="40"/>
      <c r="T545" s="34"/>
      <c r="U545" s="40"/>
      <c r="V545" s="34"/>
      <c r="W545" s="40"/>
      <c r="X545" s="34"/>
      <c r="Y545" s="34"/>
      <c r="Z545" s="40"/>
      <c r="AA545" s="40"/>
      <c r="AB545" s="34"/>
      <c r="AC545" s="34"/>
      <c r="AD545" s="40"/>
      <c r="AE545" s="40"/>
      <c r="AF545" s="40"/>
      <c r="AG545" s="40"/>
      <c r="AH545" s="34"/>
      <c r="AI545" s="34"/>
      <c r="AJ545" s="34"/>
      <c r="AK545" s="40"/>
      <c r="AL545" s="34"/>
      <c r="AM545" s="40"/>
      <c r="AN545" s="40"/>
      <c r="AO545" s="40"/>
      <c r="AP545" s="40"/>
      <c r="AQ545" s="40"/>
      <c r="AR545" s="40"/>
      <c r="AS545" s="40"/>
      <c r="AT545" s="40"/>
      <c r="AU545" s="40"/>
    </row>
    <row r="546" spans="1:47" ht="15.75" customHeight="1" x14ac:dyDescent="0.25">
      <c r="A546" s="34"/>
      <c r="B546" s="35"/>
      <c r="C546" s="36"/>
      <c r="D546" s="37"/>
      <c r="E546" s="38"/>
      <c r="F546" s="39"/>
      <c r="G546" s="17"/>
      <c r="H546" s="39"/>
      <c r="I546" s="34"/>
      <c r="J546" s="40"/>
      <c r="K546" s="34"/>
      <c r="L546" s="34"/>
      <c r="M546" s="40"/>
      <c r="N546" s="34"/>
      <c r="O546" s="40"/>
      <c r="P546" s="34"/>
      <c r="Q546" s="34"/>
      <c r="R546" s="40"/>
      <c r="S546" s="40"/>
      <c r="T546" s="34"/>
      <c r="U546" s="40"/>
      <c r="V546" s="34"/>
      <c r="W546" s="40"/>
      <c r="X546" s="34"/>
      <c r="Y546" s="34"/>
      <c r="Z546" s="40"/>
      <c r="AA546" s="40"/>
      <c r="AB546" s="34"/>
      <c r="AC546" s="34"/>
      <c r="AD546" s="40"/>
      <c r="AE546" s="40"/>
      <c r="AF546" s="40"/>
      <c r="AG546" s="40"/>
      <c r="AH546" s="34"/>
      <c r="AI546" s="34"/>
      <c r="AJ546" s="34"/>
      <c r="AK546" s="40"/>
      <c r="AL546" s="34"/>
      <c r="AM546" s="40"/>
      <c r="AN546" s="40"/>
      <c r="AO546" s="40"/>
      <c r="AP546" s="40"/>
      <c r="AQ546" s="40"/>
      <c r="AR546" s="40"/>
      <c r="AS546" s="40"/>
      <c r="AT546" s="40"/>
      <c r="AU546" s="40"/>
    </row>
    <row r="547" spans="1:47" ht="15.75" customHeight="1" x14ac:dyDescent="0.25">
      <c r="A547" s="34"/>
      <c r="B547" s="35"/>
      <c r="C547" s="36"/>
      <c r="D547" s="37"/>
      <c r="E547" s="38"/>
      <c r="F547" s="39"/>
      <c r="G547" s="17"/>
      <c r="H547" s="39"/>
      <c r="I547" s="34"/>
      <c r="J547" s="40"/>
      <c r="K547" s="34"/>
      <c r="L547" s="34"/>
      <c r="M547" s="40"/>
      <c r="N547" s="34"/>
      <c r="O547" s="40"/>
      <c r="P547" s="34"/>
      <c r="Q547" s="34"/>
      <c r="R547" s="40"/>
      <c r="S547" s="40"/>
      <c r="T547" s="34"/>
      <c r="U547" s="40"/>
      <c r="V547" s="34"/>
      <c r="W547" s="40"/>
      <c r="X547" s="34"/>
      <c r="Y547" s="34"/>
      <c r="Z547" s="40"/>
      <c r="AA547" s="40"/>
      <c r="AB547" s="34"/>
      <c r="AC547" s="34"/>
      <c r="AD547" s="40"/>
      <c r="AE547" s="40"/>
      <c r="AF547" s="40"/>
      <c r="AG547" s="40"/>
      <c r="AH547" s="34"/>
      <c r="AI547" s="34"/>
      <c r="AJ547" s="34"/>
      <c r="AK547" s="40"/>
      <c r="AL547" s="34"/>
      <c r="AM547" s="40"/>
      <c r="AN547" s="40"/>
      <c r="AO547" s="40"/>
      <c r="AP547" s="40"/>
      <c r="AQ547" s="40"/>
      <c r="AR547" s="40"/>
      <c r="AS547" s="40"/>
      <c r="AT547" s="40"/>
      <c r="AU547" s="40"/>
    </row>
    <row r="548" spans="1:47" ht="15.75" customHeight="1" x14ac:dyDescent="0.25">
      <c r="A548" s="34"/>
      <c r="B548" s="35"/>
      <c r="C548" s="36"/>
      <c r="D548" s="37"/>
      <c r="E548" s="38"/>
      <c r="F548" s="39"/>
      <c r="G548" s="17"/>
      <c r="H548" s="39"/>
      <c r="I548" s="34"/>
      <c r="J548" s="40"/>
      <c r="K548" s="34"/>
      <c r="L548" s="34"/>
      <c r="M548" s="40"/>
      <c r="N548" s="34"/>
      <c r="O548" s="40"/>
      <c r="P548" s="34"/>
      <c r="Q548" s="34"/>
      <c r="R548" s="40"/>
      <c r="S548" s="40"/>
      <c r="T548" s="34"/>
      <c r="U548" s="40"/>
      <c r="V548" s="34"/>
      <c r="W548" s="40"/>
      <c r="X548" s="34"/>
      <c r="Y548" s="34"/>
      <c r="Z548" s="40"/>
      <c r="AA548" s="40"/>
      <c r="AB548" s="34"/>
      <c r="AC548" s="34"/>
      <c r="AD548" s="40"/>
      <c r="AE548" s="40"/>
      <c r="AF548" s="40"/>
      <c r="AG548" s="40"/>
      <c r="AH548" s="34"/>
      <c r="AI548" s="34"/>
      <c r="AJ548" s="34"/>
      <c r="AK548" s="40"/>
      <c r="AL548" s="34"/>
      <c r="AM548" s="40"/>
      <c r="AN548" s="40"/>
      <c r="AO548" s="40"/>
      <c r="AP548" s="40"/>
      <c r="AQ548" s="40"/>
      <c r="AR548" s="40"/>
      <c r="AS548" s="40"/>
      <c r="AT548" s="40"/>
      <c r="AU548" s="40"/>
    </row>
    <row r="549" spans="1:47" ht="15.75" customHeight="1" x14ac:dyDescent="0.25">
      <c r="A549" s="34"/>
      <c r="B549" s="35"/>
      <c r="C549" s="36"/>
      <c r="D549" s="37"/>
      <c r="E549" s="38"/>
      <c r="F549" s="39"/>
      <c r="G549" s="17"/>
      <c r="H549" s="39"/>
      <c r="I549" s="34"/>
      <c r="J549" s="40"/>
      <c r="K549" s="34"/>
      <c r="L549" s="34"/>
      <c r="M549" s="40"/>
      <c r="N549" s="34"/>
      <c r="O549" s="40"/>
      <c r="P549" s="34"/>
      <c r="Q549" s="34"/>
      <c r="R549" s="40"/>
      <c r="S549" s="40"/>
      <c r="T549" s="34"/>
      <c r="U549" s="40"/>
      <c r="V549" s="34"/>
      <c r="W549" s="40"/>
      <c r="X549" s="34"/>
      <c r="Y549" s="34"/>
      <c r="Z549" s="40"/>
      <c r="AA549" s="40"/>
      <c r="AB549" s="34"/>
      <c r="AC549" s="34"/>
      <c r="AD549" s="40"/>
      <c r="AE549" s="40"/>
      <c r="AF549" s="40"/>
      <c r="AG549" s="40"/>
      <c r="AH549" s="34"/>
      <c r="AI549" s="34"/>
      <c r="AJ549" s="34"/>
      <c r="AK549" s="40"/>
      <c r="AL549" s="34"/>
      <c r="AM549" s="40"/>
      <c r="AN549" s="40"/>
      <c r="AO549" s="40"/>
      <c r="AP549" s="40"/>
      <c r="AQ549" s="40"/>
      <c r="AR549" s="40"/>
      <c r="AS549" s="40"/>
      <c r="AT549" s="40"/>
      <c r="AU549" s="40"/>
    </row>
    <row r="550" spans="1:47" ht="15.75" customHeight="1" x14ac:dyDescent="0.25">
      <c r="A550" s="34"/>
      <c r="B550" s="35"/>
      <c r="C550" s="36"/>
      <c r="D550" s="37"/>
      <c r="E550" s="38"/>
      <c r="F550" s="39"/>
      <c r="G550" s="17"/>
      <c r="H550" s="39"/>
      <c r="I550" s="34"/>
      <c r="J550" s="40"/>
      <c r="K550" s="34"/>
      <c r="L550" s="34"/>
      <c r="M550" s="40"/>
      <c r="N550" s="34"/>
      <c r="O550" s="40"/>
      <c r="P550" s="34"/>
      <c r="Q550" s="34"/>
      <c r="R550" s="40"/>
      <c r="S550" s="40"/>
      <c r="T550" s="34"/>
      <c r="U550" s="40"/>
      <c r="V550" s="34"/>
      <c r="W550" s="40"/>
      <c r="X550" s="34"/>
      <c r="Y550" s="34"/>
      <c r="Z550" s="40"/>
      <c r="AA550" s="40"/>
      <c r="AB550" s="34"/>
      <c r="AC550" s="34"/>
      <c r="AD550" s="40"/>
      <c r="AE550" s="40"/>
      <c r="AF550" s="40"/>
      <c r="AG550" s="40"/>
      <c r="AH550" s="34"/>
      <c r="AI550" s="34"/>
      <c r="AJ550" s="34"/>
      <c r="AK550" s="40"/>
      <c r="AL550" s="34"/>
      <c r="AM550" s="40"/>
      <c r="AN550" s="40"/>
      <c r="AO550" s="40"/>
      <c r="AP550" s="40"/>
      <c r="AQ550" s="40"/>
      <c r="AR550" s="40"/>
      <c r="AS550" s="40"/>
      <c r="AT550" s="40"/>
      <c r="AU550" s="40"/>
    </row>
    <row r="551" spans="1:47" ht="15.75" customHeight="1" x14ac:dyDescent="0.25">
      <c r="A551" s="34"/>
      <c r="B551" s="35"/>
      <c r="C551" s="36"/>
      <c r="D551" s="37"/>
      <c r="E551" s="38"/>
      <c r="F551" s="39"/>
      <c r="G551" s="17"/>
      <c r="H551" s="39"/>
      <c r="I551" s="34"/>
      <c r="J551" s="40"/>
      <c r="K551" s="34"/>
      <c r="L551" s="34"/>
      <c r="M551" s="40"/>
      <c r="N551" s="34"/>
      <c r="O551" s="40"/>
      <c r="P551" s="34"/>
      <c r="Q551" s="34"/>
      <c r="R551" s="40"/>
      <c r="S551" s="40"/>
      <c r="T551" s="34"/>
      <c r="U551" s="40"/>
      <c r="V551" s="34"/>
      <c r="W551" s="40"/>
      <c r="X551" s="34"/>
      <c r="Y551" s="34"/>
      <c r="Z551" s="40"/>
      <c r="AA551" s="40"/>
      <c r="AB551" s="34"/>
      <c r="AC551" s="34"/>
      <c r="AD551" s="40"/>
      <c r="AE551" s="40"/>
      <c r="AF551" s="40"/>
      <c r="AG551" s="40"/>
      <c r="AH551" s="34"/>
      <c r="AI551" s="34"/>
      <c r="AJ551" s="34"/>
      <c r="AK551" s="40"/>
      <c r="AL551" s="34"/>
      <c r="AM551" s="40"/>
      <c r="AN551" s="40"/>
      <c r="AO551" s="40"/>
      <c r="AP551" s="40"/>
      <c r="AQ551" s="40"/>
      <c r="AR551" s="40"/>
      <c r="AS551" s="40"/>
      <c r="AT551" s="40"/>
      <c r="AU551" s="40"/>
    </row>
    <row r="552" spans="1:47" ht="15.75" customHeight="1" x14ac:dyDescent="0.25">
      <c r="A552" s="34"/>
      <c r="B552" s="35"/>
      <c r="C552" s="36"/>
      <c r="D552" s="37"/>
      <c r="E552" s="38"/>
      <c r="F552" s="39"/>
      <c r="G552" s="17"/>
      <c r="H552" s="39"/>
      <c r="I552" s="34"/>
      <c r="J552" s="40"/>
      <c r="K552" s="34"/>
      <c r="L552" s="34"/>
      <c r="M552" s="40"/>
      <c r="N552" s="34"/>
      <c r="O552" s="40"/>
      <c r="P552" s="34"/>
      <c r="Q552" s="34"/>
      <c r="R552" s="40"/>
      <c r="S552" s="40"/>
      <c r="T552" s="34"/>
      <c r="U552" s="40"/>
      <c r="V552" s="34"/>
      <c r="W552" s="40"/>
      <c r="X552" s="34"/>
      <c r="Y552" s="34"/>
      <c r="Z552" s="40"/>
      <c r="AA552" s="40"/>
      <c r="AB552" s="34"/>
      <c r="AC552" s="34"/>
      <c r="AD552" s="40"/>
      <c r="AE552" s="40"/>
      <c r="AF552" s="40"/>
      <c r="AG552" s="40"/>
      <c r="AH552" s="34"/>
      <c r="AI552" s="34"/>
      <c r="AJ552" s="34"/>
      <c r="AK552" s="40"/>
      <c r="AL552" s="34"/>
      <c r="AM552" s="40"/>
      <c r="AN552" s="40"/>
      <c r="AO552" s="40"/>
      <c r="AP552" s="40"/>
      <c r="AQ552" s="40"/>
      <c r="AR552" s="40"/>
      <c r="AS552" s="40"/>
      <c r="AT552" s="40"/>
      <c r="AU552" s="40"/>
    </row>
    <row r="553" spans="1:47" ht="15.75" customHeight="1" x14ac:dyDescent="0.25">
      <c r="A553" s="34"/>
      <c r="B553" s="35"/>
      <c r="C553" s="36"/>
      <c r="D553" s="37"/>
      <c r="E553" s="38"/>
      <c r="F553" s="39"/>
      <c r="G553" s="17"/>
      <c r="H553" s="39"/>
      <c r="I553" s="34"/>
      <c r="J553" s="40"/>
      <c r="K553" s="34"/>
      <c r="L553" s="34"/>
      <c r="M553" s="40"/>
      <c r="N553" s="34"/>
      <c r="O553" s="40"/>
      <c r="P553" s="34"/>
      <c r="Q553" s="34"/>
      <c r="R553" s="40"/>
      <c r="S553" s="40"/>
      <c r="T553" s="34"/>
      <c r="U553" s="40"/>
      <c r="V553" s="34"/>
      <c r="W553" s="40"/>
      <c r="X553" s="34"/>
      <c r="Y553" s="34"/>
      <c r="Z553" s="40"/>
      <c r="AA553" s="40"/>
      <c r="AB553" s="34"/>
      <c r="AC553" s="34"/>
      <c r="AD553" s="40"/>
      <c r="AE553" s="40"/>
      <c r="AF553" s="40"/>
      <c r="AG553" s="40"/>
      <c r="AH553" s="34"/>
      <c r="AI553" s="34"/>
      <c r="AJ553" s="34"/>
      <c r="AK553" s="40"/>
      <c r="AL553" s="34"/>
      <c r="AM553" s="40"/>
      <c r="AN553" s="40"/>
      <c r="AO553" s="40"/>
      <c r="AP553" s="40"/>
      <c r="AQ553" s="40"/>
      <c r="AR553" s="40"/>
      <c r="AS553" s="40"/>
      <c r="AT553" s="40"/>
      <c r="AU553" s="40"/>
    </row>
    <row r="554" spans="1:47" ht="15.75" customHeight="1" x14ac:dyDescent="0.25">
      <c r="A554" s="34"/>
      <c r="B554" s="35"/>
      <c r="C554" s="36"/>
      <c r="D554" s="37"/>
      <c r="E554" s="38"/>
      <c r="F554" s="39"/>
      <c r="G554" s="17"/>
      <c r="H554" s="39"/>
      <c r="I554" s="34"/>
      <c r="J554" s="40"/>
      <c r="K554" s="34"/>
      <c r="L554" s="34"/>
      <c r="M554" s="40"/>
      <c r="N554" s="34"/>
      <c r="O554" s="40"/>
      <c r="P554" s="34"/>
      <c r="Q554" s="34"/>
      <c r="R554" s="40"/>
      <c r="S554" s="40"/>
      <c r="T554" s="34"/>
      <c r="U554" s="40"/>
      <c r="V554" s="34"/>
      <c r="W554" s="40"/>
      <c r="X554" s="34"/>
      <c r="Y554" s="34"/>
      <c r="Z554" s="40"/>
      <c r="AA554" s="40"/>
      <c r="AB554" s="34"/>
      <c r="AC554" s="34"/>
      <c r="AD554" s="40"/>
      <c r="AE554" s="40"/>
      <c r="AF554" s="40"/>
      <c r="AG554" s="40"/>
      <c r="AH554" s="34"/>
      <c r="AI554" s="34"/>
      <c r="AJ554" s="34"/>
      <c r="AK554" s="40"/>
      <c r="AL554" s="34"/>
      <c r="AM554" s="40"/>
      <c r="AN554" s="40"/>
      <c r="AO554" s="40"/>
      <c r="AP554" s="40"/>
      <c r="AQ554" s="40"/>
      <c r="AR554" s="40"/>
      <c r="AS554" s="40"/>
      <c r="AT554" s="40"/>
      <c r="AU554" s="40"/>
    </row>
    <row r="555" spans="1:47" ht="15.75" customHeight="1" x14ac:dyDescent="0.25">
      <c r="A555" s="34"/>
      <c r="B555" s="35"/>
      <c r="C555" s="36"/>
      <c r="D555" s="37"/>
      <c r="E555" s="38"/>
      <c r="F555" s="39"/>
      <c r="G555" s="17"/>
      <c r="H555" s="39"/>
      <c r="I555" s="34"/>
      <c r="J555" s="40"/>
      <c r="K555" s="34"/>
      <c r="L555" s="34"/>
      <c r="M555" s="40"/>
      <c r="N555" s="34"/>
      <c r="O555" s="40"/>
      <c r="P555" s="34"/>
      <c r="Q555" s="34"/>
      <c r="R555" s="40"/>
      <c r="S555" s="40"/>
      <c r="T555" s="34"/>
      <c r="U555" s="40"/>
      <c r="V555" s="34"/>
      <c r="W555" s="40"/>
      <c r="X555" s="34"/>
      <c r="Y555" s="34"/>
      <c r="Z555" s="40"/>
      <c r="AA555" s="40"/>
      <c r="AB555" s="34"/>
      <c r="AC555" s="34"/>
      <c r="AD555" s="40"/>
      <c r="AE555" s="40"/>
      <c r="AF555" s="40"/>
      <c r="AG555" s="40"/>
      <c r="AH555" s="34"/>
      <c r="AI555" s="34"/>
      <c r="AJ555" s="34"/>
      <c r="AK555" s="40"/>
      <c r="AL555" s="34"/>
      <c r="AM555" s="40"/>
      <c r="AN555" s="40"/>
      <c r="AO555" s="40"/>
      <c r="AP555" s="40"/>
      <c r="AQ555" s="40"/>
      <c r="AR555" s="40"/>
      <c r="AS555" s="40"/>
      <c r="AT555" s="40"/>
      <c r="AU555" s="40"/>
    </row>
    <row r="556" spans="1:47" ht="15.75" customHeight="1" x14ac:dyDescent="0.25">
      <c r="A556" s="34"/>
      <c r="B556" s="35"/>
      <c r="C556" s="36"/>
      <c r="D556" s="37"/>
      <c r="E556" s="38"/>
      <c r="F556" s="39"/>
      <c r="G556" s="17"/>
      <c r="H556" s="39"/>
      <c r="I556" s="34"/>
      <c r="J556" s="40"/>
      <c r="K556" s="34"/>
      <c r="L556" s="34"/>
      <c r="M556" s="40"/>
      <c r="N556" s="34"/>
      <c r="O556" s="40"/>
      <c r="P556" s="34"/>
      <c r="Q556" s="34"/>
      <c r="R556" s="40"/>
      <c r="S556" s="40"/>
      <c r="T556" s="34"/>
      <c r="U556" s="40"/>
      <c r="V556" s="34"/>
      <c r="W556" s="40"/>
      <c r="X556" s="34"/>
      <c r="Y556" s="34"/>
      <c r="Z556" s="40"/>
      <c r="AA556" s="40"/>
      <c r="AB556" s="34"/>
      <c r="AC556" s="34"/>
      <c r="AD556" s="40"/>
      <c r="AE556" s="40"/>
      <c r="AF556" s="40"/>
      <c r="AG556" s="40"/>
      <c r="AH556" s="34"/>
      <c r="AI556" s="34"/>
      <c r="AJ556" s="34"/>
      <c r="AK556" s="40"/>
      <c r="AL556" s="34"/>
      <c r="AM556" s="40"/>
      <c r="AN556" s="40"/>
      <c r="AO556" s="40"/>
      <c r="AP556" s="40"/>
      <c r="AQ556" s="40"/>
      <c r="AR556" s="40"/>
      <c r="AS556" s="40"/>
      <c r="AT556" s="40"/>
      <c r="AU556" s="40"/>
    </row>
    <row r="557" spans="1:47" ht="15.75" customHeight="1" x14ac:dyDescent="0.25">
      <c r="A557" s="34"/>
      <c r="B557" s="35"/>
      <c r="C557" s="36"/>
      <c r="D557" s="37"/>
      <c r="E557" s="38"/>
      <c r="F557" s="39"/>
      <c r="G557" s="17"/>
      <c r="H557" s="39"/>
      <c r="I557" s="34"/>
      <c r="J557" s="40"/>
      <c r="K557" s="34"/>
      <c r="L557" s="34"/>
      <c r="M557" s="40"/>
      <c r="N557" s="34"/>
      <c r="O557" s="40"/>
      <c r="P557" s="34"/>
      <c r="Q557" s="34"/>
      <c r="R557" s="40"/>
      <c r="S557" s="40"/>
      <c r="T557" s="34"/>
      <c r="U557" s="40"/>
      <c r="V557" s="34"/>
      <c r="W557" s="40"/>
      <c r="X557" s="34"/>
      <c r="Y557" s="34"/>
      <c r="Z557" s="40"/>
      <c r="AA557" s="40"/>
      <c r="AB557" s="34"/>
      <c r="AC557" s="34"/>
      <c r="AD557" s="40"/>
      <c r="AE557" s="40"/>
      <c r="AF557" s="40"/>
      <c r="AG557" s="40"/>
      <c r="AH557" s="34"/>
      <c r="AI557" s="34"/>
      <c r="AJ557" s="34"/>
      <c r="AK557" s="40"/>
      <c r="AL557" s="34"/>
      <c r="AM557" s="40"/>
      <c r="AN557" s="40"/>
      <c r="AO557" s="40"/>
      <c r="AP557" s="40"/>
      <c r="AQ557" s="40"/>
      <c r="AR557" s="40"/>
      <c r="AS557" s="40"/>
      <c r="AT557" s="40"/>
      <c r="AU557" s="40"/>
    </row>
    <row r="558" spans="1:47" ht="15.75" customHeight="1" x14ac:dyDescent="0.25">
      <c r="A558" s="34"/>
      <c r="B558" s="35"/>
      <c r="C558" s="36"/>
      <c r="D558" s="37"/>
      <c r="E558" s="38"/>
      <c r="F558" s="39"/>
      <c r="G558" s="17"/>
      <c r="H558" s="39"/>
      <c r="I558" s="34"/>
      <c r="J558" s="40"/>
      <c r="K558" s="34"/>
      <c r="L558" s="34"/>
      <c r="M558" s="40"/>
      <c r="N558" s="34"/>
      <c r="O558" s="40"/>
      <c r="P558" s="34"/>
      <c r="Q558" s="34"/>
      <c r="R558" s="40"/>
      <c r="S558" s="40"/>
      <c r="T558" s="34"/>
      <c r="U558" s="40"/>
      <c r="V558" s="34"/>
      <c r="W558" s="40"/>
      <c r="X558" s="34"/>
      <c r="Y558" s="34"/>
      <c r="Z558" s="40"/>
      <c r="AA558" s="40"/>
      <c r="AB558" s="34"/>
      <c r="AC558" s="34"/>
      <c r="AD558" s="40"/>
      <c r="AE558" s="40"/>
      <c r="AF558" s="40"/>
      <c r="AG558" s="40"/>
      <c r="AH558" s="34"/>
      <c r="AI558" s="34"/>
      <c r="AJ558" s="34"/>
      <c r="AK558" s="40"/>
      <c r="AL558" s="34"/>
      <c r="AM558" s="40"/>
      <c r="AN558" s="40"/>
      <c r="AO558" s="40"/>
      <c r="AP558" s="40"/>
      <c r="AQ558" s="40"/>
      <c r="AR558" s="40"/>
      <c r="AS558" s="40"/>
      <c r="AT558" s="40"/>
      <c r="AU558" s="40"/>
    </row>
    <row r="559" spans="1:47" ht="15.75" customHeight="1" x14ac:dyDescent="0.25">
      <c r="A559" s="34"/>
      <c r="B559" s="35"/>
      <c r="C559" s="36"/>
      <c r="D559" s="37"/>
      <c r="E559" s="38"/>
      <c r="F559" s="39"/>
      <c r="G559" s="17"/>
      <c r="H559" s="39"/>
      <c r="I559" s="34"/>
      <c r="J559" s="40"/>
      <c r="K559" s="34"/>
      <c r="L559" s="34"/>
      <c r="M559" s="40"/>
      <c r="N559" s="34"/>
      <c r="O559" s="40"/>
      <c r="P559" s="34"/>
      <c r="Q559" s="34"/>
      <c r="R559" s="40"/>
      <c r="S559" s="40"/>
      <c r="T559" s="34"/>
      <c r="U559" s="40"/>
      <c r="V559" s="34"/>
      <c r="W559" s="40"/>
      <c r="X559" s="34"/>
      <c r="Y559" s="34"/>
      <c r="Z559" s="40"/>
      <c r="AA559" s="40"/>
      <c r="AB559" s="34"/>
      <c r="AC559" s="34"/>
      <c r="AD559" s="40"/>
      <c r="AE559" s="40"/>
      <c r="AF559" s="40"/>
      <c r="AG559" s="40"/>
      <c r="AH559" s="34"/>
      <c r="AI559" s="34"/>
      <c r="AJ559" s="34"/>
      <c r="AK559" s="40"/>
      <c r="AL559" s="34"/>
      <c r="AM559" s="40"/>
      <c r="AN559" s="40"/>
      <c r="AO559" s="40"/>
      <c r="AP559" s="40"/>
      <c r="AQ559" s="40"/>
      <c r="AR559" s="40"/>
      <c r="AS559" s="40"/>
      <c r="AT559" s="40"/>
      <c r="AU559" s="40"/>
    </row>
    <row r="560" spans="1:47" ht="15.75" customHeight="1" x14ac:dyDescent="0.25">
      <c r="A560" s="34"/>
      <c r="B560" s="35"/>
      <c r="C560" s="36"/>
      <c r="D560" s="37"/>
      <c r="E560" s="38"/>
      <c r="F560" s="39"/>
      <c r="G560" s="17"/>
      <c r="H560" s="39"/>
      <c r="I560" s="34"/>
      <c r="J560" s="40"/>
      <c r="K560" s="34"/>
      <c r="L560" s="34"/>
      <c r="M560" s="40"/>
      <c r="N560" s="34"/>
      <c r="O560" s="40"/>
      <c r="P560" s="34"/>
      <c r="Q560" s="34"/>
      <c r="R560" s="40"/>
      <c r="S560" s="40"/>
      <c r="T560" s="34"/>
      <c r="U560" s="40"/>
      <c r="V560" s="34"/>
      <c r="W560" s="40"/>
      <c r="X560" s="34"/>
      <c r="Y560" s="34"/>
      <c r="Z560" s="40"/>
      <c r="AA560" s="40"/>
      <c r="AB560" s="34"/>
      <c r="AC560" s="34"/>
      <c r="AD560" s="40"/>
      <c r="AE560" s="40"/>
      <c r="AF560" s="40"/>
      <c r="AG560" s="40"/>
      <c r="AH560" s="34"/>
      <c r="AI560" s="34"/>
      <c r="AJ560" s="34"/>
      <c r="AK560" s="40"/>
      <c r="AL560" s="34"/>
      <c r="AM560" s="40"/>
      <c r="AN560" s="40"/>
      <c r="AO560" s="40"/>
      <c r="AP560" s="40"/>
      <c r="AQ560" s="40"/>
      <c r="AR560" s="40"/>
      <c r="AS560" s="40"/>
      <c r="AT560" s="40"/>
      <c r="AU560" s="40"/>
    </row>
    <row r="561" spans="1:47" ht="15.75" customHeight="1" x14ac:dyDescent="0.25">
      <c r="A561" s="34"/>
      <c r="B561" s="35"/>
      <c r="C561" s="36"/>
      <c r="D561" s="37"/>
      <c r="E561" s="38"/>
      <c r="F561" s="39"/>
      <c r="G561" s="17"/>
      <c r="H561" s="39"/>
      <c r="I561" s="34"/>
      <c r="J561" s="40"/>
      <c r="K561" s="34"/>
      <c r="L561" s="34"/>
      <c r="M561" s="40"/>
      <c r="N561" s="34"/>
      <c r="O561" s="40"/>
      <c r="P561" s="34"/>
      <c r="Q561" s="34"/>
      <c r="R561" s="40"/>
      <c r="S561" s="40"/>
      <c r="T561" s="34"/>
      <c r="U561" s="40"/>
      <c r="V561" s="34"/>
      <c r="W561" s="40"/>
      <c r="X561" s="34"/>
      <c r="Y561" s="34"/>
      <c r="Z561" s="40"/>
      <c r="AA561" s="40"/>
      <c r="AB561" s="34"/>
      <c r="AC561" s="34"/>
      <c r="AD561" s="40"/>
      <c r="AE561" s="40"/>
      <c r="AF561" s="40"/>
      <c r="AG561" s="40"/>
      <c r="AH561" s="34"/>
      <c r="AI561" s="34"/>
      <c r="AJ561" s="34"/>
      <c r="AK561" s="40"/>
      <c r="AL561" s="34"/>
      <c r="AM561" s="40"/>
      <c r="AN561" s="40"/>
      <c r="AO561" s="40"/>
      <c r="AP561" s="40"/>
      <c r="AQ561" s="40"/>
      <c r="AR561" s="40"/>
      <c r="AS561" s="40"/>
      <c r="AT561" s="40"/>
      <c r="AU561" s="40"/>
    </row>
    <row r="562" spans="1:47" ht="15.75" customHeight="1" x14ac:dyDescent="0.25">
      <c r="A562" s="34"/>
      <c r="B562" s="35"/>
      <c r="C562" s="36"/>
      <c r="D562" s="37"/>
      <c r="E562" s="38"/>
      <c r="F562" s="39"/>
      <c r="G562" s="17"/>
      <c r="H562" s="39"/>
      <c r="I562" s="34"/>
      <c r="J562" s="40"/>
      <c r="K562" s="34"/>
      <c r="L562" s="34"/>
      <c r="M562" s="40"/>
      <c r="N562" s="34"/>
      <c r="O562" s="40"/>
      <c r="P562" s="34"/>
      <c r="Q562" s="34"/>
      <c r="R562" s="40"/>
      <c r="S562" s="40"/>
      <c r="T562" s="34"/>
      <c r="U562" s="40"/>
      <c r="V562" s="34"/>
      <c r="W562" s="40"/>
      <c r="X562" s="34"/>
      <c r="Y562" s="34"/>
      <c r="Z562" s="40"/>
      <c r="AA562" s="40"/>
      <c r="AB562" s="34"/>
      <c r="AC562" s="34"/>
      <c r="AD562" s="40"/>
      <c r="AE562" s="40"/>
      <c r="AF562" s="40"/>
      <c r="AG562" s="40"/>
      <c r="AH562" s="34"/>
      <c r="AI562" s="34"/>
      <c r="AJ562" s="34"/>
      <c r="AK562" s="40"/>
      <c r="AL562" s="34"/>
      <c r="AM562" s="40"/>
      <c r="AN562" s="40"/>
      <c r="AO562" s="40"/>
      <c r="AP562" s="40"/>
      <c r="AQ562" s="40"/>
      <c r="AR562" s="40"/>
      <c r="AS562" s="40"/>
      <c r="AT562" s="40"/>
      <c r="AU562" s="40"/>
    </row>
    <row r="563" spans="1:47" ht="15.75" customHeight="1" x14ac:dyDescent="0.25">
      <c r="A563" s="34"/>
      <c r="B563" s="35"/>
      <c r="C563" s="36"/>
      <c r="D563" s="37"/>
      <c r="E563" s="38"/>
      <c r="F563" s="39"/>
      <c r="G563" s="17"/>
      <c r="H563" s="39"/>
      <c r="I563" s="34"/>
      <c r="J563" s="40"/>
      <c r="K563" s="34"/>
      <c r="L563" s="34"/>
      <c r="M563" s="40"/>
      <c r="N563" s="34"/>
      <c r="O563" s="40"/>
      <c r="P563" s="34"/>
      <c r="Q563" s="34"/>
      <c r="R563" s="40"/>
      <c r="S563" s="40"/>
      <c r="T563" s="34"/>
      <c r="U563" s="40"/>
      <c r="V563" s="34"/>
      <c r="W563" s="40"/>
      <c r="X563" s="34"/>
      <c r="Y563" s="34"/>
      <c r="Z563" s="40"/>
      <c r="AA563" s="40"/>
      <c r="AB563" s="34"/>
      <c r="AC563" s="34"/>
      <c r="AD563" s="40"/>
      <c r="AE563" s="40"/>
      <c r="AF563" s="40"/>
      <c r="AG563" s="40"/>
      <c r="AH563" s="34"/>
      <c r="AI563" s="34"/>
      <c r="AJ563" s="34"/>
      <c r="AK563" s="40"/>
      <c r="AL563" s="34"/>
      <c r="AM563" s="40"/>
      <c r="AN563" s="40"/>
      <c r="AO563" s="40"/>
      <c r="AP563" s="40"/>
      <c r="AQ563" s="40"/>
      <c r="AR563" s="40"/>
      <c r="AS563" s="40"/>
      <c r="AT563" s="40"/>
      <c r="AU563" s="40"/>
    </row>
    <row r="564" spans="1:47" ht="15.75" customHeight="1" x14ac:dyDescent="0.25">
      <c r="A564" s="34"/>
      <c r="B564" s="35"/>
      <c r="C564" s="36"/>
      <c r="D564" s="37"/>
      <c r="E564" s="38"/>
      <c r="F564" s="39"/>
      <c r="G564" s="17"/>
      <c r="H564" s="39"/>
      <c r="I564" s="34"/>
      <c r="J564" s="40"/>
      <c r="K564" s="34"/>
      <c r="L564" s="34"/>
      <c r="M564" s="40"/>
      <c r="N564" s="34"/>
      <c r="O564" s="40"/>
      <c r="P564" s="34"/>
      <c r="Q564" s="34"/>
      <c r="R564" s="40"/>
      <c r="S564" s="40"/>
      <c r="T564" s="34"/>
      <c r="U564" s="40"/>
      <c r="V564" s="34"/>
      <c r="W564" s="40"/>
      <c r="X564" s="34"/>
      <c r="Y564" s="34"/>
      <c r="Z564" s="40"/>
      <c r="AA564" s="40"/>
      <c r="AB564" s="34"/>
      <c r="AC564" s="34"/>
      <c r="AD564" s="40"/>
      <c r="AE564" s="40"/>
      <c r="AF564" s="40"/>
      <c r="AG564" s="40"/>
      <c r="AH564" s="34"/>
      <c r="AI564" s="34"/>
      <c r="AJ564" s="34"/>
      <c r="AK564" s="40"/>
      <c r="AL564" s="34"/>
      <c r="AM564" s="40"/>
      <c r="AN564" s="40"/>
      <c r="AO564" s="40"/>
      <c r="AP564" s="40"/>
      <c r="AQ564" s="40"/>
      <c r="AR564" s="40"/>
      <c r="AS564" s="40"/>
      <c r="AT564" s="40"/>
      <c r="AU564" s="40"/>
    </row>
    <row r="565" spans="1:47" ht="15.75" customHeight="1" x14ac:dyDescent="0.25">
      <c r="A565" s="34"/>
      <c r="B565" s="35"/>
      <c r="C565" s="36"/>
      <c r="D565" s="37"/>
      <c r="E565" s="38"/>
      <c r="F565" s="39"/>
      <c r="G565" s="17"/>
      <c r="H565" s="39"/>
      <c r="I565" s="34"/>
      <c r="J565" s="40"/>
      <c r="K565" s="34"/>
      <c r="L565" s="34"/>
      <c r="M565" s="40"/>
      <c r="N565" s="34"/>
      <c r="O565" s="40"/>
      <c r="P565" s="34"/>
      <c r="Q565" s="34"/>
      <c r="R565" s="40"/>
      <c r="S565" s="40"/>
      <c r="T565" s="34"/>
      <c r="U565" s="40"/>
      <c r="V565" s="34"/>
      <c r="W565" s="40"/>
      <c r="X565" s="34"/>
      <c r="Y565" s="34"/>
      <c r="Z565" s="40"/>
      <c r="AA565" s="40"/>
      <c r="AB565" s="34"/>
      <c r="AC565" s="34"/>
      <c r="AD565" s="40"/>
      <c r="AE565" s="40"/>
      <c r="AF565" s="40"/>
      <c r="AG565" s="40"/>
      <c r="AH565" s="34"/>
      <c r="AI565" s="34"/>
      <c r="AJ565" s="34"/>
      <c r="AK565" s="40"/>
      <c r="AL565" s="34"/>
      <c r="AM565" s="40"/>
      <c r="AN565" s="40"/>
      <c r="AO565" s="40"/>
      <c r="AP565" s="40"/>
      <c r="AQ565" s="40"/>
      <c r="AR565" s="40"/>
      <c r="AS565" s="40"/>
      <c r="AT565" s="40"/>
      <c r="AU565" s="40"/>
    </row>
    <row r="566" spans="1:47" ht="15.75" customHeight="1" x14ac:dyDescent="0.25">
      <c r="A566" s="34"/>
      <c r="B566" s="35"/>
      <c r="C566" s="36"/>
      <c r="D566" s="37"/>
      <c r="E566" s="38"/>
      <c r="F566" s="39"/>
      <c r="G566" s="17"/>
      <c r="H566" s="39"/>
      <c r="I566" s="34"/>
      <c r="J566" s="40"/>
      <c r="K566" s="34"/>
      <c r="L566" s="34"/>
      <c r="M566" s="40"/>
      <c r="N566" s="34"/>
      <c r="O566" s="40"/>
      <c r="P566" s="34"/>
      <c r="Q566" s="34"/>
      <c r="R566" s="40"/>
      <c r="S566" s="40"/>
      <c r="T566" s="34"/>
      <c r="U566" s="40"/>
      <c r="V566" s="34"/>
      <c r="W566" s="40"/>
      <c r="X566" s="34"/>
      <c r="Y566" s="34"/>
      <c r="Z566" s="40"/>
      <c r="AA566" s="40"/>
      <c r="AB566" s="34"/>
      <c r="AC566" s="34"/>
      <c r="AD566" s="40"/>
      <c r="AE566" s="40"/>
      <c r="AF566" s="40"/>
      <c r="AG566" s="40"/>
      <c r="AH566" s="34"/>
      <c r="AI566" s="34"/>
      <c r="AJ566" s="34"/>
      <c r="AK566" s="40"/>
      <c r="AL566" s="34"/>
      <c r="AM566" s="40"/>
      <c r="AN566" s="40"/>
      <c r="AO566" s="40"/>
      <c r="AP566" s="40"/>
      <c r="AQ566" s="40"/>
      <c r="AR566" s="40"/>
      <c r="AS566" s="40"/>
      <c r="AT566" s="40"/>
      <c r="AU566" s="40"/>
    </row>
    <row r="567" spans="1:47" ht="15.75" customHeight="1" x14ac:dyDescent="0.25">
      <c r="A567" s="34"/>
      <c r="B567" s="35"/>
      <c r="C567" s="36"/>
      <c r="D567" s="37"/>
      <c r="E567" s="38"/>
      <c r="F567" s="39"/>
      <c r="G567" s="17"/>
      <c r="H567" s="39"/>
      <c r="I567" s="34"/>
      <c r="J567" s="40"/>
      <c r="K567" s="34"/>
      <c r="L567" s="34"/>
      <c r="M567" s="40"/>
      <c r="N567" s="34"/>
      <c r="O567" s="40"/>
      <c r="P567" s="34"/>
      <c r="Q567" s="34"/>
      <c r="R567" s="40"/>
      <c r="S567" s="40"/>
      <c r="T567" s="34"/>
      <c r="U567" s="40"/>
      <c r="V567" s="34"/>
      <c r="W567" s="40"/>
      <c r="X567" s="34"/>
      <c r="Y567" s="34"/>
      <c r="Z567" s="40"/>
      <c r="AA567" s="40"/>
      <c r="AB567" s="34"/>
      <c r="AC567" s="34"/>
      <c r="AD567" s="40"/>
      <c r="AE567" s="40"/>
      <c r="AF567" s="40"/>
      <c r="AG567" s="40"/>
      <c r="AH567" s="34"/>
      <c r="AI567" s="34"/>
      <c r="AJ567" s="34"/>
      <c r="AK567" s="40"/>
      <c r="AL567" s="34"/>
      <c r="AM567" s="40"/>
      <c r="AN567" s="40"/>
      <c r="AO567" s="40"/>
      <c r="AP567" s="40"/>
      <c r="AQ567" s="40"/>
      <c r="AR567" s="40"/>
      <c r="AS567" s="40"/>
      <c r="AT567" s="40"/>
      <c r="AU567" s="40"/>
    </row>
    <row r="568" spans="1:47" ht="15.75" customHeight="1" x14ac:dyDescent="0.25">
      <c r="A568" s="34"/>
      <c r="B568" s="35"/>
      <c r="C568" s="36"/>
      <c r="D568" s="37"/>
      <c r="E568" s="38"/>
      <c r="F568" s="39"/>
      <c r="G568" s="17"/>
      <c r="H568" s="39"/>
      <c r="I568" s="34"/>
      <c r="J568" s="40"/>
      <c r="K568" s="34"/>
      <c r="L568" s="34"/>
      <c r="M568" s="40"/>
      <c r="N568" s="34"/>
      <c r="O568" s="40"/>
      <c r="P568" s="34"/>
      <c r="Q568" s="34"/>
      <c r="R568" s="40"/>
      <c r="S568" s="40"/>
      <c r="T568" s="34"/>
      <c r="U568" s="40"/>
      <c r="V568" s="34"/>
      <c r="W568" s="40"/>
      <c r="X568" s="34"/>
      <c r="Y568" s="34"/>
      <c r="Z568" s="40"/>
      <c r="AA568" s="40"/>
      <c r="AB568" s="34"/>
      <c r="AC568" s="34"/>
      <c r="AD568" s="40"/>
      <c r="AE568" s="40"/>
      <c r="AF568" s="40"/>
      <c r="AG568" s="40"/>
      <c r="AH568" s="34"/>
      <c r="AI568" s="34"/>
      <c r="AJ568" s="34"/>
      <c r="AK568" s="40"/>
      <c r="AL568" s="34"/>
      <c r="AM568" s="40"/>
      <c r="AN568" s="40"/>
      <c r="AO568" s="40"/>
      <c r="AP568" s="40"/>
      <c r="AQ568" s="40"/>
      <c r="AR568" s="40"/>
      <c r="AS568" s="40"/>
      <c r="AT568" s="40"/>
      <c r="AU568" s="40"/>
    </row>
    <row r="569" spans="1:47" ht="15.75" customHeight="1" x14ac:dyDescent="0.25">
      <c r="A569" s="34"/>
      <c r="B569" s="35"/>
      <c r="C569" s="36"/>
      <c r="D569" s="37"/>
      <c r="E569" s="38"/>
      <c r="F569" s="39"/>
      <c r="G569" s="17"/>
      <c r="H569" s="39"/>
      <c r="I569" s="34"/>
      <c r="J569" s="40"/>
      <c r="K569" s="34"/>
      <c r="L569" s="34"/>
      <c r="M569" s="40"/>
      <c r="N569" s="34"/>
      <c r="O569" s="40"/>
      <c r="P569" s="34"/>
      <c r="Q569" s="34"/>
      <c r="R569" s="40"/>
      <c r="S569" s="40"/>
      <c r="T569" s="34"/>
      <c r="U569" s="40"/>
      <c r="V569" s="34"/>
      <c r="W569" s="40"/>
      <c r="X569" s="34"/>
      <c r="Y569" s="34"/>
      <c r="Z569" s="40"/>
      <c r="AA569" s="40"/>
      <c r="AB569" s="34"/>
      <c r="AC569" s="34"/>
      <c r="AD569" s="40"/>
      <c r="AE569" s="40"/>
      <c r="AF569" s="40"/>
      <c r="AG569" s="40"/>
      <c r="AH569" s="34"/>
      <c r="AI569" s="34"/>
      <c r="AJ569" s="34"/>
      <c r="AK569" s="40"/>
      <c r="AL569" s="34"/>
      <c r="AM569" s="40"/>
      <c r="AN569" s="40"/>
      <c r="AO569" s="40"/>
      <c r="AP569" s="40"/>
      <c r="AQ569" s="40"/>
      <c r="AR569" s="40"/>
      <c r="AS569" s="40"/>
      <c r="AT569" s="40"/>
      <c r="AU569" s="40"/>
    </row>
    <row r="570" spans="1:47" ht="15.75" customHeight="1" x14ac:dyDescent="0.25">
      <c r="A570" s="34"/>
      <c r="B570" s="35"/>
      <c r="C570" s="36"/>
      <c r="D570" s="37"/>
      <c r="E570" s="38"/>
      <c r="F570" s="39"/>
      <c r="G570" s="17"/>
      <c r="H570" s="39"/>
      <c r="I570" s="34"/>
      <c r="J570" s="40"/>
      <c r="K570" s="34"/>
      <c r="L570" s="34"/>
      <c r="M570" s="40"/>
      <c r="N570" s="34"/>
      <c r="O570" s="40"/>
      <c r="P570" s="34"/>
      <c r="Q570" s="34"/>
      <c r="R570" s="40"/>
      <c r="S570" s="40"/>
      <c r="T570" s="34"/>
      <c r="U570" s="40"/>
      <c r="V570" s="34"/>
      <c r="W570" s="40"/>
      <c r="X570" s="34"/>
      <c r="Y570" s="34"/>
      <c r="Z570" s="40"/>
      <c r="AA570" s="40"/>
      <c r="AB570" s="34"/>
      <c r="AC570" s="34"/>
      <c r="AD570" s="40"/>
      <c r="AE570" s="40"/>
      <c r="AF570" s="40"/>
      <c r="AG570" s="40"/>
      <c r="AH570" s="34"/>
      <c r="AI570" s="34"/>
      <c r="AJ570" s="34"/>
      <c r="AK570" s="40"/>
      <c r="AL570" s="34"/>
      <c r="AM570" s="40"/>
      <c r="AN570" s="40"/>
      <c r="AO570" s="40"/>
      <c r="AP570" s="40"/>
      <c r="AQ570" s="40"/>
      <c r="AR570" s="40"/>
      <c r="AS570" s="40"/>
      <c r="AT570" s="40"/>
      <c r="AU570" s="40"/>
    </row>
    <row r="571" spans="1:47" ht="15.75" customHeight="1" x14ac:dyDescent="0.25">
      <c r="A571" s="34"/>
      <c r="B571" s="35"/>
      <c r="C571" s="36"/>
      <c r="D571" s="37"/>
      <c r="E571" s="38"/>
      <c r="F571" s="39"/>
      <c r="G571" s="17"/>
      <c r="H571" s="39"/>
      <c r="I571" s="34"/>
      <c r="J571" s="40"/>
      <c r="K571" s="34"/>
      <c r="L571" s="34"/>
      <c r="M571" s="40"/>
      <c r="N571" s="34"/>
      <c r="O571" s="40"/>
      <c r="P571" s="34"/>
      <c r="Q571" s="34"/>
      <c r="R571" s="40"/>
      <c r="S571" s="40"/>
      <c r="T571" s="34"/>
      <c r="U571" s="40"/>
      <c r="V571" s="34"/>
      <c r="W571" s="40"/>
      <c r="X571" s="34"/>
      <c r="Y571" s="34"/>
      <c r="Z571" s="40"/>
      <c r="AA571" s="40"/>
      <c r="AB571" s="34"/>
      <c r="AC571" s="34"/>
      <c r="AD571" s="40"/>
      <c r="AE571" s="40"/>
      <c r="AF571" s="40"/>
      <c r="AG571" s="40"/>
      <c r="AH571" s="34"/>
      <c r="AI571" s="34"/>
      <c r="AJ571" s="34"/>
      <c r="AK571" s="40"/>
      <c r="AL571" s="34"/>
      <c r="AM571" s="40"/>
      <c r="AN571" s="40"/>
      <c r="AO571" s="40"/>
      <c r="AP571" s="40"/>
      <c r="AQ571" s="40"/>
      <c r="AR571" s="40"/>
      <c r="AS571" s="40"/>
      <c r="AT571" s="40"/>
      <c r="AU571" s="40"/>
    </row>
    <row r="572" spans="1:47" ht="15.75" customHeight="1" x14ac:dyDescent="0.25">
      <c r="A572" s="34"/>
      <c r="B572" s="35"/>
      <c r="C572" s="36"/>
      <c r="D572" s="37"/>
      <c r="E572" s="38"/>
      <c r="F572" s="39"/>
      <c r="G572" s="17"/>
      <c r="H572" s="39"/>
      <c r="I572" s="34"/>
      <c r="J572" s="40"/>
      <c r="K572" s="34"/>
      <c r="L572" s="34"/>
      <c r="M572" s="40"/>
      <c r="N572" s="34"/>
      <c r="O572" s="40"/>
      <c r="P572" s="34"/>
      <c r="Q572" s="34"/>
      <c r="R572" s="40"/>
      <c r="S572" s="40"/>
      <c r="T572" s="34"/>
      <c r="U572" s="40"/>
      <c r="V572" s="34"/>
      <c r="W572" s="40"/>
      <c r="X572" s="34"/>
      <c r="Y572" s="34"/>
      <c r="Z572" s="40"/>
      <c r="AA572" s="40"/>
      <c r="AB572" s="34"/>
      <c r="AC572" s="34"/>
      <c r="AD572" s="40"/>
      <c r="AE572" s="40"/>
      <c r="AF572" s="40"/>
      <c r="AG572" s="40"/>
      <c r="AH572" s="34"/>
      <c r="AI572" s="34"/>
      <c r="AJ572" s="34"/>
      <c r="AK572" s="40"/>
      <c r="AL572" s="34"/>
      <c r="AM572" s="40"/>
      <c r="AN572" s="40"/>
      <c r="AO572" s="40"/>
      <c r="AP572" s="40"/>
      <c r="AQ572" s="40"/>
      <c r="AR572" s="40"/>
      <c r="AS572" s="40"/>
      <c r="AT572" s="40"/>
      <c r="AU572" s="40"/>
    </row>
    <row r="573" spans="1:47" ht="15.75" customHeight="1" x14ac:dyDescent="0.25">
      <c r="A573" s="34"/>
      <c r="B573" s="35"/>
      <c r="C573" s="36"/>
      <c r="D573" s="37"/>
      <c r="E573" s="38"/>
      <c r="F573" s="39"/>
      <c r="G573" s="17"/>
      <c r="H573" s="39"/>
      <c r="I573" s="34"/>
      <c r="J573" s="40"/>
      <c r="K573" s="34"/>
      <c r="L573" s="34"/>
      <c r="M573" s="40"/>
      <c r="N573" s="34"/>
      <c r="O573" s="40"/>
      <c r="P573" s="34"/>
      <c r="Q573" s="34"/>
      <c r="R573" s="40"/>
      <c r="S573" s="40"/>
      <c r="T573" s="34"/>
      <c r="U573" s="40"/>
      <c r="V573" s="34"/>
      <c r="W573" s="40"/>
      <c r="X573" s="34"/>
      <c r="Y573" s="34"/>
      <c r="Z573" s="40"/>
      <c r="AA573" s="40"/>
      <c r="AB573" s="34"/>
      <c r="AC573" s="34"/>
      <c r="AD573" s="40"/>
      <c r="AE573" s="40"/>
      <c r="AF573" s="40"/>
      <c r="AG573" s="40"/>
      <c r="AH573" s="34"/>
      <c r="AI573" s="34"/>
      <c r="AJ573" s="34"/>
      <c r="AK573" s="40"/>
      <c r="AL573" s="34"/>
      <c r="AM573" s="40"/>
      <c r="AN573" s="40"/>
      <c r="AO573" s="40"/>
      <c r="AP573" s="40"/>
      <c r="AQ573" s="40"/>
      <c r="AR573" s="40"/>
      <c r="AS573" s="40"/>
      <c r="AT573" s="40"/>
      <c r="AU573" s="40"/>
    </row>
    <row r="574" spans="1:47" ht="15.75" customHeight="1" x14ac:dyDescent="0.25">
      <c r="A574" s="34"/>
      <c r="B574" s="35"/>
      <c r="C574" s="36"/>
      <c r="D574" s="37"/>
      <c r="E574" s="38"/>
      <c r="F574" s="39"/>
      <c r="G574" s="17"/>
      <c r="H574" s="39"/>
      <c r="I574" s="34"/>
      <c r="J574" s="40"/>
      <c r="K574" s="34"/>
      <c r="L574" s="34"/>
      <c r="M574" s="40"/>
      <c r="N574" s="34"/>
      <c r="O574" s="40"/>
      <c r="P574" s="34"/>
      <c r="Q574" s="34"/>
      <c r="R574" s="40"/>
      <c r="S574" s="40"/>
      <c r="T574" s="34"/>
      <c r="U574" s="40"/>
      <c r="V574" s="34"/>
      <c r="W574" s="40"/>
      <c r="X574" s="34"/>
      <c r="Y574" s="34"/>
      <c r="Z574" s="40"/>
      <c r="AA574" s="40"/>
      <c r="AB574" s="34"/>
      <c r="AC574" s="34"/>
      <c r="AD574" s="40"/>
      <c r="AE574" s="40"/>
      <c r="AF574" s="40"/>
      <c r="AG574" s="40"/>
      <c r="AH574" s="34"/>
      <c r="AI574" s="34"/>
      <c r="AJ574" s="34"/>
      <c r="AK574" s="40"/>
      <c r="AL574" s="34"/>
      <c r="AM574" s="40"/>
      <c r="AN574" s="40"/>
      <c r="AO574" s="40"/>
      <c r="AP574" s="40"/>
      <c r="AQ574" s="40"/>
      <c r="AR574" s="40"/>
      <c r="AS574" s="40"/>
      <c r="AT574" s="40"/>
      <c r="AU574" s="40"/>
    </row>
    <row r="575" spans="1:47" ht="15.75" customHeight="1" x14ac:dyDescent="0.25">
      <c r="A575" s="34"/>
      <c r="B575" s="35"/>
      <c r="C575" s="36"/>
      <c r="D575" s="37"/>
      <c r="E575" s="38"/>
      <c r="F575" s="39"/>
      <c r="G575" s="17"/>
      <c r="H575" s="39"/>
      <c r="I575" s="34"/>
      <c r="J575" s="40"/>
      <c r="K575" s="34"/>
      <c r="L575" s="34"/>
      <c r="M575" s="40"/>
      <c r="N575" s="34"/>
      <c r="O575" s="40"/>
      <c r="P575" s="34"/>
      <c r="Q575" s="34"/>
      <c r="R575" s="40"/>
      <c r="S575" s="40"/>
      <c r="T575" s="34"/>
      <c r="U575" s="40"/>
      <c r="V575" s="34"/>
      <c r="W575" s="40"/>
      <c r="X575" s="34"/>
      <c r="Y575" s="34"/>
      <c r="Z575" s="40"/>
      <c r="AA575" s="40"/>
      <c r="AB575" s="34"/>
      <c r="AC575" s="34"/>
      <c r="AD575" s="40"/>
      <c r="AE575" s="40"/>
      <c r="AF575" s="40"/>
      <c r="AG575" s="40"/>
      <c r="AH575" s="34"/>
      <c r="AI575" s="34"/>
      <c r="AJ575" s="34"/>
      <c r="AK575" s="40"/>
      <c r="AL575" s="34"/>
      <c r="AM575" s="40"/>
      <c r="AN575" s="40"/>
      <c r="AO575" s="40"/>
      <c r="AP575" s="40"/>
      <c r="AQ575" s="40"/>
      <c r="AR575" s="40"/>
      <c r="AS575" s="40"/>
      <c r="AT575" s="40"/>
      <c r="AU575" s="40"/>
    </row>
    <row r="576" spans="1:47" ht="15.75" customHeight="1" x14ac:dyDescent="0.25">
      <c r="A576" s="34"/>
      <c r="B576" s="35"/>
      <c r="C576" s="36"/>
      <c r="D576" s="37"/>
      <c r="E576" s="38"/>
      <c r="F576" s="39"/>
      <c r="G576" s="17"/>
      <c r="H576" s="39"/>
      <c r="I576" s="34"/>
      <c r="J576" s="40"/>
      <c r="K576" s="34"/>
      <c r="L576" s="34"/>
      <c r="M576" s="40"/>
      <c r="N576" s="34"/>
      <c r="O576" s="40"/>
      <c r="P576" s="34"/>
      <c r="Q576" s="34"/>
      <c r="R576" s="40"/>
      <c r="S576" s="40"/>
      <c r="T576" s="34"/>
      <c r="U576" s="40"/>
      <c r="V576" s="34"/>
      <c r="W576" s="40"/>
      <c r="X576" s="34"/>
      <c r="Y576" s="34"/>
      <c r="Z576" s="40"/>
      <c r="AA576" s="40"/>
      <c r="AB576" s="34"/>
      <c r="AC576" s="34"/>
      <c r="AD576" s="40"/>
      <c r="AE576" s="40"/>
      <c r="AF576" s="40"/>
      <c r="AG576" s="40"/>
      <c r="AH576" s="34"/>
      <c r="AI576" s="34"/>
      <c r="AJ576" s="34"/>
      <c r="AK576" s="40"/>
      <c r="AL576" s="34"/>
      <c r="AM576" s="40"/>
      <c r="AN576" s="40"/>
      <c r="AO576" s="40"/>
      <c r="AP576" s="40"/>
      <c r="AQ576" s="40"/>
      <c r="AR576" s="40"/>
      <c r="AS576" s="40"/>
      <c r="AT576" s="40"/>
      <c r="AU576" s="40"/>
    </row>
    <row r="577" spans="1:47" ht="15.75" customHeight="1" x14ac:dyDescent="0.25">
      <c r="A577" s="34"/>
      <c r="B577" s="35"/>
      <c r="C577" s="36"/>
      <c r="D577" s="37"/>
      <c r="E577" s="38"/>
      <c r="F577" s="39"/>
      <c r="G577" s="17"/>
      <c r="H577" s="39"/>
      <c r="I577" s="34"/>
      <c r="J577" s="40"/>
      <c r="K577" s="34"/>
      <c r="L577" s="34"/>
      <c r="M577" s="40"/>
      <c r="N577" s="34"/>
      <c r="O577" s="40"/>
      <c r="P577" s="34"/>
      <c r="Q577" s="34"/>
      <c r="R577" s="40"/>
      <c r="S577" s="40"/>
      <c r="T577" s="34"/>
      <c r="U577" s="40"/>
      <c r="V577" s="34"/>
      <c r="W577" s="40"/>
      <c r="X577" s="34"/>
      <c r="Y577" s="34"/>
      <c r="Z577" s="40"/>
      <c r="AA577" s="40"/>
      <c r="AB577" s="34"/>
      <c r="AC577" s="34"/>
      <c r="AD577" s="40"/>
      <c r="AE577" s="40"/>
      <c r="AF577" s="40"/>
      <c r="AG577" s="40"/>
      <c r="AH577" s="34"/>
      <c r="AI577" s="34"/>
      <c r="AJ577" s="34"/>
      <c r="AK577" s="40"/>
      <c r="AL577" s="34"/>
      <c r="AM577" s="40"/>
      <c r="AN577" s="40"/>
      <c r="AO577" s="40"/>
      <c r="AP577" s="40"/>
      <c r="AQ577" s="40"/>
      <c r="AR577" s="40"/>
      <c r="AS577" s="40"/>
      <c r="AT577" s="40"/>
      <c r="AU577" s="40"/>
    </row>
    <row r="578" spans="1:47" ht="15.75" customHeight="1" x14ac:dyDescent="0.25">
      <c r="A578" s="34"/>
      <c r="B578" s="35"/>
      <c r="C578" s="36"/>
      <c r="D578" s="37"/>
      <c r="E578" s="38"/>
      <c r="F578" s="39"/>
      <c r="G578" s="17"/>
      <c r="H578" s="39"/>
      <c r="I578" s="34"/>
      <c r="J578" s="40"/>
      <c r="K578" s="34"/>
      <c r="L578" s="34"/>
      <c r="M578" s="40"/>
      <c r="N578" s="34"/>
      <c r="O578" s="40"/>
      <c r="P578" s="34"/>
      <c r="Q578" s="34"/>
      <c r="R578" s="40"/>
      <c r="S578" s="40"/>
      <c r="T578" s="34"/>
      <c r="U578" s="40"/>
      <c r="V578" s="34"/>
      <c r="W578" s="40"/>
      <c r="X578" s="34"/>
      <c r="Y578" s="34"/>
      <c r="Z578" s="40"/>
      <c r="AA578" s="40"/>
      <c r="AB578" s="34"/>
      <c r="AC578" s="34"/>
      <c r="AD578" s="40"/>
      <c r="AE578" s="40"/>
      <c r="AF578" s="40"/>
      <c r="AG578" s="40"/>
      <c r="AH578" s="34"/>
      <c r="AI578" s="34"/>
      <c r="AJ578" s="34"/>
      <c r="AK578" s="40"/>
      <c r="AL578" s="34"/>
      <c r="AM578" s="40"/>
      <c r="AN578" s="40"/>
      <c r="AO578" s="40"/>
      <c r="AP578" s="40"/>
      <c r="AQ578" s="40"/>
      <c r="AR578" s="40"/>
      <c r="AS578" s="40"/>
      <c r="AT578" s="40"/>
      <c r="AU578" s="40"/>
    </row>
    <row r="579" spans="1:47" ht="15.75" customHeight="1" x14ac:dyDescent="0.25">
      <c r="A579" s="34"/>
      <c r="B579" s="35"/>
      <c r="C579" s="36"/>
      <c r="D579" s="37"/>
      <c r="E579" s="38"/>
      <c r="F579" s="39"/>
      <c r="G579" s="17"/>
      <c r="H579" s="39"/>
      <c r="I579" s="34"/>
      <c r="J579" s="40"/>
      <c r="K579" s="34"/>
      <c r="L579" s="34"/>
      <c r="M579" s="40"/>
      <c r="N579" s="34"/>
      <c r="O579" s="40"/>
      <c r="P579" s="34"/>
      <c r="Q579" s="34"/>
      <c r="R579" s="40"/>
      <c r="S579" s="40"/>
      <c r="T579" s="34"/>
      <c r="U579" s="40"/>
      <c r="V579" s="34"/>
      <c r="W579" s="40"/>
      <c r="X579" s="34"/>
      <c r="Y579" s="34"/>
      <c r="Z579" s="40"/>
      <c r="AA579" s="40"/>
      <c r="AB579" s="34"/>
      <c r="AC579" s="34"/>
      <c r="AD579" s="40"/>
      <c r="AE579" s="40"/>
      <c r="AF579" s="40"/>
      <c r="AG579" s="40"/>
      <c r="AH579" s="34"/>
      <c r="AI579" s="34"/>
      <c r="AJ579" s="34"/>
      <c r="AK579" s="40"/>
      <c r="AL579" s="34"/>
      <c r="AM579" s="40"/>
      <c r="AN579" s="40"/>
      <c r="AO579" s="40"/>
      <c r="AP579" s="40"/>
      <c r="AQ579" s="40"/>
      <c r="AR579" s="40"/>
      <c r="AS579" s="40"/>
      <c r="AT579" s="40"/>
      <c r="AU579" s="40"/>
    </row>
    <row r="580" spans="1:47" ht="15.75" customHeight="1" x14ac:dyDescent="0.25">
      <c r="A580" s="34"/>
      <c r="B580" s="35"/>
      <c r="C580" s="36"/>
      <c r="D580" s="37"/>
      <c r="E580" s="38"/>
      <c r="F580" s="39"/>
      <c r="G580" s="17"/>
      <c r="H580" s="39"/>
      <c r="I580" s="34"/>
      <c r="J580" s="40"/>
      <c r="K580" s="34"/>
      <c r="L580" s="34"/>
      <c r="M580" s="40"/>
      <c r="N580" s="34"/>
      <c r="O580" s="40"/>
      <c r="P580" s="34"/>
      <c r="Q580" s="34"/>
      <c r="R580" s="40"/>
      <c r="S580" s="40"/>
      <c r="T580" s="34"/>
      <c r="U580" s="40"/>
      <c r="V580" s="34"/>
      <c r="W580" s="40"/>
      <c r="X580" s="34"/>
      <c r="Y580" s="34"/>
      <c r="Z580" s="40"/>
      <c r="AA580" s="40"/>
      <c r="AB580" s="34"/>
      <c r="AC580" s="34"/>
      <c r="AD580" s="40"/>
      <c r="AE580" s="40"/>
      <c r="AF580" s="40"/>
      <c r="AG580" s="40"/>
      <c r="AH580" s="34"/>
      <c r="AI580" s="34"/>
      <c r="AJ580" s="34"/>
      <c r="AK580" s="40"/>
      <c r="AL580" s="34"/>
      <c r="AM580" s="40"/>
      <c r="AN580" s="40"/>
      <c r="AO580" s="40"/>
      <c r="AP580" s="40"/>
      <c r="AQ580" s="40"/>
      <c r="AR580" s="40"/>
      <c r="AS580" s="40"/>
      <c r="AT580" s="40"/>
      <c r="AU580" s="40"/>
    </row>
    <row r="581" spans="1:47" ht="15.75" customHeight="1" x14ac:dyDescent="0.25">
      <c r="A581" s="34"/>
      <c r="B581" s="35"/>
      <c r="C581" s="36"/>
      <c r="D581" s="37"/>
      <c r="E581" s="38"/>
      <c r="F581" s="39"/>
      <c r="G581" s="17"/>
      <c r="H581" s="39"/>
      <c r="I581" s="34"/>
      <c r="J581" s="40"/>
      <c r="K581" s="34"/>
      <c r="L581" s="34"/>
      <c r="M581" s="40"/>
      <c r="N581" s="34"/>
      <c r="O581" s="40"/>
      <c r="P581" s="34"/>
      <c r="Q581" s="34"/>
      <c r="R581" s="40"/>
      <c r="S581" s="40"/>
      <c r="T581" s="34"/>
      <c r="U581" s="40"/>
      <c r="V581" s="34"/>
      <c r="W581" s="40"/>
      <c r="X581" s="34"/>
      <c r="Y581" s="34"/>
      <c r="Z581" s="40"/>
      <c r="AA581" s="40"/>
      <c r="AB581" s="34"/>
      <c r="AC581" s="34"/>
      <c r="AD581" s="40"/>
      <c r="AE581" s="40"/>
      <c r="AF581" s="40"/>
      <c r="AG581" s="40"/>
      <c r="AH581" s="34"/>
      <c r="AI581" s="34"/>
      <c r="AJ581" s="34"/>
      <c r="AK581" s="40"/>
      <c r="AL581" s="34"/>
      <c r="AM581" s="40"/>
      <c r="AN581" s="40"/>
      <c r="AO581" s="40"/>
      <c r="AP581" s="40"/>
      <c r="AQ581" s="40"/>
      <c r="AR581" s="40"/>
      <c r="AS581" s="40"/>
      <c r="AT581" s="40"/>
      <c r="AU581" s="40"/>
    </row>
    <row r="582" spans="1:47" ht="15.75" customHeight="1" x14ac:dyDescent="0.25">
      <c r="A582" s="34"/>
      <c r="B582" s="35"/>
      <c r="C582" s="36"/>
      <c r="D582" s="37"/>
      <c r="E582" s="38"/>
      <c r="F582" s="39"/>
      <c r="G582" s="17"/>
      <c r="H582" s="39"/>
      <c r="I582" s="34"/>
      <c r="J582" s="40"/>
      <c r="K582" s="34"/>
      <c r="L582" s="34"/>
      <c r="M582" s="40"/>
      <c r="N582" s="34"/>
      <c r="O582" s="40"/>
      <c r="P582" s="34"/>
      <c r="Q582" s="34"/>
      <c r="R582" s="40"/>
      <c r="S582" s="40"/>
      <c r="T582" s="34"/>
      <c r="U582" s="40"/>
      <c r="V582" s="34"/>
      <c r="W582" s="40"/>
      <c r="X582" s="34"/>
      <c r="Y582" s="34"/>
      <c r="Z582" s="40"/>
      <c r="AA582" s="40"/>
      <c r="AB582" s="34"/>
      <c r="AC582" s="34"/>
      <c r="AD582" s="40"/>
      <c r="AE582" s="40"/>
      <c r="AF582" s="40"/>
      <c r="AG582" s="40"/>
      <c r="AH582" s="34"/>
      <c r="AI582" s="34"/>
      <c r="AJ582" s="34"/>
      <c r="AK582" s="40"/>
      <c r="AL582" s="34"/>
      <c r="AM582" s="40"/>
      <c r="AN582" s="40"/>
      <c r="AO582" s="40"/>
      <c r="AP582" s="40"/>
      <c r="AQ582" s="40"/>
      <c r="AR582" s="40"/>
      <c r="AS582" s="40"/>
      <c r="AT582" s="40"/>
      <c r="AU582" s="40"/>
    </row>
    <row r="583" spans="1:47" ht="15.75" customHeight="1" x14ac:dyDescent="0.25">
      <c r="A583" s="34"/>
      <c r="B583" s="35"/>
      <c r="C583" s="36"/>
      <c r="D583" s="37"/>
      <c r="E583" s="38"/>
      <c r="F583" s="39"/>
      <c r="G583" s="17"/>
      <c r="H583" s="39"/>
      <c r="I583" s="34"/>
      <c r="J583" s="40"/>
      <c r="K583" s="34"/>
      <c r="L583" s="34"/>
      <c r="M583" s="40"/>
      <c r="N583" s="34"/>
      <c r="O583" s="40"/>
      <c r="P583" s="34"/>
      <c r="Q583" s="34"/>
      <c r="R583" s="40"/>
      <c r="S583" s="40"/>
      <c r="T583" s="34"/>
      <c r="U583" s="40"/>
      <c r="V583" s="34"/>
      <c r="W583" s="40"/>
      <c r="X583" s="34"/>
      <c r="Y583" s="34"/>
      <c r="Z583" s="40"/>
      <c r="AA583" s="40"/>
      <c r="AB583" s="34"/>
      <c r="AC583" s="34"/>
      <c r="AD583" s="40"/>
      <c r="AE583" s="40"/>
      <c r="AF583" s="40"/>
      <c r="AG583" s="40"/>
      <c r="AH583" s="34"/>
      <c r="AI583" s="34"/>
      <c r="AJ583" s="34"/>
      <c r="AK583" s="40"/>
      <c r="AL583" s="34"/>
      <c r="AM583" s="40"/>
      <c r="AN583" s="40"/>
      <c r="AO583" s="40"/>
      <c r="AP583" s="40"/>
      <c r="AQ583" s="40"/>
      <c r="AR583" s="40"/>
      <c r="AS583" s="40"/>
      <c r="AT583" s="40"/>
      <c r="AU583" s="40"/>
    </row>
    <row r="584" spans="1:47" ht="15.75" customHeight="1" x14ac:dyDescent="0.25">
      <c r="A584" s="34"/>
      <c r="B584" s="35"/>
      <c r="C584" s="36"/>
      <c r="D584" s="37"/>
      <c r="E584" s="38"/>
      <c r="F584" s="39"/>
      <c r="G584" s="17"/>
      <c r="H584" s="39"/>
      <c r="I584" s="34"/>
      <c r="J584" s="40"/>
      <c r="K584" s="34"/>
      <c r="L584" s="34"/>
      <c r="M584" s="40"/>
      <c r="N584" s="34"/>
      <c r="O584" s="40"/>
      <c r="P584" s="34"/>
      <c r="Q584" s="34"/>
      <c r="R584" s="40"/>
      <c r="S584" s="40"/>
      <c r="T584" s="34"/>
      <c r="U584" s="40"/>
      <c r="V584" s="34"/>
      <c r="W584" s="40"/>
      <c r="X584" s="34"/>
      <c r="Y584" s="34"/>
      <c r="Z584" s="40"/>
      <c r="AA584" s="40"/>
      <c r="AB584" s="34"/>
      <c r="AC584" s="34"/>
      <c r="AD584" s="40"/>
      <c r="AE584" s="40"/>
      <c r="AF584" s="40"/>
      <c r="AG584" s="40"/>
      <c r="AH584" s="34"/>
      <c r="AI584" s="34"/>
      <c r="AJ584" s="34"/>
      <c r="AK584" s="40"/>
      <c r="AL584" s="34"/>
      <c r="AM584" s="40"/>
      <c r="AN584" s="40"/>
      <c r="AO584" s="40"/>
      <c r="AP584" s="40"/>
      <c r="AQ584" s="40"/>
      <c r="AR584" s="40"/>
      <c r="AS584" s="40"/>
      <c r="AT584" s="40"/>
      <c r="AU584" s="40"/>
    </row>
    <row r="585" spans="1:47" ht="15.75" customHeight="1" x14ac:dyDescent="0.25">
      <c r="A585" s="34"/>
      <c r="B585" s="35"/>
      <c r="C585" s="36"/>
      <c r="D585" s="37"/>
      <c r="E585" s="38"/>
      <c r="F585" s="39"/>
      <c r="G585" s="17"/>
      <c r="H585" s="39"/>
      <c r="I585" s="34"/>
      <c r="J585" s="40"/>
      <c r="K585" s="34"/>
      <c r="L585" s="34"/>
      <c r="M585" s="40"/>
      <c r="N585" s="34"/>
      <c r="O585" s="40"/>
      <c r="P585" s="34"/>
      <c r="Q585" s="34"/>
      <c r="R585" s="40"/>
      <c r="S585" s="40"/>
      <c r="T585" s="34"/>
      <c r="U585" s="40"/>
      <c r="V585" s="34"/>
      <c r="W585" s="40"/>
      <c r="X585" s="34"/>
      <c r="Y585" s="34"/>
      <c r="Z585" s="40"/>
      <c r="AA585" s="40"/>
      <c r="AB585" s="34"/>
      <c r="AC585" s="34"/>
      <c r="AD585" s="40"/>
      <c r="AE585" s="40"/>
      <c r="AF585" s="40"/>
      <c r="AG585" s="40"/>
      <c r="AH585" s="34"/>
      <c r="AI585" s="34"/>
      <c r="AJ585" s="34"/>
      <c r="AK585" s="40"/>
      <c r="AL585" s="34"/>
      <c r="AM585" s="40"/>
      <c r="AN585" s="40"/>
      <c r="AO585" s="40"/>
      <c r="AP585" s="40"/>
      <c r="AQ585" s="40"/>
      <c r="AR585" s="40"/>
      <c r="AS585" s="40"/>
      <c r="AT585" s="40"/>
      <c r="AU585" s="40"/>
    </row>
    <row r="586" spans="1:47" ht="15.75" customHeight="1" x14ac:dyDescent="0.25">
      <c r="A586" s="34"/>
      <c r="B586" s="35"/>
      <c r="C586" s="36"/>
      <c r="D586" s="37"/>
      <c r="E586" s="38"/>
      <c r="F586" s="39"/>
      <c r="G586" s="17"/>
      <c r="H586" s="39"/>
      <c r="I586" s="34"/>
      <c r="J586" s="40"/>
      <c r="K586" s="34"/>
      <c r="L586" s="34"/>
      <c r="M586" s="40"/>
      <c r="N586" s="34"/>
      <c r="O586" s="40"/>
      <c r="P586" s="34"/>
      <c r="Q586" s="34"/>
      <c r="R586" s="40"/>
      <c r="S586" s="40"/>
      <c r="T586" s="34"/>
      <c r="U586" s="40"/>
      <c r="V586" s="34"/>
      <c r="W586" s="40"/>
      <c r="X586" s="34"/>
      <c r="Y586" s="34"/>
      <c r="Z586" s="40"/>
      <c r="AA586" s="40"/>
      <c r="AB586" s="34"/>
      <c r="AC586" s="34"/>
      <c r="AD586" s="40"/>
      <c r="AE586" s="40"/>
      <c r="AF586" s="40"/>
      <c r="AG586" s="40"/>
      <c r="AH586" s="34"/>
      <c r="AI586" s="34"/>
      <c r="AJ586" s="34"/>
      <c r="AK586" s="40"/>
      <c r="AL586" s="34"/>
      <c r="AM586" s="40"/>
      <c r="AN586" s="40"/>
      <c r="AO586" s="40"/>
      <c r="AP586" s="40"/>
      <c r="AQ586" s="40"/>
      <c r="AR586" s="40"/>
      <c r="AS586" s="40"/>
      <c r="AT586" s="40"/>
      <c r="AU586" s="40"/>
    </row>
    <row r="587" spans="1:47" ht="15.75" customHeight="1" x14ac:dyDescent="0.25">
      <c r="A587" s="34"/>
      <c r="B587" s="35"/>
      <c r="C587" s="36"/>
      <c r="D587" s="37"/>
      <c r="E587" s="38"/>
      <c r="F587" s="39"/>
      <c r="G587" s="17"/>
      <c r="H587" s="39"/>
      <c r="I587" s="34"/>
      <c r="J587" s="40"/>
      <c r="K587" s="34"/>
      <c r="L587" s="34"/>
      <c r="M587" s="40"/>
      <c r="N587" s="34"/>
      <c r="O587" s="40"/>
      <c r="P587" s="34"/>
      <c r="Q587" s="34"/>
      <c r="R587" s="40"/>
      <c r="S587" s="40"/>
      <c r="T587" s="34"/>
      <c r="U587" s="40"/>
      <c r="V587" s="34"/>
      <c r="W587" s="40"/>
      <c r="X587" s="34"/>
      <c r="Y587" s="34"/>
      <c r="Z587" s="40"/>
      <c r="AA587" s="40"/>
      <c r="AB587" s="34"/>
      <c r="AC587" s="34"/>
      <c r="AD587" s="40"/>
      <c r="AE587" s="40"/>
      <c r="AF587" s="40"/>
      <c r="AG587" s="40"/>
      <c r="AH587" s="34"/>
      <c r="AI587" s="34"/>
      <c r="AJ587" s="34"/>
      <c r="AK587" s="40"/>
      <c r="AL587" s="34"/>
      <c r="AM587" s="40"/>
      <c r="AN587" s="40"/>
      <c r="AO587" s="40"/>
      <c r="AP587" s="40"/>
      <c r="AQ587" s="40"/>
      <c r="AR587" s="40"/>
      <c r="AS587" s="40"/>
      <c r="AT587" s="40"/>
      <c r="AU587" s="40"/>
    </row>
    <row r="588" spans="1:47" ht="15.75" customHeight="1" x14ac:dyDescent="0.25">
      <c r="A588" s="34"/>
      <c r="B588" s="35"/>
      <c r="C588" s="36"/>
      <c r="D588" s="37"/>
      <c r="E588" s="38"/>
      <c r="F588" s="39"/>
      <c r="G588" s="17"/>
      <c r="H588" s="39"/>
      <c r="I588" s="34"/>
      <c r="J588" s="40"/>
      <c r="K588" s="34"/>
      <c r="L588" s="34"/>
      <c r="M588" s="40"/>
      <c r="N588" s="34"/>
      <c r="O588" s="40"/>
      <c r="P588" s="34"/>
      <c r="Q588" s="34"/>
      <c r="R588" s="40"/>
      <c r="S588" s="40"/>
      <c r="T588" s="34"/>
      <c r="U588" s="40"/>
      <c r="V588" s="34"/>
      <c r="W588" s="40"/>
      <c r="X588" s="34"/>
      <c r="Y588" s="34"/>
      <c r="Z588" s="40"/>
      <c r="AA588" s="40"/>
      <c r="AB588" s="34"/>
      <c r="AC588" s="34"/>
      <c r="AD588" s="40"/>
      <c r="AE588" s="40"/>
      <c r="AF588" s="40"/>
      <c r="AG588" s="40"/>
      <c r="AH588" s="34"/>
      <c r="AI588" s="34"/>
      <c r="AJ588" s="34"/>
      <c r="AK588" s="40"/>
      <c r="AL588" s="34"/>
      <c r="AM588" s="40"/>
      <c r="AN588" s="40"/>
      <c r="AO588" s="40"/>
      <c r="AP588" s="40"/>
      <c r="AQ588" s="40"/>
      <c r="AR588" s="40"/>
      <c r="AS588" s="40"/>
      <c r="AT588" s="40"/>
      <c r="AU588" s="40"/>
    </row>
    <row r="589" spans="1:47" ht="15.75" customHeight="1" x14ac:dyDescent="0.25">
      <c r="A589" s="34"/>
      <c r="B589" s="35"/>
      <c r="C589" s="36"/>
      <c r="D589" s="37"/>
      <c r="E589" s="38"/>
      <c r="F589" s="39"/>
      <c r="G589" s="17"/>
      <c r="H589" s="39"/>
      <c r="I589" s="34"/>
      <c r="J589" s="40"/>
      <c r="K589" s="34"/>
      <c r="L589" s="34"/>
      <c r="M589" s="40"/>
      <c r="N589" s="34"/>
      <c r="O589" s="40"/>
      <c r="P589" s="34"/>
      <c r="Q589" s="34"/>
      <c r="R589" s="40"/>
      <c r="S589" s="40"/>
      <c r="T589" s="34"/>
      <c r="U589" s="40"/>
      <c r="V589" s="34"/>
      <c r="W589" s="40"/>
      <c r="X589" s="34"/>
      <c r="Y589" s="34"/>
      <c r="Z589" s="40"/>
      <c r="AA589" s="40"/>
      <c r="AB589" s="34"/>
      <c r="AC589" s="34"/>
      <c r="AD589" s="40"/>
      <c r="AE589" s="40"/>
      <c r="AF589" s="40"/>
      <c r="AG589" s="40"/>
      <c r="AH589" s="34"/>
      <c r="AI589" s="34"/>
      <c r="AJ589" s="34"/>
      <c r="AK589" s="40"/>
      <c r="AL589" s="34"/>
      <c r="AM589" s="40"/>
      <c r="AN589" s="40"/>
      <c r="AO589" s="40"/>
      <c r="AP589" s="40"/>
      <c r="AQ589" s="40"/>
      <c r="AR589" s="40"/>
      <c r="AS589" s="40"/>
      <c r="AT589" s="40"/>
      <c r="AU589" s="40"/>
    </row>
    <row r="590" spans="1:47" ht="15.75" customHeight="1" x14ac:dyDescent="0.25">
      <c r="A590" s="34"/>
      <c r="B590" s="35"/>
      <c r="C590" s="36"/>
      <c r="D590" s="37"/>
      <c r="E590" s="38"/>
      <c r="F590" s="39"/>
      <c r="G590" s="17"/>
      <c r="H590" s="39"/>
      <c r="I590" s="34"/>
      <c r="J590" s="40"/>
      <c r="K590" s="34"/>
      <c r="L590" s="34"/>
      <c r="M590" s="40"/>
      <c r="N590" s="34"/>
      <c r="O590" s="40"/>
      <c r="P590" s="34"/>
      <c r="Q590" s="34"/>
      <c r="R590" s="40"/>
      <c r="S590" s="40"/>
      <c r="T590" s="34"/>
      <c r="U590" s="40"/>
      <c r="V590" s="34"/>
      <c r="W590" s="40"/>
      <c r="X590" s="34"/>
      <c r="Y590" s="34"/>
      <c r="Z590" s="40"/>
      <c r="AA590" s="40"/>
      <c r="AB590" s="34"/>
      <c r="AC590" s="34"/>
      <c r="AD590" s="40"/>
      <c r="AE590" s="40"/>
      <c r="AF590" s="40"/>
      <c r="AG590" s="40"/>
      <c r="AH590" s="34"/>
      <c r="AI590" s="34"/>
      <c r="AJ590" s="34"/>
      <c r="AK590" s="40"/>
      <c r="AL590" s="34"/>
      <c r="AM590" s="40"/>
      <c r="AN590" s="40"/>
      <c r="AO590" s="40"/>
      <c r="AP590" s="40"/>
      <c r="AQ590" s="40"/>
      <c r="AR590" s="40"/>
      <c r="AS590" s="40"/>
      <c r="AT590" s="40"/>
      <c r="AU590" s="40"/>
    </row>
    <row r="591" spans="1:47" ht="15.75" customHeight="1" x14ac:dyDescent="0.25">
      <c r="A591" s="34"/>
      <c r="B591" s="35"/>
      <c r="C591" s="36"/>
      <c r="D591" s="37"/>
      <c r="E591" s="38"/>
      <c r="F591" s="39"/>
      <c r="G591" s="17"/>
      <c r="H591" s="39"/>
      <c r="I591" s="34"/>
      <c r="J591" s="40"/>
      <c r="K591" s="34"/>
      <c r="L591" s="34"/>
      <c r="M591" s="40"/>
      <c r="N591" s="34"/>
      <c r="O591" s="40"/>
      <c r="P591" s="34"/>
      <c r="Q591" s="34"/>
      <c r="R591" s="40"/>
      <c r="S591" s="40"/>
      <c r="T591" s="34"/>
      <c r="U591" s="40"/>
      <c r="V591" s="34"/>
      <c r="W591" s="40"/>
      <c r="X591" s="34"/>
      <c r="Y591" s="34"/>
      <c r="Z591" s="40"/>
      <c r="AA591" s="40"/>
      <c r="AB591" s="34"/>
      <c r="AC591" s="34"/>
      <c r="AD591" s="40"/>
      <c r="AE591" s="40"/>
      <c r="AF591" s="40"/>
      <c r="AG591" s="40"/>
      <c r="AH591" s="34"/>
      <c r="AI591" s="34"/>
      <c r="AJ591" s="34"/>
      <c r="AK591" s="40"/>
      <c r="AL591" s="34"/>
      <c r="AM591" s="40"/>
      <c r="AN591" s="40"/>
      <c r="AO591" s="40"/>
      <c r="AP591" s="40"/>
      <c r="AQ591" s="40"/>
      <c r="AR591" s="40"/>
      <c r="AS591" s="40"/>
      <c r="AT591" s="40"/>
      <c r="AU591" s="40"/>
    </row>
    <row r="592" spans="1:47" ht="15.75" customHeight="1" x14ac:dyDescent="0.25">
      <c r="A592" s="34"/>
      <c r="B592" s="35"/>
      <c r="C592" s="36"/>
      <c r="D592" s="37"/>
      <c r="E592" s="38"/>
      <c r="F592" s="39"/>
      <c r="G592" s="17"/>
      <c r="H592" s="39"/>
      <c r="I592" s="34"/>
      <c r="J592" s="40"/>
      <c r="K592" s="34"/>
      <c r="L592" s="34"/>
      <c r="M592" s="40"/>
      <c r="N592" s="34"/>
      <c r="O592" s="40"/>
      <c r="P592" s="34"/>
      <c r="Q592" s="34"/>
      <c r="R592" s="40"/>
      <c r="S592" s="40"/>
      <c r="T592" s="34"/>
      <c r="U592" s="40"/>
      <c r="V592" s="34"/>
      <c r="W592" s="40"/>
      <c r="X592" s="34"/>
      <c r="Y592" s="34"/>
      <c r="Z592" s="40"/>
      <c r="AA592" s="40"/>
      <c r="AB592" s="34"/>
      <c r="AC592" s="34"/>
      <c r="AD592" s="40"/>
      <c r="AE592" s="40"/>
      <c r="AF592" s="40"/>
      <c r="AG592" s="40"/>
      <c r="AH592" s="34"/>
      <c r="AI592" s="34"/>
      <c r="AJ592" s="34"/>
      <c r="AK592" s="40"/>
      <c r="AL592" s="34"/>
      <c r="AM592" s="40"/>
      <c r="AN592" s="40"/>
      <c r="AO592" s="40"/>
      <c r="AP592" s="40"/>
      <c r="AQ592" s="40"/>
      <c r="AR592" s="40"/>
      <c r="AS592" s="40"/>
      <c r="AT592" s="40"/>
      <c r="AU592" s="40"/>
    </row>
    <row r="593" spans="1:47" ht="15.75" customHeight="1" x14ac:dyDescent="0.25">
      <c r="A593" s="34"/>
      <c r="B593" s="35"/>
      <c r="C593" s="36"/>
      <c r="D593" s="37"/>
      <c r="E593" s="38"/>
      <c r="F593" s="39"/>
      <c r="G593" s="17"/>
      <c r="H593" s="39"/>
      <c r="I593" s="34"/>
      <c r="J593" s="40"/>
      <c r="K593" s="34"/>
      <c r="L593" s="34"/>
      <c r="M593" s="40"/>
      <c r="N593" s="34"/>
      <c r="O593" s="40"/>
      <c r="P593" s="34"/>
      <c r="Q593" s="34"/>
      <c r="R593" s="40"/>
      <c r="S593" s="40"/>
      <c r="T593" s="34"/>
      <c r="U593" s="40"/>
      <c r="V593" s="34"/>
      <c r="W593" s="40"/>
      <c r="X593" s="34"/>
      <c r="Y593" s="34"/>
      <c r="Z593" s="40"/>
      <c r="AA593" s="40"/>
      <c r="AB593" s="34"/>
      <c r="AC593" s="34"/>
      <c r="AD593" s="40"/>
      <c r="AE593" s="40"/>
      <c r="AF593" s="40"/>
      <c r="AG593" s="40"/>
      <c r="AH593" s="34"/>
      <c r="AI593" s="34"/>
      <c r="AJ593" s="34"/>
      <c r="AK593" s="40"/>
      <c r="AL593" s="34"/>
      <c r="AM593" s="40"/>
      <c r="AN593" s="40"/>
      <c r="AO593" s="40"/>
      <c r="AP593" s="40"/>
      <c r="AQ593" s="40"/>
      <c r="AR593" s="40"/>
      <c r="AS593" s="40"/>
      <c r="AT593" s="40"/>
      <c r="AU593" s="40"/>
    </row>
    <row r="594" spans="1:47" ht="15.75" customHeight="1" x14ac:dyDescent="0.25">
      <c r="A594" s="34"/>
      <c r="B594" s="35"/>
      <c r="C594" s="36"/>
      <c r="D594" s="37"/>
      <c r="E594" s="38"/>
      <c r="F594" s="39"/>
      <c r="G594" s="17"/>
      <c r="H594" s="39"/>
      <c r="I594" s="34"/>
      <c r="J594" s="40"/>
      <c r="K594" s="34"/>
      <c r="L594" s="34"/>
      <c r="M594" s="40"/>
      <c r="N594" s="34"/>
      <c r="O594" s="40"/>
      <c r="P594" s="34"/>
      <c r="Q594" s="34"/>
      <c r="R594" s="40"/>
      <c r="S594" s="40"/>
      <c r="T594" s="34"/>
      <c r="U594" s="40"/>
      <c r="V594" s="34"/>
      <c r="W594" s="40"/>
      <c r="X594" s="34"/>
      <c r="Y594" s="34"/>
      <c r="Z594" s="40"/>
      <c r="AA594" s="40"/>
      <c r="AB594" s="34"/>
      <c r="AC594" s="34"/>
      <c r="AD594" s="40"/>
      <c r="AE594" s="40"/>
      <c r="AF594" s="40"/>
      <c r="AG594" s="40"/>
      <c r="AH594" s="34"/>
      <c r="AI594" s="34"/>
      <c r="AJ594" s="34"/>
      <c r="AK594" s="40"/>
      <c r="AL594" s="34"/>
      <c r="AM594" s="40"/>
      <c r="AN594" s="40"/>
      <c r="AO594" s="40"/>
      <c r="AP594" s="40"/>
      <c r="AQ594" s="40"/>
      <c r="AR594" s="40"/>
      <c r="AS594" s="40"/>
      <c r="AT594" s="40"/>
      <c r="AU594" s="40"/>
    </row>
    <row r="595" spans="1:47" ht="15.75" customHeight="1" x14ac:dyDescent="0.25">
      <c r="A595" s="34"/>
      <c r="B595" s="35"/>
      <c r="C595" s="36"/>
      <c r="D595" s="37"/>
      <c r="E595" s="38"/>
      <c r="F595" s="39"/>
      <c r="G595" s="17"/>
      <c r="H595" s="39"/>
      <c r="I595" s="34"/>
      <c r="J595" s="40"/>
      <c r="K595" s="34"/>
      <c r="L595" s="34"/>
      <c r="M595" s="40"/>
      <c r="N595" s="34"/>
      <c r="O595" s="40"/>
      <c r="P595" s="34"/>
      <c r="Q595" s="34"/>
      <c r="R595" s="40"/>
      <c r="S595" s="40"/>
      <c r="T595" s="34"/>
      <c r="U595" s="40"/>
      <c r="V595" s="34"/>
      <c r="W595" s="40"/>
      <c r="X595" s="34"/>
      <c r="Y595" s="34"/>
      <c r="Z595" s="40"/>
      <c r="AA595" s="40"/>
      <c r="AB595" s="34"/>
      <c r="AC595" s="34"/>
      <c r="AD595" s="40"/>
      <c r="AE595" s="40"/>
      <c r="AF595" s="40"/>
      <c r="AG595" s="40"/>
      <c r="AH595" s="34"/>
      <c r="AI595" s="34"/>
      <c r="AJ595" s="34"/>
      <c r="AK595" s="40"/>
      <c r="AL595" s="34"/>
      <c r="AM595" s="40"/>
      <c r="AN595" s="40"/>
      <c r="AO595" s="40"/>
      <c r="AP595" s="40"/>
      <c r="AQ595" s="40"/>
      <c r="AR595" s="40"/>
      <c r="AS595" s="40"/>
      <c r="AT595" s="40"/>
      <c r="AU595" s="40"/>
    </row>
    <row r="596" spans="1:47" ht="15.75" customHeight="1" x14ac:dyDescent="0.25">
      <c r="A596" s="34"/>
      <c r="B596" s="35"/>
      <c r="C596" s="36"/>
      <c r="D596" s="37"/>
      <c r="E596" s="38"/>
      <c r="F596" s="39"/>
      <c r="G596" s="17"/>
      <c r="H596" s="39"/>
      <c r="I596" s="34"/>
      <c r="J596" s="40"/>
      <c r="K596" s="34"/>
      <c r="L596" s="34"/>
      <c r="M596" s="40"/>
      <c r="N596" s="34"/>
      <c r="O596" s="40"/>
      <c r="P596" s="34"/>
      <c r="Q596" s="34"/>
      <c r="R596" s="40"/>
      <c r="S596" s="40"/>
      <c r="T596" s="34"/>
      <c r="U596" s="40"/>
      <c r="V596" s="34"/>
      <c r="W596" s="40"/>
      <c r="X596" s="34"/>
      <c r="Y596" s="34"/>
      <c r="Z596" s="40"/>
      <c r="AA596" s="40"/>
      <c r="AB596" s="34"/>
      <c r="AC596" s="34"/>
      <c r="AD596" s="40"/>
      <c r="AE596" s="40"/>
      <c r="AF596" s="40"/>
      <c r="AG596" s="40"/>
      <c r="AH596" s="34"/>
      <c r="AI596" s="34"/>
      <c r="AJ596" s="34"/>
      <c r="AK596" s="40"/>
      <c r="AL596" s="34"/>
      <c r="AM596" s="40"/>
      <c r="AN596" s="40"/>
      <c r="AO596" s="40"/>
      <c r="AP596" s="40"/>
      <c r="AQ596" s="40"/>
      <c r="AR596" s="40"/>
      <c r="AS596" s="40"/>
      <c r="AT596" s="40"/>
      <c r="AU596" s="40"/>
    </row>
    <row r="597" spans="1:47" ht="15.75" customHeight="1" x14ac:dyDescent="0.25">
      <c r="A597" s="34"/>
      <c r="B597" s="35"/>
      <c r="C597" s="36"/>
      <c r="D597" s="37"/>
      <c r="E597" s="38"/>
      <c r="F597" s="39"/>
      <c r="G597" s="17"/>
      <c r="H597" s="39"/>
      <c r="I597" s="34"/>
      <c r="J597" s="40"/>
      <c r="K597" s="34"/>
      <c r="L597" s="34"/>
      <c r="M597" s="40"/>
      <c r="N597" s="34"/>
      <c r="O597" s="40"/>
      <c r="P597" s="34"/>
      <c r="Q597" s="34"/>
      <c r="R597" s="40"/>
      <c r="S597" s="40"/>
      <c r="T597" s="34"/>
      <c r="U597" s="40"/>
      <c r="V597" s="34"/>
      <c r="W597" s="40"/>
      <c r="X597" s="34"/>
      <c r="Y597" s="34"/>
      <c r="Z597" s="40"/>
      <c r="AA597" s="40"/>
      <c r="AB597" s="34"/>
      <c r="AC597" s="34"/>
      <c r="AD597" s="40"/>
      <c r="AE597" s="40"/>
      <c r="AF597" s="40"/>
      <c r="AG597" s="40"/>
      <c r="AH597" s="34"/>
      <c r="AI597" s="34"/>
      <c r="AJ597" s="34"/>
      <c r="AK597" s="40"/>
      <c r="AL597" s="34"/>
      <c r="AM597" s="40"/>
      <c r="AN597" s="40"/>
      <c r="AO597" s="40"/>
      <c r="AP597" s="40"/>
      <c r="AQ597" s="40"/>
      <c r="AR597" s="40"/>
      <c r="AS597" s="40"/>
      <c r="AT597" s="40"/>
      <c r="AU597" s="40"/>
    </row>
    <row r="598" spans="1:47" ht="15.75" customHeight="1" x14ac:dyDescent="0.25">
      <c r="A598" s="34"/>
      <c r="B598" s="35"/>
      <c r="C598" s="36"/>
      <c r="D598" s="37"/>
      <c r="E598" s="38"/>
      <c r="F598" s="39"/>
      <c r="G598" s="17"/>
      <c r="H598" s="39"/>
      <c r="I598" s="34"/>
      <c r="J598" s="40"/>
      <c r="K598" s="34"/>
      <c r="L598" s="34"/>
      <c r="M598" s="40"/>
      <c r="N598" s="34"/>
      <c r="O598" s="40"/>
      <c r="P598" s="34"/>
      <c r="Q598" s="34"/>
      <c r="R598" s="40"/>
      <c r="S598" s="40"/>
      <c r="T598" s="34"/>
      <c r="U598" s="40"/>
      <c r="V598" s="34"/>
      <c r="W598" s="40"/>
      <c r="X598" s="34"/>
      <c r="Y598" s="34"/>
      <c r="Z598" s="40"/>
      <c r="AA598" s="40"/>
      <c r="AB598" s="34"/>
      <c r="AC598" s="34"/>
      <c r="AD598" s="40"/>
      <c r="AE598" s="40"/>
      <c r="AF598" s="40"/>
      <c r="AG598" s="40"/>
      <c r="AH598" s="34"/>
      <c r="AI598" s="34"/>
      <c r="AJ598" s="34"/>
      <c r="AK598" s="40"/>
      <c r="AL598" s="34"/>
      <c r="AM598" s="40"/>
      <c r="AN598" s="40"/>
      <c r="AO598" s="40"/>
      <c r="AP598" s="40"/>
      <c r="AQ598" s="40"/>
      <c r="AR598" s="40"/>
      <c r="AS598" s="40"/>
      <c r="AT598" s="40"/>
      <c r="AU598" s="40"/>
    </row>
    <row r="599" spans="1:47" ht="15.75" customHeight="1" x14ac:dyDescent="0.25">
      <c r="A599" s="34"/>
      <c r="B599" s="35"/>
      <c r="C599" s="36"/>
      <c r="D599" s="37"/>
      <c r="E599" s="38"/>
      <c r="F599" s="39"/>
      <c r="G599" s="17"/>
      <c r="H599" s="39"/>
      <c r="I599" s="34"/>
      <c r="J599" s="40"/>
      <c r="K599" s="34"/>
      <c r="L599" s="34"/>
      <c r="M599" s="40"/>
      <c r="N599" s="34"/>
      <c r="O599" s="40"/>
      <c r="P599" s="34"/>
      <c r="Q599" s="34"/>
      <c r="R599" s="40"/>
      <c r="S599" s="40"/>
      <c r="T599" s="34"/>
      <c r="U599" s="40"/>
      <c r="V599" s="34"/>
      <c r="W599" s="40"/>
      <c r="X599" s="34"/>
      <c r="Y599" s="34"/>
      <c r="Z599" s="40"/>
      <c r="AA599" s="40"/>
      <c r="AB599" s="34"/>
      <c r="AC599" s="34"/>
      <c r="AD599" s="40"/>
      <c r="AE599" s="40"/>
      <c r="AF599" s="40"/>
      <c r="AG599" s="40"/>
      <c r="AH599" s="34"/>
      <c r="AI599" s="34"/>
      <c r="AJ599" s="34"/>
      <c r="AK599" s="40"/>
      <c r="AL599" s="34"/>
      <c r="AM599" s="40"/>
      <c r="AN599" s="40"/>
      <c r="AO599" s="40"/>
      <c r="AP599" s="40"/>
      <c r="AQ599" s="40"/>
      <c r="AR599" s="40"/>
      <c r="AS599" s="40"/>
      <c r="AT599" s="40"/>
      <c r="AU599" s="40"/>
    </row>
    <row r="600" spans="1:47" ht="15.75" customHeight="1" x14ac:dyDescent="0.25">
      <c r="A600" s="34"/>
      <c r="B600" s="35"/>
      <c r="C600" s="36"/>
      <c r="D600" s="37"/>
      <c r="E600" s="38"/>
      <c r="F600" s="39"/>
      <c r="G600" s="17"/>
      <c r="H600" s="39"/>
      <c r="I600" s="34"/>
      <c r="J600" s="40"/>
      <c r="K600" s="34"/>
      <c r="L600" s="34"/>
      <c r="M600" s="40"/>
      <c r="N600" s="34"/>
      <c r="O600" s="40"/>
      <c r="P600" s="34"/>
      <c r="Q600" s="34"/>
      <c r="R600" s="40"/>
      <c r="S600" s="40"/>
      <c r="T600" s="34"/>
      <c r="U600" s="40"/>
      <c r="V600" s="34"/>
      <c r="W600" s="40"/>
      <c r="X600" s="34"/>
      <c r="Y600" s="34"/>
      <c r="Z600" s="40"/>
      <c r="AA600" s="40"/>
      <c r="AB600" s="34"/>
      <c r="AC600" s="34"/>
      <c r="AD600" s="40"/>
      <c r="AE600" s="40"/>
      <c r="AF600" s="40"/>
      <c r="AG600" s="40"/>
      <c r="AH600" s="34"/>
      <c r="AI600" s="34"/>
      <c r="AJ600" s="34"/>
      <c r="AK600" s="40"/>
      <c r="AL600" s="34"/>
      <c r="AM600" s="40"/>
      <c r="AN600" s="40"/>
      <c r="AO600" s="40"/>
      <c r="AP600" s="40"/>
      <c r="AQ600" s="40"/>
      <c r="AR600" s="40"/>
      <c r="AS600" s="40"/>
      <c r="AT600" s="40"/>
      <c r="AU600" s="40"/>
    </row>
    <row r="601" spans="1:47" ht="15.75" customHeight="1" x14ac:dyDescent="0.25">
      <c r="A601" s="34"/>
      <c r="B601" s="35"/>
      <c r="C601" s="36"/>
      <c r="D601" s="37"/>
      <c r="E601" s="38"/>
      <c r="F601" s="39"/>
      <c r="G601" s="17"/>
      <c r="H601" s="39"/>
      <c r="I601" s="34"/>
      <c r="J601" s="40"/>
      <c r="K601" s="34"/>
      <c r="L601" s="34"/>
      <c r="M601" s="40"/>
      <c r="N601" s="34"/>
      <c r="O601" s="40"/>
      <c r="P601" s="34"/>
      <c r="Q601" s="34"/>
      <c r="R601" s="40"/>
      <c r="S601" s="40"/>
      <c r="T601" s="34"/>
      <c r="U601" s="40"/>
      <c r="V601" s="34"/>
      <c r="W601" s="40"/>
      <c r="X601" s="34"/>
      <c r="Y601" s="34"/>
      <c r="Z601" s="40"/>
      <c r="AA601" s="40"/>
      <c r="AB601" s="34"/>
      <c r="AC601" s="34"/>
      <c r="AD601" s="40"/>
      <c r="AE601" s="40"/>
      <c r="AF601" s="40"/>
      <c r="AG601" s="40"/>
      <c r="AH601" s="34"/>
      <c r="AI601" s="34"/>
      <c r="AJ601" s="34"/>
      <c r="AK601" s="40"/>
      <c r="AL601" s="34"/>
      <c r="AM601" s="40"/>
      <c r="AN601" s="40"/>
      <c r="AO601" s="40"/>
      <c r="AP601" s="40"/>
      <c r="AQ601" s="40"/>
      <c r="AR601" s="40"/>
      <c r="AS601" s="40"/>
      <c r="AT601" s="40"/>
      <c r="AU601" s="40"/>
    </row>
    <row r="602" spans="1:47" ht="15.75" customHeight="1" x14ac:dyDescent="0.25">
      <c r="A602" s="34"/>
      <c r="B602" s="35"/>
      <c r="C602" s="36"/>
      <c r="D602" s="37"/>
      <c r="E602" s="38"/>
      <c r="F602" s="39"/>
      <c r="G602" s="17"/>
      <c r="H602" s="39"/>
      <c r="I602" s="34"/>
      <c r="J602" s="40"/>
      <c r="K602" s="34"/>
      <c r="L602" s="34"/>
      <c r="M602" s="40"/>
      <c r="N602" s="34"/>
      <c r="O602" s="40"/>
      <c r="P602" s="34"/>
      <c r="Q602" s="34"/>
      <c r="R602" s="40"/>
      <c r="S602" s="40"/>
      <c r="T602" s="34"/>
      <c r="U602" s="40"/>
      <c r="V602" s="34"/>
      <c r="W602" s="40"/>
      <c r="X602" s="34"/>
      <c r="Y602" s="34"/>
      <c r="Z602" s="40"/>
      <c r="AA602" s="40"/>
      <c r="AB602" s="34"/>
      <c r="AC602" s="34"/>
      <c r="AD602" s="40"/>
      <c r="AE602" s="40"/>
      <c r="AF602" s="40"/>
      <c r="AG602" s="40"/>
      <c r="AH602" s="34"/>
      <c r="AI602" s="34"/>
      <c r="AJ602" s="34"/>
      <c r="AK602" s="40"/>
      <c r="AL602" s="34"/>
      <c r="AM602" s="40"/>
      <c r="AN602" s="40"/>
      <c r="AO602" s="40"/>
      <c r="AP602" s="40"/>
      <c r="AQ602" s="40"/>
      <c r="AR602" s="40"/>
      <c r="AS602" s="40"/>
      <c r="AT602" s="40"/>
      <c r="AU602" s="40"/>
    </row>
    <row r="603" spans="1:47" ht="15.75" customHeight="1" x14ac:dyDescent="0.25">
      <c r="A603" s="34"/>
      <c r="B603" s="35"/>
      <c r="C603" s="36"/>
      <c r="D603" s="37"/>
      <c r="E603" s="38"/>
      <c r="F603" s="39"/>
      <c r="G603" s="17"/>
      <c r="H603" s="39"/>
      <c r="I603" s="34"/>
      <c r="J603" s="40"/>
      <c r="K603" s="34"/>
      <c r="L603" s="34"/>
      <c r="M603" s="40"/>
      <c r="N603" s="34"/>
      <c r="O603" s="40"/>
      <c r="P603" s="34"/>
      <c r="Q603" s="34"/>
      <c r="R603" s="40"/>
      <c r="S603" s="40"/>
      <c r="T603" s="34"/>
      <c r="U603" s="40"/>
      <c r="V603" s="34"/>
      <c r="W603" s="40"/>
      <c r="X603" s="34"/>
      <c r="Y603" s="34"/>
      <c r="Z603" s="40"/>
      <c r="AA603" s="40"/>
      <c r="AB603" s="34"/>
      <c r="AC603" s="34"/>
      <c r="AD603" s="40"/>
      <c r="AE603" s="40"/>
      <c r="AF603" s="40"/>
      <c r="AG603" s="40"/>
      <c r="AH603" s="34"/>
      <c r="AI603" s="34"/>
      <c r="AJ603" s="34"/>
      <c r="AK603" s="40"/>
      <c r="AL603" s="34"/>
      <c r="AM603" s="40"/>
      <c r="AN603" s="40"/>
      <c r="AO603" s="40"/>
      <c r="AP603" s="40"/>
      <c r="AQ603" s="40"/>
      <c r="AR603" s="40"/>
      <c r="AS603" s="40"/>
      <c r="AT603" s="40"/>
      <c r="AU603" s="40"/>
    </row>
    <row r="604" spans="1:47" ht="15.75" customHeight="1" x14ac:dyDescent="0.25">
      <c r="A604" s="34"/>
      <c r="B604" s="35"/>
      <c r="C604" s="36"/>
      <c r="D604" s="37"/>
      <c r="E604" s="38"/>
      <c r="F604" s="39"/>
      <c r="G604" s="17"/>
      <c r="H604" s="39"/>
      <c r="I604" s="34"/>
      <c r="J604" s="40"/>
      <c r="K604" s="34"/>
      <c r="L604" s="34"/>
      <c r="M604" s="40"/>
      <c r="N604" s="34"/>
      <c r="O604" s="40"/>
      <c r="P604" s="34"/>
      <c r="Q604" s="34"/>
      <c r="R604" s="40"/>
      <c r="S604" s="40"/>
      <c r="T604" s="34"/>
      <c r="U604" s="40"/>
      <c r="V604" s="34"/>
      <c r="W604" s="40"/>
      <c r="X604" s="34"/>
      <c r="Y604" s="34"/>
      <c r="Z604" s="40"/>
      <c r="AA604" s="40"/>
      <c r="AB604" s="34"/>
      <c r="AC604" s="34"/>
      <c r="AD604" s="40"/>
      <c r="AE604" s="40"/>
      <c r="AF604" s="40"/>
      <c r="AG604" s="40"/>
      <c r="AH604" s="34"/>
      <c r="AI604" s="34"/>
      <c r="AJ604" s="34"/>
      <c r="AK604" s="40"/>
      <c r="AL604" s="34"/>
      <c r="AM604" s="40"/>
      <c r="AN604" s="40"/>
      <c r="AO604" s="40"/>
      <c r="AP604" s="40"/>
      <c r="AQ604" s="40"/>
      <c r="AR604" s="40"/>
      <c r="AS604" s="40"/>
      <c r="AT604" s="40"/>
      <c r="AU604" s="40"/>
    </row>
    <row r="605" spans="1:47" ht="15.75" customHeight="1" x14ac:dyDescent="0.25">
      <c r="A605" s="34"/>
      <c r="B605" s="35"/>
      <c r="C605" s="36"/>
      <c r="D605" s="37"/>
      <c r="E605" s="38"/>
      <c r="F605" s="39"/>
      <c r="G605" s="17"/>
      <c r="H605" s="39"/>
      <c r="I605" s="34"/>
      <c r="J605" s="40"/>
      <c r="K605" s="34"/>
      <c r="L605" s="34"/>
      <c r="M605" s="40"/>
      <c r="N605" s="34"/>
      <c r="O605" s="40"/>
      <c r="P605" s="34"/>
      <c r="Q605" s="34"/>
      <c r="R605" s="40"/>
      <c r="S605" s="40"/>
      <c r="T605" s="34"/>
      <c r="U605" s="40"/>
      <c r="V605" s="34"/>
      <c r="W605" s="40"/>
      <c r="X605" s="34"/>
      <c r="Y605" s="34"/>
      <c r="Z605" s="40"/>
      <c r="AA605" s="40"/>
      <c r="AB605" s="34"/>
      <c r="AC605" s="34"/>
      <c r="AD605" s="40"/>
      <c r="AE605" s="40"/>
      <c r="AF605" s="40"/>
      <c r="AG605" s="40"/>
      <c r="AH605" s="34"/>
      <c r="AI605" s="34"/>
      <c r="AJ605" s="34"/>
      <c r="AK605" s="40"/>
      <c r="AL605" s="34"/>
      <c r="AM605" s="40"/>
      <c r="AN605" s="40"/>
      <c r="AO605" s="40"/>
      <c r="AP605" s="40"/>
      <c r="AQ605" s="40"/>
      <c r="AR605" s="40"/>
      <c r="AS605" s="40"/>
      <c r="AT605" s="40"/>
      <c r="AU605" s="40"/>
    </row>
    <row r="606" spans="1:47" ht="15.75" customHeight="1" x14ac:dyDescent="0.25">
      <c r="A606" s="34"/>
      <c r="B606" s="35"/>
      <c r="C606" s="36"/>
      <c r="D606" s="37"/>
      <c r="E606" s="38"/>
      <c r="F606" s="39"/>
      <c r="G606" s="17"/>
      <c r="H606" s="39"/>
      <c r="I606" s="34"/>
      <c r="J606" s="40"/>
      <c r="K606" s="34"/>
      <c r="L606" s="34"/>
      <c r="M606" s="40"/>
      <c r="N606" s="34"/>
      <c r="O606" s="40"/>
      <c r="P606" s="34"/>
      <c r="Q606" s="34"/>
      <c r="R606" s="40"/>
      <c r="S606" s="40"/>
      <c r="T606" s="34"/>
      <c r="U606" s="40"/>
      <c r="V606" s="34"/>
      <c r="W606" s="40"/>
      <c r="X606" s="34"/>
      <c r="Y606" s="34"/>
      <c r="Z606" s="40"/>
      <c r="AA606" s="40"/>
      <c r="AB606" s="34"/>
      <c r="AC606" s="34"/>
      <c r="AD606" s="40"/>
      <c r="AE606" s="40"/>
      <c r="AF606" s="40"/>
      <c r="AG606" s="40"/>
      <c r="AH606" s="34"/>
      <c r="AI606" s="34"/>
      <c r="AJ606" s="34"/>
      <c r="AK606" s="40"/>
      <c r="AL606" s="34"/>
      <c r="AM606" s="40"/>
      <c r="AN606" s="40"/>
      <c r="AO606" s="40"/>
      <c r="AP606" s="40"/>
      <c r="AQ606" s="40"/>
      <c r="AR606" s="40"/>
      <c r="AS606" s="40"/>
      <c r="AT606" s="40"/>
      <c r="AU606" s="40"/>
    </row>
    <row r="607" spans="1:47" ht="15.75" customHeight="1" x14ac:dyDescent="0.25">
      <c r="A607" s="34"/>
      <c r="B607" s="35"/>
      <c r="C607" s="36"/>
      <c r="D607" s="37"/>
      <c r="E607" s="38"/>
      <c r="F607" s="39"/>
      <c r="G607" s="17"/>
      <c r="H607" s="39"/>
      <c r="I607" s="34"/>
      <c r="J607" s="40"/>
      <c r="K607" s="34"/>
      <c r="L607" s="34"/>
      <c r="M607" s="40"/>
      <c r="N607" s="34"/>
      <c r="O607" s="40"/>
      <c r="P607" s="34"/>
      <c r="Q607" s="34"/>
      <c r="R607" s="40"/>
      <c r="S607" s="40"/>
      <c r="T607" s="34"/>
      <c r="U607" s="40"/>
      <c r="V607" s="34"/>
      <c r="W607" s="40"/>
      <c r="X607" s="34"/>
      <c r="Y607" s="34"/>
      <c r="Z607" s="40"/>
      <c r="AA607" s="40"/>
      <c r="AB607" s="34"/>
      <c r="AC607" s="34"/>
      <c r="AD607" s="40"/>
      <c r="AE607" s="40"/>
      <c r="AF607" s="40"/>
      <c r="AG607" s="40"/>
      <c r="AH607" s="34"/>
      <c r="AI607" s="34"/>
      <c r="AJ607" s="34"/>
      <c r="AK607" s="40"/>
      <c r="AL607" s="34"/>
      <c r="AM607" s="40"/>
      <c r="AN607" s="40"/>
      <c r="AO607" s="40"/>
      <c r="AP607" s="40"/>
      <c r="AQ607" s="40"/>
      <c r="AR607" s="40"/>
      <c r="AS607" s="40"/>
      <c r="AT607" s="40"/>
      <c r="AU607" s="40"/>
    </row>
    <row r="608" spans="1:47" ht="15.75" customHeight="1" x14ac:dyDescent="0.25">
      <c r="A608" s="34"/>
      <c r="B608" s="35"/>
      <c r="C608" s="36"/>
      <c r="D608" s="37"/>
      <c r="E608" s="38"/>
      <c r="F608" s="39"/>
      <c r="G608" s="17"/>
      <c r="H608" s="39"/>
      <c r="I608" s="34"/>
      <c r="J608" s="40"/>
      <c r="K608" s="34"/>
      <c r="L608" s="34"/>
      <c r="M608" s="40"/>
      <c r="N608" s="34"/>
      <c r="O608" s="40"/>
      <c r="P608" s="34"/>
      <c r="Q608" s="34"/>
      <c r="R608" s="40"/>
      <c r="S608" s="40"/>
      <c r="T608" s="34"/>
      <c r="U608" s="40"/>
      <c r="V608" s="34"/>
      <c r="W608" s="40"/>
      <c r="X608" s="34"/>
      <c r="Y608" s="34"/>
      <c r="Z608" s="40"/>
      <c r="AA608" s="40"/>
      <c r="AB608" s="34"/>
      <c r="AC608" s="34"/>
      <c r="AD608" s="40"/>
      <c r="AE608" s="40"/>
      <c r="AF608" s="40"/>
      <c r="AG608" s="40"/>
      <c r="AH608" s="34"/>
      <c r="AI608" s="34"/>
      <c r="AJ608" s="34"/>
      <c r="AK608" s="40"/>
      <c r="AL608" s="34"/>
      <c r="AM608" s="40"/>
      <c r="AN608" s="40"/>
      <c r="AO608" s="40"/>
      <c r="AP608" s="40"/>
      <c r="AQ608" s="40"/>
      <c r="AR608" s="40"/>
      <c r="AS608" s="40"/>
      <c r="AT608" s="40"/>
      <c r="AU608" s="40"/>
    </row>
    <row r="609" spans="1:47" ht="15.75" customHeight="1" x14ac:dyDescent="0.25">
      <c r="A609" s="34"/>
      <c r="B609" s="35"/>
      <c r="C609" s="36"/>
      <c r="D609" s="37"/>
      <c r="E609" s="38"/>
      <c r="F609" s="39"/>
      <c r="G609" s="17"/>
      <c r="H609" s="39"/>
      <c r="I609" s="34"/>
      <c r="J609" s="40"/>
      <c r="K609" s="34"/>
      <c r="L609" s="34"/>
      <c r="M609" s="40"/>
      <c r="N609" s="34"/>
      <c r="O609" s="40"/>
      <c r="P609" s="34"/>
      <c r="Q609" s="34"/>
      <c r="R609" s="40"/>
      <c r="S609" s="40"/>
      <c r="T609" s="34"/>
      <c r="U609" s="40"/>
      <c r="V609" s="34"/>
      <c r="W609" s="40"/>
      <c r="X609" s="34"/>
      <c r="Y609" s="34"/>
      <c r="Z609" s="40"/>
      <c r="AA609" s="40"/>
      <c r="AB609" s="34"/>
      <c r="AC609" s="34"/>
      <c r="AD609" s="40"/>
      <c r="AE609" s="40"/>
      <c r="AF609" s="40"/>
      <c r="AG609" s="40"/>
      <c r="AH609" s="34"/>
      <c r="AI609" s="34"/>
      <c r="AJ609" s="34"/>
      <c r="AK609" s="40"/>
      <c r="AL609" s="34"/>
      <c r="AM609" s="40"/>
      <c r="AN609" s="40"/>
      <c r="AO609" s="40"/>
      <c r="AP609" s="40"/>
      <c r="AQ609" s="40"/>
      <c r="AR609" s="40"/>
      <c r="AS609" s="40"/>
      <c r="AT609" s="40"/>
      <c r="AU609" s="40"/>
    </row>
    <row r="610" spans="1:47" ht="15.75" customHeight="1" x14ac:dyDescent="0.25">
      <c r="A610" s="34"/>
      <c r="B610" s="35"/>
      <c r="C610" s="36"/>
      <c r="D610" s="37"/>
      <c r="E610" s="38"/>
      <c r="F610" s="39"/>
      <c r="G610" s="17"/>
      <c r="H610" s="39"/>
      <c r="I610" s="34"/>
      <c r="J610" s="40"/>
      <c r="K610" s="34"/>
      <c r="L610" s="34"/>
      <c r="M610" s="40"/>
      <c r="N610" s="34"/>
      <c r="O610" s="40"/>
      <c r="P610" s="34"/>
      <c r="Q610" s="34"/>
      <c r="R610" s="40"/>
      <c r="S610" s="40"/>
      <c r="T610" s="34"/>
      <c r="U610" s="40"/>
      <c r="V610" s="34"/>
      <c r="W610" s="40"/>
      <c r="X610" s="34"/>
      <c r="Y610" s="34"/>
      <c r="Z610" s="40"/>
      <c r="AA610" s="40"/>
      <c r="AB610" s="34"/>
      <c r="AC610" s="34"/>
      <c r="AD610" s="40"/>
      <c r="AE610" s="40"/>
      <c r="AF610" s="40"/>
      <c r="AG610" s="40"/>
      <c r="AH610" s="34"/>
      <c r="AI610" s="34"/>
      <c r="AJ610" s="34"/>
      <c r="AK610" s="40"/>
      <c r="AL610" s="34"/>
      <c r="AM610" s="40"/>
      <c r="AN610" s="40"/>
      <c r="AO610" s="40"/>
      <c r="AP610" s="40"/>
      <c r="AQ610" s="40"/>
      <c r="AR610" s="40"/>
      <c r="AS610" s="40"/>
      <c r="AT610" s="40"/>
      <c r="AU610" s="40"/>
    </row>
    <row r="611" spans="1:47" ht="15.75" customHeight="1" x14ac:dyDescent="0.25">
      <c r="A611" s="34"/>
      <c r="B611" s="35"/>
      <c r="C611" s="36"/>
      <c r="D611" s="37"/>
      <c r="E611" s="38"/>
      <c r="F611" s="39"/>
      <c r="G611" s="17"/>
      <c r="H611" s="39"/>
      <c r="I611" s="34"/>
      <c r="J611" s="40"/>
      <c r="K611" s="34"/>
      <c r="L611" s="34"/>
      <c r="M611" s="40"/>
      <c r="N611" s="34"/>
      <c r="O611" s="40"/>
      <c r="P611" s="34"/>
      <c r="Q611" s="34"/>
      <c r="R611" s="40"/>
      <c r="S611" s="40"/>
      <c r="T611" s="34"/>
      <c r="U611" s="40"/>
      <c r="V611" s="34"/>
      <c r="W611" s="40"/>
      <c r="X611" s="34"/>
      <c r="Y611" s="34"/>
      <c r="Z611" s="40"/>
      <c r="AA611" s="40"/>
      <c r="AB611" s="34"/>
      <c r="AC611" s="34"/>
      <c r="AD611" s="40"/>
      <c r="AE611" s="40"/>
      <c r="AF611" s="40"/>
      <c r="AG611" s="40"/>
      <c r="AH611" s="34"/>
      <c r="AI611" s="34"/>
      <c r="AJ611" s="34"/>
      <c r="AK611" s="40"/>
      <c r="AL611" s="34"/>
      <c r="AM611" s="40"/>
      <c r="AN611" s="40"/>
      <c r="AO611" s="40"/>
      <c r="AP611" s="40"/>
      <c r="AQ611" s="40"/>
      <c r="AR611" s="40"/>
      <c r="AS611" s="40"/>
      <c r="AT611" s="40"/>
      <c r="AU611" s="40"/>
    </row>
    <row r="612" spans="1:47" ht="15.75" customHeight="1" x14ac:dyDescent="0.25">
      <c r="A612" s="34"/>
      <c r="B612" s="35"/>
      <c r="C612" s="36"/>
      <c r="D612" s="37"/>
      <c r="E612" s="38"/>
      <c r="F612" s="39"/>
      <c r="G612" s="17"/>
      <c r="H612" s="39"/>
      <c r="I612" s="34"/>
      <c r="J612" s="40"/>
      <c r="K612" s="34"/>
      <c r="L612" s="34"/>
      <c r="M612" s="40"/>
      <c r="N612" s="34"/>
      <c r="O612" s="40"/>
      <c r="P612" s="34"/>
      <c r="Q612" s="34"/>
      <c r="R612" s="40"/>
      <c r="S612" s="40"/>
      <c r="T612" s="34"/>
      <c r="U612" s="40"/>
      <c r="V612" s="34"/>
      <c r="W612" s="40"/>
      <c r="X612" s="34"/>
      <c r="Y612" s="34"/>
      <c r="Z612" s="40"/>
      <c r="AA612" s="40"/>
      <c r="AB612" s="34"/>
      <c r="AC612" s="34"/>
      <c r="AD612" s="40"/>
      <c r="AE612" s="40"/>
      <c r="AF612" s="40"/>
      <c r="AG612" s="40"/>
      <c r="AH612" s="34"/>
      <c r="AI612" s="34"/>
      <c r="AJ612" s="34"/>
      <c r="AK612" s="40"/>
      <c r="AL612" s="34"/>
      <c r="AM612" s="40"/>
      <c r="AN612" s="40"/>
      <c r="AO612" s="40"/>
      <c r="AP612" s="40"/>
      <c r="AQ612" s="40"/>
      <c r="AR612" s="40"/>
      <c r="AS612" s="40"/>
      <c r="AT612" s="40"/>
      <c r="AU612" s="40"/>
    </row>
    <row r="613" spans="1:47" ht="15.75" customHeight="1" x14ac:dyDescent="0.25">
      <c r="A613" s="34"/>
      <c r="B613" s="35"/>
      <c r="C613" s="36"/>
      <c r="D613" s="37"/>
      <c r="E613" s="38"/>
      <c r="F613" s="39"/>
      <c r="G613" s="17"/>
      <c r="H613" s="39"/>
      <c r="I613" s="34"/>
      <c r="J613" s="40"/>
      <c r="K613" s="34"/>
      <c r="L613" s="34"/>
      <c r="M613" s="40"/>
      <c r="N613" s="34"/>
      <c r="O613" s="40"/>
      <c r="P613" s="34"/>
      <c r="Q613" s="34"/>
      <c r="R613" s="40"/>
      <c r="S613" s="40"/>
      <c r="T613" s="34"/>
      <c r="U613" s="40"/>
      <c r="V613" s="34"/>
      <c r="W613" s="40"/>
      <c r="X613" s="34"/>
      <c r="Y613" s="34"/>
      <c r="Z613" s="40"/>
      <c r="AA613" s="40"/>
      <c r="AB613" s="34"/>
      <c r="AC613" s="34"/>
      <c r="AD613" s="40"/>
      <c r="AE613" s="40"/>
      <c r="AF613" s="40"/>
      <c r="AG613" s="40"/>
      <c r="AH613" s="34"/>
      <c r="AI613" s="34"/>
      <c r="AJ613" s="34"/>
      <c r="AK613" s="40"/>
      <c r="AL613" s="34"/>
      <c r="AM613" s="40"/>
      <c r="AN613" s="40"/>
      <c r="AO613" s="40"/>
      <c r="AP613" s="40"/>
      <c r="AQ613" s="40"/>
      <c r="AR613" s="40"/>
      <c r="AS613" s="40"/>
      <c r="AT613" s="40"/>
      <c r="AU613" s="40"/>
    </row>
    <row r="614" spans="1:47" ht="15.75" customHeight="1" x14ac:dyDescent="0.25">
      <c r="A614" s="34"/>
      <c r="B614" s="35"/>
      <c r="C614" s="36"/>
      <c r="D614" s="37"/>
      <c r="E614" s="38"/>
      <c r="F614" s="39"/>
      <c r="G614" s="17"/>
      <c r="H614" s="39"/>
      <c r="I614" s="34"/>
      <c r="J614" s="40"/>
      <c r="K614" s="34"/>
      <c r="L614" s="34"/>
      <c r="M614" s="40"/>
      <c r="N614" s="34"/>
      <c r="O614" s="40"/>
      <c r="P614" s="34"/>
      <c r="Q614" s="34"/>
      <c r="R614" s="40"/>
      <c r="S614" s="40"/>
      <c r="T614" s="34"/>
      <c r="U614" s="40"/>
      <c r="V614" s="34"/>
      <c r="W614" s="40"/>
      <c r="X614" s="34"/>
      <c r="Y614" s="34"/>
      <c r="Z614" s="40"/>
      <c r="AA614" s="40"/>
      <c r="AB614" s="34"/>
      <c r="AC614" s="34"/>
      <c r="AD614" s="40"/>
      <c r="AE614" s="40"/>
      <c r="AF614" s="40"/>
      <c r="AG614" s="40"/>
      <c r="AH614" s="34"/>
      <c r="AI614" s="34"/>
      <c r="AJ614" s="34"/>
      <c r="AK614" s="40"/>
      <c r="AL614" s="34"/>
      <c r="AM614" s="40"/>
      <c r="AN614" s="40"/>
      <c r="AO614" s="40"/>
      <c r="AP614" s="40"/>
      <c r="AQ614" s="40"/>
      <c r="AR614" s="40"/>
      <c r="AS614" s="40"/>
      <c r="AT614" s="40"/>
      <c r="AU614" s="40"/>
    </row>
    <row r="615" spans="1:47" ht="15.75" customHeight="1" x14ac:dyDescent="0.25">
      <c r="A615" s="34"/>
      <c r="B615" s="35"/>
      <c r="C615" s="36"/>
      <c r="D615" s="37"/>
      <c r="E615" s="38"/>
      <c r="F615" s="39"/>
      <c r="G615" s="17"/>
      <c r="H615" s="39"/>
      <c r="I615" s="34"/>
      <c r="J615" s="40"/>
      <c r="K615" s="34"/>
      <c r="L615" s="34"/>
      <c r="M615" s="40"/>
      <c r="N615" s="34"/>
      <c r="O615" s="40"/>
      <c r="P615" s="34"/>
      <c r="Q615" s="34"/>
      <c r="R615" s="40"/>
      <c r="S615" s="40"/>
      <c r="T615" s="34"/>
      <c r="U615" s="40"/>
      <c r="V615" s="34"/>
      <c r="W615" s="40"/>
      <c r="X615" s="34"/>
      <c r="Y615" s="34"/>
      <c r="Z615" s="40"/>
      <c r="AA615" s="40"/>
      <c r="AB615" s="34"/>
      <c r="AC615" s="34"/>
      <c r="AD615" s="40"/>
      <c r="AE615" s="40"/>
      <c r="AF615" s="40"/>
      <c r="AG615" s="40"/>
      <c r="AH615" s="34"/>
      <c r="AI615" s="34"/>
      <c r="AJ615" s="34"/>
      <c r="AK615" s="40"/>
      <c r="AL615" s="34"/>
      <c r="AM615" s="40"/>
      <c r="AN615" s="40"/>
      <c r="AO615" s="40"/>
      <c r="AP615" s="40"/>
      <c r="AQ615" s="40"/>
      <c r="AR615" s="40"/>
      <c r="AS615" s="40"/>
      <c r="AT615" s="40"/>
      <c r="AU615" s="40"/>
    </row>
    <row r="616" spans="1:47" ht="15.75" customHeight="1" x14ac:dyDescent="0.25">
      <c r="A616" s="34"/>
      <c r="B616" s="35"/>
      <c r="C616" s="36"/>
      <c r="D616" s="37"/>
      <c r="E616" s="38"/>
      <c r="F616" s="39"/>
      <c r="G616" s="17"/>
      <c r="H616" s="39"/>
      <c r="I616" s="34"/>
      <c r="J616" s="40"/>
      <c r="K616" s="34"/>
      <c r="L616" s="34"/>
      <c r="M616" s="40"/>
      <c r="N616" s="34"/>
      <c r="O616" s="40"/>
      <c r="P616" s="34"/>
      <c r="Q616" s="34"/>
      <c r="R616" s="40"/>
      <c r="S616" s="40"/>
      <c r="T616" s="34"/>
      <c r="U616" s="40"/>
      <c r="V616" s="34"/>
      <c r="W616" s="40"/>
      <c r="X616" s="34"/>
      <c r="Y616" s="34"/>
      <c r="Z616" s="40"/>
      <c r="AA616" s="40"/>
      <c r="AB616" s="34"/>
      <c r="AC616" s="34"/>
      <c r="AD616" s="40"/>
      <c r="AE616" s="40"/>
      <c r="AF616" s="40"/>
      <c r="AG616" s="40"/>
      <c r="AH616" s="34"/>
      <c r="AI616" s="34"/>
      <c r="AJ616" s="34"/>
      <c r="AK616" s="40"/>
      <c r="AL616" s="34"/>
      <c r="AM616" s="40"/>
      <c r="AN616" s="40"/>
      <c r="AO616" s="40"/>
      <c r="AP616" s="40"/>
      <c r="AQ616" s="40"/>
      <c r="AR616" s="40"/>
      <c r="AS616" s="40"/>
      <c r="AT616" s="40"/>
      <c r="AU616" s="40"/>
    </row>
    <row r="617" spans="1:47" ht="15.75" customHeight="1" x14ac:dyDescent="0.25">
      <c r="A617" s="34"/>
      <c r="B617" s="35"/>
      <c r="C617" s="36"/>
      <c r="D617" s="37"/>
      <c r="E617" s="38"/>
      <c r="F617" s="39"/>
      <c r="G617" s="17"/>
      <c r="H617" s="39"/>
      <c r="I617" s="34"/>
      <c r="J617" s="40"/>
      <c r="K617" s="34"/>
      <c r="L617" s="34"/>
      <c r="M617" s="40"/>
      <c r="N617" s="34"/>
      <c r="O617" s="40"/>
      <c r="P617" s="34"/>
      <c r="Q617" s="34"/>
      <c r="R617" s="40"/>
      <c r="S617" s="40"/>
      <c r="T617" s="34"/>
      <c r="U617" s="40"/>
      <c r="V617" s="34"/>
      <c r="W617" s="40"/>
      <c r="X617" s="34"/>
      <c r="Y617" s="34"/>
      <c r="Z617" s="40"/>
      <c r="AA617" s="40"/>
      <c r="AB617" s="34"/>
      <c r="AC617" s="34"/>
      <c r="AD617" s="40"/>
      <c r="AE617" s="40"/>
      <c r="AF617" s="40"/>
      <c r="AG617" s="40"/>
      <c r="AH617" s="34"/>
      <c r="AI617" s="34"/>
      <c r="AJ617" s="34"/>
      <c r="AK617" s="40"/>
      <c r="AL617" s="34"/>
      <c r="AM617" s="40"/>
      <c r="AN617" s="40"/>
      <c r="AO617" s="40"/>
      <c r="AP617" s="40"/>
      <c r="AQ617" s="40"/>
      <c r="AR617" s="40"/>
      <c r="AS617" s="40"/>
      <c r="AT617" s="40"/>
      <c r="AU617" s="40"/>
    </row>
    <row r="618" spans="1:47" ht="15.75" customHeight="1" x14ac:dyDescent="0.25">
      <c r="A618" s="34"/>
      <c r="B618" s="35"/>
      <c r="C618" s="36"/>
      <c r="D618" s="37"/>
      <c r="E618" s="38"/>
      <c r="F618" s="39"/>
      <c r="G618" s="17"/>
      <c r="H618" s="39"/>
      <c r="I618" s="34"/>
      <c r="J618" s="40"/>
      <c r="K618" s="34"/>
      <c r="L618" s="34"/>
      <c r="M618" s="40"/>
      <c r="N618" s="34"/>
      <c r="O618" s="40"/>
      <c r="P618" s="34"/>
      <c r="Q618" s="34"/>
      <c r="R618" s="40"/>
      <c r="S618" s="40"/>
      <c r="T618" s="34"/>
      <c r="U618" s="40"/>
      <c r="V618" s="34"/>
      <c r="W618" s="40"/>
      <c r="X618" s="34"/>
      <c r="Y618" s="34"/>
      <c r="Z618" s="40"/>
      <c r="AA618" s="40"/>
      <c r="AB618" s="34"/>
      <c r="AC618" s="34"/>
      <c r="AD618" s="40"/>
      <c r="AE618" s="40"/>
      <c r="AF618" s="40"/>
      <c r="AG618" s="40"/>
      <c r="AH618" s="34"/>
      <c r="AI618" s="34"/>
      <c r="AJ618" s="34"/>
      <c r="AK618" s="40"/>
      <c r="AL618" s="34"/>
      <c r="AM618" s="40"/>
      <c r="AN618" s="40"/>
      <c r="AO618" s="40"/>
      <c r="AP618" s="40"/>
      <c r="AQ618" s="40"/>
      <c r="AR618" s="40"/>
      <c r="AS618" s="40"/>
      <c r="AT618" s="40"/>
      <c r="AU618" s="40"/>
    </row>
    <row r="619" spans="1:47" ht="15.75" customHeight="1" x14ac:dyDescent="0.25">
      <c r="A619" s="34"/>
      <c r="B619" s="35"/>
      <c r="C619" s="36"/>
      <c r="D619" s="37"/>
      <c r="E619" s="38"/>
      <c r="F619" s="39"/>
      <c r="G619" s="17"/>
      <c r="H619" s="39"/>
      <c r="I619" s="34"/>
      <c r="J619" s="40"/>
      <c r="K619" s="34"/>
      <c r="L619" s="34"/>
      <c r="M619" s="40"/>
      <c r="N619" s="34"/>
      <c r="O619" s="40"/>
      <c r="P619" s="34"/>
      <c r="Q619" s="34"/>
      <c r="R619" s="40"/>
      <c r="S619" s="40"/>
      <c r="T619" s="34"/>
      <c r="U619" s="40"/>
      <c r="V619" s="34"/>
      <c r="W619" s="40"/>
      <c r="X619" s="34"/>
      <c r="Y619" s="34"/>
      <c r="Z619" s="40"/>
      <c r="AA619" s="40"/>
      <c r="AB619" s="34"/>
      <c r="AC619" s="34"/>
      <c r="AD619" s="40"/>
      <c r="AE619" s="40"/>
      <c r="AF619" s="40"/>
      <c r="AG619" s="40"/>
      <c r="AH619" s="34"/>
      <c r="AI619" s="34"/>
      <c r="AJ619" s="34"/>
      <c r="AK619" s="40"/>
      <c r="AL619" s="34"/>
      <c r="AM619" s="40"/>
      <c r="AN619" s="40"/>
      <c r="AO619" s="40"/>
      <c r="AP619" s="40"/>
      <c r="AQ619" s="40"/>
      <c r="AR619" s="40"/>
      <c r="AS619" s="40"/>
      <c r="AT619" s="40"/>
      <c r="AU619" s="40"/>
    </row>
    <row r="620" spans="1:47" ht="15.75" customHeight="1" x14ac:dyDescent="0.25">
      <c r="A620" s="34"/>
      <c r="B620" s="35"/>
      <c r="C620" s="36"/>
      <c r="D620" s="37"/>
      <c r="E620" s="38"/>
      <c r="F620" s="39"/>
      <c r="G620" s="17"/>
      <c r="H620" s="39"/>
      <c r="I620" s="34"/>
      <c r="J620" s="40"/>
      <c r="K620" s="34"/>
      <c r="L620" s="34"/>
      <c r="M620" s="40"/>
      <c r="N620" s="34"/>
      <c r="O620" s="40"/>
      <c r="P620" s="34"/>
      <c r="Q620" s="34"/>
      <c r="R620" s="40"/>
      <c r="S620" s="40"/>
      <c r="T620" s="34"/>
      <c r="U620" s="40"/>
      <c r="V620" s="34"/>
      <c r="W620" s="40"/>
      <c r="X620" s="34"/>
      <c r="Y620" s="34"/>
      <c r="Z620" s="40"/>
      <c r="AA620" s="40"/>
      <c r="AB620" s="34"/>
      <c r="AC620" s="34"/>
      <c r="AD620" s="40"/>
      <c r="AE620" s="40"/>
      <c r="AF620" s="40"/>
      <c r="AG620" s="40"/>
      <c r="AH620" s="34"/>
      <c r="AI620" s="34"/>
      <c r="AJ620" s="34"/>
      <c r="AK620" s="40"/>
      <c r="AL620" s="34"/>
      <c r="AM620" s="40"/>
      <c r="AN620" s="40"/>
      <c r="AO620" s="40"/>
      <c r="AP620" s="40"/>
      <c r="AQ620" s="40"/>
      <c r="AR620" s="40"/>
      <c r="AS620" s="40"/>
      <c r="AT620" s="40"/>
      <c r="AU620" s="40"/>
    </row>
    <row r="621" spans="1:47" ht="15.75" customHeight="1" x14ac:dyDescent="0.25">
      <c r="A621" s="34"/>
      <c r="B621" s="35"/>
      <c r="C621" s="36"/>
      <c r="D621" s="37"/>
      <c r="E621" s="38"/>
      <c r="F621" s="39"/>
      <c r="G621" s="17"/>
      <c r="H621" s="39"/>
      <c r="I621" s="34"/>
      <c r="J621" s="40"/>
      <c r="K621" s="34"/>
      <c r="L621" s="34"/>
      <c r="M621" s="40"/>
      <c r="N621" s="34"/>
      <c r="O621" s="40"/>
      <c r="P621" s="34"/>
      <c r="Q621" s="34"/>
      <c r="R621" s="40"/>
      <c r="S621" s="40"/>
      <c r="T621" s="34"/>
      <c r="U621" s="40"/>
      <c r="V621" s="34"/>
      <c r="W621" s="40"/>
      <c r="X621" s="34"/>
      <c r="Y621" s="34"/>
      <c r="Z621" s="40"/>
      <c r="AA621" s="40"/>
      <c r="AB621" s="34"/>
      <c r="AC621" s="34"/>
      <c r="AD621" s="40"/>
      <c r="AE621" s="40"/>
      <c r="AF621" s="40"/>
      <c r="AG621" s="40"/>
      <c r="AH621" s="34"/>
      <c r="AI621" s="34"/>
      <c r="AJ621" s="34"/>
      <c r="AK621" s="40"/>
      <c r="AL621" s="34"/>
      <c r="AM621" s="40"/>
      <c r="AN621" s="40"/>
      <c r="AO621" s="40"/>
      <c r="AP621" s="40"/>
      <c r="AQ621" s="40"/>
      <c r="AR621" s="40"/>
      <c r="AS621" s="40"/>
      <c r="AT621" s="40"/>
      <c r="AU621" s="40"/>
    </row>
    <row r="622" spans="1:47" ht="15.75" customHeight="1" x14ac:dyDescent="0.25">
      <c r="A622" s="34"/>
      <c r="B622" s="35"/>
      <c r="C622" s="36"/>
      <c r="D622" s="37"/>
      <c r="E622" s="38"/>
      <c r="F622" s="39"/>
      <c r="G622" s="17"/>
      <c r="H622" s="39"/>
      <c r="I622" s="34"/>
      <c r="J622" s="40"/>
      <c r="K622" s="34"/>
      <c r="L622" s="34"/>
      <c r="M622" s="40"/>
      <c r="N622" s="34"/>
      <c r="O622" s="40"/>
      <c r="P622" s="34"/>
      <c r="Q622" s="34"/>
      <c r="R622" s="40"/>
      <c r="S622" s="40"/>
      <c r="T622" s="34"/>
      <c r="U622" s="40"/>
      <c r="V622" s="34"/>
      <c r="W622" s="40"/>
      <c r="X622" s="34"/>
      <c r="Y622" s="34"/>
      <c r="Z622" s="40"/>
      <c r="AA622" s="40"/>
      <c r="AB622" s="34"/>
      <c r="AC622" s="34"/>
      <c r="AD622" s="40"/>
      <c r="AE622" s="40"/>
      <c r="AF622" s="40"/>
      <c r="AG622" s="40"/>
      <c r="AH622" s="34"/>
      <c r="AI622" s="34"/>
      <c r="AJ622" s="34"/>
      <c r="AK622" s="40"/>
      <c r="AL622" s="34"/>
      <c r="AM622" s="40"/>
      <c r="AN622" s="40"/>
      <c r="AO622" s="40"/>
      <c r="AP622" s="40"/>
      <c r="AQ622" s="40"/>
      <c r="AR622" s="40"/>
      <c r="AS622" s="40"/>
      <c r="AT622" s="40"/>
      <c r="AU622" s="40"/>
    </row>
    <row r="623" spans="1:47" ht="15.75" customHeight="1" x14ac:dyDescent="0.25">
      <c r="A623" s="34"/>
      <c r="B623" s="35"/>
      <c r="C623" s="36"/>
      <c r="D623" s="37"/>
      <c r="E623" s="38"/>
      <c r="F623" s="39"/>
      <c r="G623" s="17"/>
      <c r="H623" s="39"/>
      <c r="I623" s="34"/>
      <c r="J623" s="40"/>
      <c r="K623" s="34"/>
      <c r="L623" s="34"/>
      <c r="M623" s="40"/>
      <c r="N623" s="34"/>
      <c r="O623" s="40"/>
      <c r="P623" s="34"/>
      <c r="Q623" s="34"/>
      <c r="R623" s="40"/>
      <c r="S623" s="40"/>
      <c r="T623" s="34"/>
      <c r="U623" s="40"/>
      <c r="V623" s="34"/>
      <c r="W623" s="40"/>
      <c r="X623" s="34"/>
      <c r="Y623" s="34"/>
      <c r="Z623" s="40"/>
      <c r="AA623" s="40"/>
      <c r="AB623" s="34"/>
      <c r="AC623" s="34"/>
      <c r="AD623" s="40"/>
      <c r="AE623" s="40"/>
      <c r="AF623" s="40"/>
      <c r="AG623" s="40"/>
      <c r="AH623" s="34"/>
      <c r="AI623" s="34"/>
      <c r="AJ623" s="34"/>
      <c r="AK623" s="40"/>
      <c r="AL623" s="34"/>
      <c r="AM623" s="40"/>
      <c r="AN623" s="40"/>
      <c r="AO623" s="40"/>
      <c r="AP623" s="40"/>
      <c r="AQ623" s="40"/>
      <c r="AR623" s="40"/>
      <c r="AS623" s="40"/>
      <c r="AT623" s="40"/>
      <c r="AU623" s="40"/>
    </row>
    <row r="624" spans="1:47" ht="15.75" customHeight="1" x14ac:dyDescent="0.25">
      <c r="A624" s="34"/>
      <c r="B624" s="35"/>
      <c r="C624" s="36"/>
      <c r="D624" s="37"/>
      <c r="E624" s="38"/>
      <c r="F624" s="39"/>
      <c r="G624" s="17"/>
      <c r="H624" s="39"/>
      <c r="I624" s="34"/>
      <c r="J624" s="40"/>
      <c r="K624" s="34"/>
      <c r="L624" s="34"/>
      <c r="M624" s="40"/>
      <c r="N624" s="34"/>
      <c r="O624" s="40"/>
      <c r="P624" s="34"/>
      <c r="Q624" s="34"/>
      <c r="R624" s="40"/>
      <c r="S624" s="40"/>
      <c r="T624" s="34"/>
      <c r="U624" s="40"/>
      <c r="V624" s="34"/>
      <c r="W624" s="40"/>
      <c r="X624" s="34"/>
      <c r="Y624" s="34"/>
      <c r="Z624" s="40"/>
      <c r="AA624" s="40"/>
      <c r="AB624" s="34"/>
      <c r="AC624" s="34"/>
      <c r="AD624" s="40"/>
      <c r="AE624" s="40"/>
      <c r="AF624" s="40"/>
      <c r="AG624" s="40"/>
      <c r="AH624" s="34"/>
      <c r="AI624" s="34"/>
      <c r="AJ624" s="34"/>
      <c r="AK624" s="40"/>
      <c r="AL624" s="34"/>
      <c r="AM624" s="40"/>
      <c r="AN624" s="40"/>
      <c r="AO624" s="40"/>
      <c r="AP624" s="40"/>
      <c r="AQ624" s="40"/>
      <c r="AR624" s="40"/>
      <c r="AS624" s="40"/>
      <c r="AT624" s="40"/>
      <c r="AU624" s="40"/>
    </row>
    <row r="625" spans="1:47" ht="15.75" customHeight="1" x14ac:dyDescent="0.25">
      <c r="A625" s="34"/>
      <c r="B625" s="35"/>
      <c r="C625" s="36"/>
      <c r="D625" s="37"/>
      <c r="E625" s="38"/>
      <c r="F625" s="39"/>
      <c r="G625" s="17"/>
      <c r="H625" s="39"/>
      <c r="I625" s="34"/>
      <c r="J625" s="40"/>
      <c r="K625" s="34"/>
      <c r="L625" s="34"/>
      <c r="M625" s="40"/>
      <c r="N625" s="34"/>
      <c r="O625" s="40"/>
      <c r="P625" s="34"/>
      <c r="Q625" s="34"/>
      <c r="R625" s="40"/>
      <c r="S625" s="40"/>
      <c r="T625" s="34"/>
      <c r="U625" s="40"/>
      <c r="V625" s="34"/>
      <c r="W625" s="40"/>
      <c r="X625" s="34"/>
      <c r="Y625" s="34"/>
      <c r="Z625" s="40"/>
      <c r="AA625" s="40"/>
      <c r="AB625" s="34"/>
      <c r="AC625" s="34"/>
      <c r="AD625" s="40"/>
      <c r="AE625" s="40"/>
      <c r="AF625" s="40"/>
      <c r="AG625" s="40"/>
      <c r="AH625" s="34"/>
      <c r="AI625" s="34"/>
      <c r="AJ625" s="34"/>
      <c r="AK625" s="40"/>
      <c r="AL625" s="34"/>
      <c r="AM625" s="40"/>
      <c r="AN625" s="40"/>
      <c r="AO625" s="40"/>
      <c r="AP625" s="40"/>
      <c r="AQ625" s="40"/>
      <c r="AR625" s="40"/>
      <c r="AS625" s="40"/>
      <c r="AT625" s="40"/>
      <c r="AU625" s="40"/>
    </row>
    <row r="626" spans="1:47" ht="15.75" customHeight="1" x14ac:dyDescent="0.25">
      <c r="A626" s="34"/>
      <c r="B626" s="35"/>
      <c r="C626" s="36"/>
      <c r="D626" s="37"/>
      <c r="E626" s="38"/>
      <c r="F626" s="39"/>
      <c r="G626" s="17"/>
      <c r="H626" s="39"/>
      <c r="I626" s="34"/>
      <c r="J626" s="40"/>
      <c r="K626" s="34"/>
      <c r="L626" s="34"/>
      <c r="M626" s="40"/>
      <c r="N626" s="34"/>
      <c r="O626" s="40"/>
      <c r="P626" s="34"/>
      <c r="Q626" s="34"/>
      <c r="R626" s="40"/>
      <c r="S626" s="40"/>
      <c r="T626" s="34"/>
      <c r="U626" s="40"/>
      <c r="V626" s="34"/>
      <c r="W626" s="40"/>
      <c r="X626" s="34"/>
      <c r="Y626" s="34"/>
      <c r="Z626" s="40"/>
      <c r="AA626" s="40"/>
      <c r="AB626" s="34"/>
      <c r="AC626" s="34"/>
      <c r="AD626" s="40"/>
      <c r="AE626" s="40"/>
      <c r="AF626" s="40"/>
      <c r="AG626" s="40"/>
      <c r="AH626" s="34"/>
      <c r="AI626" s="34"/>
      <c r="AJ626" s="34"/>
      <c r="AK626" s="40"/>
      <c r="AL626" s="34"/>
      <c r="AM626" s="40"/>
      <c r="AN626" s="40"/>
      <c r="AO626" s="40"/>
      <c r="AP626" s="40"/>
      <c r="AQ626" s="40"/>
      <c r="AR626" s="40"/>
      <c r="AS626" s="40"/>
      <c r="AT626" s="40"/>
      <c r="AU626" s="40"/>
    </row>
    <row r="627" spans="1:47" ht="15.75" customHeight="1" x14ac:dyDescent="0.25">
      <c r="A627" s="34"/>
      <c r="B627" s="35"/>
      <c r="C627" s="36"/>
      <c r="D627" s="37"/>
      <c r="E627" s="38"/>
      <c r="F627" s="39"/>
      <c r="G627" s="17"/>
      <c r="H627" s="39"/>
      <c r="I627" s="34"/>
      <c r="J627" s="40"/>
      <c r="K627" s="34"/>
      <c r="L627" s="34"/>
      <c r="M627" s="40"/>
      <c r="N627" s="34"/>
      <c r="O627" s="40"/>
      <c r="P627" s="34"/>
      <c r="Q627" s="34"/>
      <c r="R627" s="40"/>
      <c r="S627" s="40"/>
      <c r="T627" s="34"/>
      <c r="U627" s="40"/>
      <c r="V627" s="34"/>
      <c r="W627" s="40"/>
      <c r="X627" s="34"/>
      <c r="Y627" s="34"/>
      <c r="Z627" s="40"/>
      <c r="AA627" s="40"/>
      <c r="AB627" s="34"/>
      <c r="AC627" s="34"/>
      <c r="AD627" s="40"/>
      <c r="AE627" s="40"/>
      <c r="AF627" s="40"/>
      <c r="AG627" s="40"/>
      <c r="AH627" s="34"/>
      <c r="AI627" s="34"/>
      <c r="AJ627" s="34"/>
      <c r="AK627" s="40"/>
      <c r="AL627" s="34"/>
      <c r="AM627" s="40"/>
      <c r="AN627" s="40"/>
      <c r="AO627" s="40"/>
      <c r="AP627" s="40"/>
      <c r="AQ627" s="40"/>
      <c r="AR627" s="40"/>
      <c r="AS627" s="40"/>
      <c r="AT627" s="40"/>
      <c r="AU627" s="40"/>
    </row>
    <row r="628" spans="1:47" ht="15.75" customHeight="1" x14ac:dyDescent="0.25">
      <c r="A628" s="34"/>
      <c r="B628" s="35"/>
      <c r="C628" s="36"/>
      <c r="D628" s="37"/>
      <c r="E628" s="38"/>
      <c r="F628" s="39"/>
      <c r="G628" s="17"/>
      <c r="H628" s="39"/>
      <c r="I628" s="34"/>
      <c r="J628" s="40"/>
      <c r="K628" s="34"/>
      <c r="L628" s="34"/>
      <c r="M628" s="40"/>
      <c r="N628" s="34"/>
      <c r="O628" s="40"/>
      <c r="P628" s="34"/>
      <c r="Q628" s="34"/>
      <c r="R628" s="40"/>
      <c r="S628" s="40"/>
      <c r="T628" s="34"/>
      <c r="U628" s="40"/>
      <c r="V628" s="34"/>
      <c r="W628" s="40"/>
      <c r="X628" s="34"/>
      <c r="Y628" s="34"/>
      <c r="Z628" s="40"/>
      <c r="AA628" s="40"/>
      <c r="AB628" s="34"/>
      <c r="AC628" s="34"/>
      <c r="AD628" s="40"/>
      <c r="AE628" s="40"/>
      <c r="AF628" s="40"/>
      <c r="AG628" s="40"/>
      <c r="AH628" s="34"/>
      <c r="AI628" s="34"/>
      <c r="AJ628" s="34"/>
      <c r="AK628" s="40"/>
      <c r="AL628" s="34"/>
      <c r="AM628" s="40"/>
      <c r="AN628" s="40"/>
      <c r="AO628" s="40"/>
      <c r="AP628" s="40"/>
      <c r="AQ628" s="40"/>
      <c r="AR628" s="40"/>
      <c r="AS628" s="40"/>
      <c r="AT628" s="40"/>
      <c r="AU628" s="40"/>
    </row>
    <row r="629" spans="1:47" ht="15.75" customHeight="1" x14ac:dyDescent="0.25">
      <c r="A629" s="34"/>
      <c r="B629" s="35"/>
      <c r="C629" s="36"/>
      <c r="D629" s="37"/>
      <c r="E629" s="38"/>
      <c r="F629" s="39"/>
      <c r="G629" s="17"/>
      <c r="H629" s="39"/>
      <c r="I629" s="34"/>
      <c r="J629" s="40"/>
      <c r="K629" s="34"/>
      <c r="L629" s="34"/>
      <c r="M629" s="40"/>
      <c r="N629" s="34"/>
      <c r="O629" s="40"/>
      <c r="P629" s="34"/>
      <c r="Q629" s="34"/>
      <c r="R629" s="40"/>
      <c r="S629" s="40"/>
      <c r="T629" s="34"/>
      <c r="U629" s="40"/>
      <c r="V629" s="34"/>
      <c r="W629" s="40"/>
      <c r="X629" s="34"/>
      <c r="Y629" s="34"/>
      <c r="Z629" s="40"/>
      <c r="AA629" s="40"/>
      <c r="AB629" s="34"/>
      <c r="AC629" s="34"/>
      <c r="AD629" s="40"/>
      <c r="AE629" s="40"/>
      <c r="AF629" s="40"/>
      <c r="AG629" s="40"/>
      <c r="AH629" s="34"/>
      <c r="AI629" s="34"/>
      <c r="AJ629" s="34"/>
      <c r="AK629" s="40"/>
      <c r="AL629" s="34"/>
      <c r="AM629" s="40"/>
      <c r="AN629" s="40"/>
      <c r="AO629" s="40"/>
      <c r="AP629" s="40"/>
      <c r="AQ629" s="40"/>
      <c r="AR629" s="40"/>
      <c r="AS629" s="40"/>
      <c r="AT629" s="40"/>
      <c r="AU629" s="40"/>
    </row>
    <row r="630" spans="1:47" ht="15.75" customHeight="1" x14ac:dyDescent="0.25">
      <c r="A630" s="34"/>
      <c r="B630" s="35"/>
      <c r="C630" s="36"/>
      <c r="D630" s="37"/>
      <c r="E630" s="38"/>
      <c r="F630" s="39"/>
      <c r="G630" s="17"/>
      <c r="H630" s="39"/>
      <c r="I630" s="34"/>
      <c r="J630" s="40"/>
      <c r="K630" s="34"/>
      <c r="L630" s="34"/>
      <c r="M630" s="40"/>
      <c r="N630" s="34"/>
      <c r="O630" s="40"/>
      <c r="P630" s="34"/>
      <c r="Q630" s="34"/>
      <c r="R630" s="40"/>
      <c r="S630" s="40"/>
      <c r="T630" s="34"/>
      <c r="U630" s="40"/>
      <c r="V630" s="34"/>
      <c r="W630" s="40"/>
      <c r="X630" s="34"/>
      <c r="Y630" s="34"/>
      <c r="Z630" s="40"/>
      <c r="AA630" s="40"/>
      <c r="AB630" s="34"/>
      <c r="AC630" s="34"/>
      <c r="AD630" s="40"/>
      <c r="AE630" s="40"/>
      <c r="AF630" s="40"/>
      <c r="AG630" s="40"/>
      <c r="AH630" s="34"/>
      <c r="AI630" s="34"/>
      <c r="AJ630" s="34"/>
      <c r="AK630" s="40"/>
      <c r="AL630" s="34"/>
      <c r="AM630" s="40"/>
      <c r="AN630" s="40"/>
      <c r="AO630" s="40"/>
      <c r="AP630" s="40"/>
      <c r="AQ630" s="40"/>
      <c r="AR630" s="40"/>
      <c r="AS630" s="40"/>
      <c r="AT630" s="40"/>
      <c r="AU630" s="40"/>
    </row>
    <row r="631" spans="1:47" ht="15.75" customHeight="1" x14ac:dyDescent="0.25">
      <c r="A631" s="34"/>
      <c r="B631" s="35"/>
      <c r="C631" s="36"/>
      <c r="D631" s="37"/>
      <c r="E631" s="38"/>
      <c r="F631" s="39"/>
      <c r="G631" s="17"/>
      <c r="H631" s="39"/>
      <c r="I631" s="34"/>
      <c r="J631" s="40"/>
      <c r="K631" s="34"/>
      <c r="L631" s="34"/>
      <c r="M631" s="40"/>
      <c r="N631" s="34"/>
      <c r="O631" s="40"/>
      <c r="P631" s="34"/>
      <c r="Q631" s="34"/>
      <c r="R631" s="40"/>
      <c r="S631" s="40"/>
      <c r="T631" s="34"/>
      <c r="U631" s="40"/>
      <c r="V631" s="34"/>
      <c r="W631" s="40"/>
      <c r="X631" s="34"/>
      <c r="Y631" s="34"/>
      <c r="Z631" s="40"/>
      <c r="AA631" s="40"/>
      <c r="AB631" s="34"/>
      <c r="AC631" s="34"/>
      <c r="AD631" s="40"/>
      <c r="AE631" s="40"/>
      <c r="AF631" s="40"/>
      <c r="AG631" s="40"/>
      <c r="AH631" s="34"/>
      <c r="AI631" s="34"/>
      <c r="AJ631" s="34"/>
      <c r="AK631" s="40"/>
      <c r="AL631" s="34"/>
      <c r="AM631" s="40"/>
      <c r="AN631" s="40"/>
      <c r="AO631" s="40"/>
      <c r="AP631" s="40"/>
      <c r="AQ631" s="40"/>
      <c r="AR631" s="40"/>
      <c r="AS631" s="40"/>
      <c r="AT631" s="40"/>
      <c r="AU631" s="40"/>
    </row>
    <row r="632" spans="1:47" ht="15.75" customHeight="1" x14ac:dyDescent="0.25">
      <c r="A632" s="34"/>
      <c r="B632" s="35"/>
      <c r="C632" s="36"/>
      <c r="D632" s="37"/>
      <c r="E632" s="38"/>
      <c r="F632" s="39"/>
      <c r="G632" s="17"/>
      <c r="H632" s="39"/>
      <c r="I632" s="34"/>
      <c r="J632" s="40"/>
      <c r="K632" s="34"/>
      <c r="L632" s="34"/>
      <c r="M632" s="40"/>
      <c r="N632" s="34"/>
      <c r="O632" s="40"/>
      <c r="P632" s="34"/>
      <c r="Q632" s="34"/>
      <c r="R632" s="40"/>
      <c r="S632" s="40"/>
      <c r="T632" s="34"/>
      <c r="U632" s="40"/>
      <c r="V632" s="34"/>
      <c r="W632" s="40"/>
      <c r="X632" s="34"/>
      <c r="Y632" s="34"/>
      <c r="Z632" s="40"/>
      <c r="AA632" s="40"/>
      <c r="AB632" s="34"/>
      <c r="AC632" s="34"/>
      <c r="AD632" s="40"/>
      <c r="AE632" s="40"/>
      <c r="AF632" s="40"/>
      <c r="AG632" s="40"/>
      <c r="AH632" s="34"/>
      <c r="AI632" s="34"/>
      <c r="AJ632" s="34"/>
      <c r="AK632" s="40"/>
      <c r="AL632" s="34"/>
      <c r="AM632" s="40"/>
      <c r="AN632" s="40"/>
      <c r="AO632" s="40"/>
      <c r="AP632" s="40"/>
      <c r="AQ632" s="40"/>
      <c r="AR632" s="40"/>
      <c r="AS632" s="40"/>
      <c r="AT632" s="40"/>
      <c r="AU632" s="40"/>
    </row>
    <row r="633" spans="1:47" ht="15.75" customHeight="1" x14ac:dyDescent="0.25">
      <c r="A633" s="34"/>
      <c r="B633" s="35"/>
      <c r="C633" s="36"/>
      <c r="D633" s="37"/>
      <c r="E633" s="38"/>
      <c r="F633" s="39"/>
      <c r="G633" s="17"/>
      <c r="H633" s="39"/>
      <c r="I633" s="34"/>
      <c r="J633" s="40"/>
      <c r="K633" s="34"/>
      <c r="L633" s="34"/>
      <c r="M633" s="40"/>
      <c r="N633" s="34"/>
      <c r="O633" s="40"/>
      <c r="P633" s="34"/>
      <c r="Q633" s="34"/>
      <c r="R633" s="40"/>
      <c r="S633" s="40"/>
      <c r="T633" s="34"/>
      <c r="U633" s="40"/>
      <c r="V633" s="34"/>
      <c r="W633" s="40"/>
      <c r="X633" s="34"/>
      <c r="Y633" s="34"/>
      <c r="Z633" s="40"/>
      <c r="AA633" s="40"/>
      <c r="AB633" s="34"/>
      <c r="AC633" s="34"/>
      <c r="AD633" s="40"/>
      <c r="AE633" s="40"/>
      <c r="AF633" s="40"/>
      <c r="AG633" s="40"/>
      <c r="AH633" s="34"/>
      <c r="AI633" s="34"/>
      <c r="AJ633" s="34"/>
      <c r="AK633" s="40"/>
      <c r="AL633" s="34"/>
      <c r="AM633" s="40"/>
      <c r="AN633" s="40"/>
      <c r="AO633" s="40"/>
      <c r="AP633" s="40"/>
      <c r="AQ633" s="40"/>
      <c r="AR633" s="40"/>
      <c r="AS633" s="40"/>
      <c r="AT633" s="40"/>
      <c r="AU633" s="40"/>
    </row>
    <row r="634" spans="1:47" ht="15.75" customHeight="1" x14ac:dyDescent="0.25">
      <c r="A634" s="34"/>
      <c r="B634" s="35"/>
      <c r="C634" s="36"/>
      <c r="D634" s="37"/>
      <c r="E634" s="38"/>
      <c r="F634" s="39"/>
      <c r="G634" s="17"/>
      <c r="H634" s="39"/>
      <c r="I634" s="34"/>
      <c r="J634" s="40"/>
      <c r="K634" s="34"/>
      <c r="L634" s="34"/>
      <c r="M634" s="40"/>
      <c r="N634" s="34"/>
      <c r="O634" s="40"/>
      <c r="P634" s="34"/>
      <c r="Q634" s="34"/>
      <c r="R634" s="40"/>
      <c r="S634" s="40"/>
      <c r="T634" s="34"/>
      <c r="U634" s="40"/>
      <c r="V634" s="34"/>
      <c r="W634" s="40"/>
      <c r="X634" s="34"/>
      <c r="Y634" s="34"/>
      <c r="Z634" s="40"/>
      <c r="AA634" s="40"/>
      <c r="AB634" s="34"/>
      <c r="AC634" s="34"/>
      <c r="AD634" s="40"/>
      <c r="AE634" s="40"/>
      <c r="AF634" s="40"/>
      <c r="AG634" s="40"/>
      <c r="AH634" s="34"/>
      <c r="AI634" s="34"/>
      <c r="AJ634" s="34"/>
      <c r="AK634" s="40"/>
      <c r="AL634" s="34"/>
      <c r="AM634" s="40"/>
      <c r="AN634" s="40"/>
      <c r="AO634" s="40"/>
      <c r="AP634" s="40"/>
      <c r="AQ634" s="40"/>
      <c r="AR634" s="40"/>
      <c r="AS634" s="40"/>
      <c r="AT634" s="40"/>
      <c r="AU634" s="40"/>
    </row>
    <row r="635" spans="1:47" ht="15.75" customHeight="1" x14ac:dyDescent="0.25">
      <c r="A635" s="34"/>
      <c r="B635" s="35"/>
      <c r="C635" s="36"/>
      <c r="D635" s="37"/>
      <c r="E635" s="38"/>
      <c r="F635" s="39"/>
      <c r="G635" s="17"/>
      <c r="H635" s="39"/>
      <c r="I635" s="34"/>
      <c r="J635" s="40"/>
      <c r="K635" s="34"/>
      <c r="L635" s="34"/>
      <c r="M635" s="40"/>
      <c r="N635" s="34"/>
      <c r="O635" s="40"/>
      <c r="P635" s="34"/>
      <c r="Q635" s="34"/>
      <c r="R635" s="40"/>
      <c r="S635" s="40"/>
      <c r="T635" s="34"/>
      <c r="U635" s="40"/>
      <c r="V635" s="34"/>
      <c r="W635" s="40"/>
      <c r="X635" s="34"/>
      <c r="Y635" s="34"/>
      <c r="Z635" s="40"/>
      <c r="AA635" s="40"/>
      <c r="AB635" s="34"/>
      <c r="AC635" s="34"/>
      <c r="AD635" s="40"/>
      <c r="AE635" s="40"/>
      <c r="AF635" s="40"/>
      <c r="AG635" s="40"/>
      <c r="AH635" s="34"/>
      <c r="AI635" s="34"/>
      <c r="AJ635" s="34"/>
      <c r="AK635" s="40"/>
      <c r="AL635" s="34"/>
      <c r="AM635" s="40"/>
      <c r="AN635" s="40"/>
      <c r="AO635" s="40"/>
      <c r="AP635" s="40"/>
      <c r="AQ635" s="40"/>
      <c r="AR635" s="40"/>
      <c r="AS635" s="40"/>
      <c r="AT635" s="40"/>
      <c r="AU635" s="40"/>
    </row>
    <row r="636" spans="1:47" ht="15.75" customHeight="1" x14ac:dyDescent="0.25">
      <c r="A636" s="34"/>
      <c r="B636" s="35"/>
      <c r="C636" s="36"/>
      <c r="D636" s="37"/>
      <c r="E636" s="38"/>
      <c r="F636" s="39"/>
      <c r="G636" s="17"/>
      <c r="H636" s="39"/>
      <c r="I636" s="34"/>
      <c r="J636" s="40"/>
      <c r="K636" s="34"/>
      <c r="L636" s="34"/>
      <c r="M636" s="40"/>
      <c r="N636" s="34"/>
      <c r="O636" s="40"/>
      <c r="P636" s="34"/>
      <c r="Q636" s="34"/>
      <c r="R636" s="40"/>
      <c r="S636" s="40"/>
      <c r="T636" s="34"/>
      <c r="U636" s="40"/>
      <c r="V636" s="34"/>
      <c r="W636" s="40"/>
      <c r="X636" s="34"/>
      <c r="Y636" s="34"/>
      <c r="Z636" s="40"/>
      <c r="AA636" s="40"/>
      <c r="AB636" s="34"/>
      <c r="AC636" s="34"/>
      <c r="AD636" s="40"/>
      <c r="AE636" s="40"/>
      <c r="AF636" s="40"/>
      <c r="AG636" s="40"/>
      <c r="AH636" s="34"/>
      <c r="AI636" s="34"/>
      <c r="AJ636" s="34"/>
      <c r="AK636" s="40"/>
      <c r="AL636" s="34"/>
      <c r="AM636" s="40"/>
      <c r="AN636" s="40"/>
      <c r="AO636" s="40"/>
      <c r="AP636" s="40"/>
      <c r="AQ636" s="40"/>
      <c r="AR636" s="40"/>
      <c r="AS636" s="40"/>
      <c r="AT636" s="40"/>
      <c r="AU636" s="40"/>
    </row>
    <row r="637" spans="1:47" ht="15.75" customHeight="1" x14ac:dyDescent="0.25">
      <c r="A637" s="34"/>
      <c r="B637" s="35"/>
      <c r="C637" s="36"/>
      <c r="D637" s="37"/>
      <c r="E637" s="38"/>
      <c r="F637" s="39"/>
      <c r="G637" s="17"/>
      <c r="H637" s="39"/>
      <c r="I637" s="34"/>
      <c r="J637" s="40"/>
      <c r="K637" s="34"/>
      <c r="L637" s="34"/>
      <c r="M637" s="40"/>
      <c r="N637" s="34"/>
      <c r="O637" s="40"/>
      <c r="P637" s="34"/>
      <c r="Q637" s="34"/>
      <c r="R637" s="40"/>
      <c r="S637" s="40"/>
      <c r="T637" s="34"/>
      <c r="U637" s="40"/>
      <c r="V637" s="34"/>
      <c r="W637" s="40"/>
      <c r="X637" s="34"/>
      <c r="Y637" s="34"/>
      <c r="Z637" s="40"/>
      <c r="AA637" s="40"/>
      <c r="AB637" s="34"/>
      <c r="AC637" s="34"/>
      <c r="AD637" s="40"/>
      <c r="AE637" s="40"/>
      <c r="AF637" s="40"/>
      <c r="AG637" s="40"/>
      <c r="AH637" s="34"/>
      <c r="AI637" s="34"/>
      <c r="AJ637" s="34"/>
      <c r="AK637" s="40"/>
      <c r="AL637" s="34"/>
      <c r="AM637" s="40"/>
      <c r="AN637" s="40"/>
      <c r="AO637" s="40"/>
      <c r="AP637" s="40"/>
      <c r="AQ637" s="40"/>
      <c r="AR637" s="40"/>
      <c r="AS637" s="40"/>
      <c r="AT637" s="40"/>
      <c r="AU637" s="40"/>
    </row>
    <row r="638" spans="1:47" ht="15.75" customHeight="1" x14ac:dyDescent="0.25">
      <c r="A638" s="34"/>
      <c r="B638" s="35"/>
      <c r="C638" s="36"/>
      <c r="D638" s="37"/>
      <c r="E638" s="38"/>
      <c r="F638" s="39"/>
      <c r="G638" s="17"/>
      <c r="H638" s="39"/>
      <c r="I638" s="34"/>
      <c r="J638" s="40"/>
      <c r="K638" s="34"/>
      <c r="L638" s="34"/>
      <c r="M638" s="40"/>
      <c r="N638" s="34"/>
      <c r="O638" s="40"/>
      <c r="P638" s="34"/>
      <c r="Q638" s="34"/>
      <c r="R638" s="40"/>
      <c r="S638" s="40"/>
      <c r="T638" s="34"/>
      <c r="U638" s="40"/>
      <c r="V638" s="34"/>
      <c r="W638" s="40"/>
      <c r="X638" s="34"/>
      <c r="Y638" s="34"/>
      <c r="Z638" s="40"/>
      <c r="AA638" s="40"/>
      <c r="AB638" s="34"/>
      <c r="AC638" s="34"/>
      <c r="AD638" s="40"/>
      <c r="AE638" s="40"/>
      <c r="AF638" s="40"/>
      <c r="AG638" s="40"/>
      <c r="AH638" s="34"/>
      <c r="AI638" s="34"/>
      <c r="AJ638" s="34"/>
      <c r="AK638" s="40"/>
      <c r="AL638" s="34"/>
      <c r="AM638" s="40"/>
      <c r="AN638" s="40"/>
      <c r="AO638" s="40"/>
      <c r="AP638" s="40"/>
      <c r="AQ638" s="40"/>
      <c r="AR638" s="40"/>
      <c r="AS638" s="40"/>
      <c r="AT638" s="40"/>
      <c r="AU638" s="40"/>
    </row>
    <row r="639" spans="1:47" ht="15.75" customHeight="1" x14ac:dyDescent="0.25">
      <c r="A639" s="34"/>
      <c r="B639" s="35"/>
      <c r="C639" s="36"/>
      <c r="D639" s="37"/>
      <c r="E639" s="38"/>
      <c r="F639" s="39"/>
      <c r="G639" s="17"/>
      <c r="H639" s="39"/>
      <c r="I639" s="34"/>
      <c r="J639" s="40"/>
      <c r="K639" s="34"/>
      <c r="L639" s="34"/>
      <c r="M639" s="40"/>
      <c r="N639" s="34"/>
      <c r="O639" s="40"/>
      <c r="P639" s="34"/>
      <c r="Q639" s="34"/>
      <c r="R639" s="40"/>
      <c r="S639" s="40"/>
      <c r="T639" s="34"/>
      <c r="U639" s="40"/>
      <c r="V639" s="34"/>
      <c r="W639" s="40"/>
      <c r="X639" s="34"/>
      <c r="Y639" s="34"/>
      <c r="Z639" s="40"/>
      <c r="AA639" s="40"/>
      <c r="AB639" s="34"/>
      <c r="AC639" s="34"/>
      <c r="AD639" s="40"/>
      <c r="AE639" s="40"/>
      <c r="AF639" s="40"/>
      <c r="AG639" s="40"/>
      <c r="AH639" s="34"/>
      <c r="AI639" s="34"/>
      <c r="AJ639" s="34"/>
      <c r="AK639" s="40"/>
      <c r="AL639" s="34"/>
      <c r="AM639" s="40"/>
      <c r="AN639" s="40"/>
      <c r="AO639" s="40"/>
      <c r="AP639" s="40"/>
      <c r="AQ639" s="40"/>
      <c r="AR639" s="40"/>
      <c r="AS639" s="40"/>
      <c r="AT639" s="40"/>
      <c r="AU639" s="40"/>
    </row>
    <row r="640" spans="1:47" ht="15.75" customHeight="1" x14ac:dyDescent="0.25">
      <c r="A640" s="34"/>
      <c r="B640" s="35"/>
      <c r="C640" s="36"/>
      <c r="D640" s="37"/>
      <c r="E640" s="38"/>
      <c r="F640" s="39"/>
      <c r="G640" s="17"/>
      <c r="H640" s="39"/>
      <c r="I640" s="34"/>
      <c r="J640" s="40"/>
      <c r="K640" s="34"/>
      <c r="L640" s="34"/>
      <c r="M640" s="40"/>
      <c r="N640" s="34"/>
      <c r="O640" s="40"/>
      <c r="P640" s="34"/>
      <c r="Q640" s="34"/>
      <c r="R640" s="40"/>
      <c r="S640" s="40"/>
      <c r="T640" s="34"/>
      <c r="U640" s="40"/>
      <c r="V640" s="34"/>
      <c r="W640" s="40"/>
      <c r="X640" s="34"/>
      <c r="Y640" s="34"/>
      <c r="Z640" s="40"/>
      <c r="AA640" s="40"/>
      <c r="AB640" s="34"/>
      <c r="AC640" s="34"/>
      <c r="AD640" s="40"/>
      <c r="AE640" s="40"/>
      <c r="AF640" s="40"/>
      <c r="AG640" s="40"/>
      <c r="AH640" s="34"/>
      <c r="AI640" s="34"/>
      <c r="AJ640" s="34"/>
      <c r="AK640" s="40"/>
      <c r="AL640" s="34"/>
      <c r="AM640" s="40"/>
      <c r="AN640" s="40"/>
      <c r="AO640" s="40"/>
      <c r="AP640" s="40"/>
      <c r="AQ640" s="40"/>
      <c r="AR640" s="40"/>
      <c r="AS640" s="40"/>
      <c r="AT640" s="40"/>
      <c r="AU640" s="40"/>
    </row>
    <row r="641" spans="1:47" ht="15.75" customHeight="1" x14ac:dyDescent="0.25">
      <c r="A641" s="34"/>
      <c r="B641" s="35"/>
      <c r="C641" s="36"/>
      <c r="D641" s="37"/>
      <c r="E641" s="38"/>
      <c r="F641" s="39"/>
      <c r="G641" s="17"/>
      <c r="H641" s="39"/>
      <c r="I641" s="34"/>
      <c r="J641" s="40"/>
      <c r="K641" s="34"/>
      <c r="L641" s="34"/>
      <c r="M641" s="40"/>
      <c r="N641" s="34"/>
      <c r="O641" s="40"/>
      <c r="P641" s="34"/>
      <c r="Q641" s="34"/>
      <c r="R641" s="40"/>
      <c r="S641" s="40"/>
      <c r="T641" s="34"/>
      <c r="U641" s="40"/>
      <c r="V641" s="34"/>
      <c r="W641" s="40"/>
      <c r="X641" s="34"/>
      <c r="Y641" s="34"/>
      <c r="Z641" s="40"/>
      <c r="AA641" s="40"/>
      <c r="AB641" s="34"/>
      <c r="AC641" s="34"/>
      <c r="AD641" s="40"/>
      <c r="AE641" s="40"/>
      <c r="AF641" s="40"/>
      <c r="AG641" s="40"/>
      <c r="AH641" s="34"/>
      <c r="AI641" s="34"/>
      <c r="AJ641" s="34"/>
      <c r="AK641" s="40"/>
      <c r="AL641" s="34"/>
      <c r="AM641" s="40"/>
      <c r="AN641" s="40"/>
      <c r="AO641" s="40"/>
      <c r="AP641" s="40"/>
      <c r="AQ641" s="40"/>
      <c r="AR641" s="40"/>
      <c r="AS641" s="40"/>
      <c r="AT641" s="40"/>
      <c r="AU641" s="40"/>
    </row>
    <row r="642" spans="1:47" ht="15.75" customHeight="1" x14ac:dyDescent="0.25">
      <c r="A642" s="34"/>
      <c r="B642" s="35"/>
      <c r="C642" s="36"/>
      <c r="D642" s="37"/>
      <c r="E642" s="38"/>
      <c r="F642" s="39"/>
      <c r="G642" s="17"/>
      <c r="H642" s="39"/>
      <c r="I642" s="34"/>
      <c r="J642" s="40"/>
      <c r="K642" s="34"/>
      <c r="L642" s="34"/>
      <c r="M642" s="40"/>
      <c r="N642" s="34"/>
      <c r="O642" s="40"/>
      <c r="P642" s="34"/>
      <c r="Q642" s="34"/>
      <c r="R642" s="40"/>
      <c r="S642" s="40"/>
      <c r="T642" s="34"/>
      <c r="U642" s="40"/>
      <c r="V642" s="34"/>
      <c r="W642" s="40"/>
      <c r="X642" s="34"/>
      <c r="Y642" s="34"/>
      <c r="Z642" s="40"/>
      <c r="AA642" s="40"/>
      <c r="AB642" s="34"/>
      <c r="AC642" s="34"/>
      <c r="AD642" s="40"/>
      <c r="AE642" s="40"/>
      <c r="AF642" s="40"/>
      <c r="AG642" s="40"/>
      <c r="AH642" s="34"/>
      <c r="AI642" s="34"/>
      <c r="AJ642" s="34"/>
      <c r="AK642" s="40"/>
      <c r="AL642" s="34"/>
      <c r="AM642" s="40"/>
      <c r="AN642" s="40"/>
      <c r="AO642" s="40"/>
      <c r="AP642" s="40"/>
      <c r="AQ642" s="40"/>
      <c r="AR642" s="40"/>
      <c r="AS642" s="40"/>
      <c r="AT642" s="40"/>
      <c r="AU642" s="40"/>
    </row>
    <row r="643" spans="1:47" ht="15.75" customHeight="1" x14ac:dyDescent="0.25">
      <c r="A643" s="34"/>
      <c r="B643" s="35"/>
      <c r="C643" s="36"/>
      <c r="D643" s="37"/>
      <c r="E643" s="38"/>
      <c r="F643" s="39"/>
      <c r="G643" s="17"/>
      <c r="H643" s="39"/>
      <c r="I643" s="34"/>
      <c r="J643" s="40"/>
      <c r="K643" s="34"/>
      <c r="L643" s="34"/>
      <c r="M643" s="40"/>
      <c r="N643" s="34"/>
      <c r="O643" s="40"/>
      <c r="P643" s="34"/>
      <c r="Q643" s="34"/>
      <c r="R643" s="40"/>
      <c r="S643" s="40"/>
      <c r="T643" s="34"/>
      <c r="U643" s="40"/>
      <c r="V643" s="34"/>
      <c r="W643" s="40"/>
      <c r="X643" s="34"/>
      <c r="Y643" s="34"/>
      <c r="Z643" s="40"/>
      <c r="AA643" s="40"/>
      <c r="AB643" s="34"/>
      <c r="AC643" s="34"/>
      <c r="AD643" s="40"/>
      <c r="AE643" s="40"/>
      <c r="AF643" s="40"/>
      <c r="AG643" s="40"/>
      <c r="AH643" s="34"/>
      <c r="AI643" s="34"/>
      <c r="AJ643" s="34"/>
      <c r="AK643" s="40"/>
      <c r="AL643" s="34"/>
      <c r="AM643" s="40"/>
      <c r="AN643" s="40"/>
      <c r="AO643" s="40"/>
      <c r="AP643" s="40"/>
      <c r="AQ643" s="40"/>
      <c r="AR643" s="40"/>
      <c r="AS643" s="40"/>
      <c r="AT643" s="40"/>
      <c r="AU643" s="40"/>
    </row>
    <row r="644" spans="1:47" ht="15.75" customHeight="1" x14ac:dyDescent="0.25">
      <c r="A644" s="34"/>
      <c r="B644" s="35"/>
      <c r="C644" s="36"/>
      <c r="D644" s="37"/>
      <c r="E644" s="38"/>
      <c r="F644" s="39"/>
      <c r="G644" s="17"/>
      <c r="H644" s="39"/>
      <c r="I644" s="34"/>
      <c r="J644" s="40"/>
      <c r="K644" s="34"/>
      <c r="L644" s="34"/>
      <c r="M644" s="40"/>
      <c r="N644" s="34"/>
      <c r="O644" s="40"/>
      <c r="P644" s="34"/>
      <c r="Q644" s="34"/>
      <c r="R644" s="40"/>
      <c r="S644" s="40"/>
      <c r="T644" s="34"/>
      <c r="U644" s="40"/>
      <c r="V644" s="34"/>
      <c r="W644" s="40"/>
      <c r="X644" s="34"/>
      <c r="Y644" s="34"/>
      <c r="Z644" s="40"/>
      <c r="AA644" s="40"/>
      <c r="AB644" s="34"/>
      <c r="AC644" s="34"/>
      <c r="AD644" s="40"/>
      <c r="AE644" s="40"/>
      <c r="AF644" s="40"/>
      <c r="AG644" s="40"/>
      <c r="AH644" s="34"/>
      <c r="AI644" s="34"/>
      <c r="AJ644" s="34"/>
      <c r="AK644" s="40"/>
      <c r="AL644" s="34"/>
      <c r="AM644" s="40"/>
      <c r="AN644" s="40"/>
      <c r="AO644" s="40"/>
      <c r="AP644" s="40"/>
      <c r="AQ644" s="40"/>
      <c r="AR644" s="40"/>
      <c r="AS644" s="40"/>
      <c r="AT644" s="40"/>
      <c r="AU644" s="40"/>
    </row>
    <row r="645" spans="1:47" ht="15.75" customHeight="1" x14ac:dyDescent="0.25">
      <c r="A645" s="34"/>
      <c r="B645" s="35"/>
      <c r="C645" s="36"/>
      <c r="D645" s="37"/>
      <c r="E645" s="38"/>
      <c r="F645" s="39"/>
      <c r="G645" s="17"/>
      <c r="H645" s="39"/>
      <c r="I645" s="34"/>
      <c r="J645" s="40"/>
      <c r="K645" s="34"/>
      <c r="L645" s="34"/>
      <c r="M645" s="40"/>
      <c r="N645" s="34"/>
      <c r="O645" s="40"/>
      <c r="P645" s="34"/>
      <c r="Q645" s="34"/>
      <c r="R645" s="40"/>
      <c r="S645" s="40"/>
      <c r="T645" s="34"/>
      <c r="U645" s="40"/>
      <c r="V645" s="34"/>
      <c r="W645" s="40"/>
      <c r="X645" s="34"/>
      <c r="Y645" s="34"/>
      <c r="Z645" s="40"/>
      <c r="AA645" s="40"/>
      <c r="AB645" s="34"/>
      <c r="AC645" s="34"/>
      <c r="AD645" s="40"/>
      <c r="AE645" s="40"/>
      <c r="AF645" s="40"/>
      <c r="AG645" s="40"/>
      <c r="AH645" s="34"/>
      <c r="AI645" s="34"/>
      <c r="AJ645" s="34"/>
      <c r="AK645" s="40"/>
      <c r="AL645" s="34"/>
      <c r="AM645" s="40"/>
      <c r="AN645" s="40"/>
      <c r="AO645" s="40"/>
      <c r="AP645" s="40"/>
      <c r="AQ645" s="40"/>
      <c r="AR645" s="40"/>
      <c r="AS645" s="40"/>
      <c r="AT645" s="40"/>
      <c r="AU645" s="40"/>
    </row>
    <row r="646" spans="1:47" ht="15.75" customHeight="1" x14ac:dyDescent="0.25">
      <c r="A646" s="34"/>
      <c r="B646" s="35"/>
      <c r="C646" s="36"/>
      <c r="D646" s="37"/>
      <c r="E646" s="38"/>
      <c r="F646" s="39"/>
      <c r="G646" s="17"/>
      <c r="H646" s="39"/>
      <c r="I646" s="34"/>
      <c r="J646" s="40"/>
      <c r="K646" s="34"/>
      <c r="L646" s="34"/>
      <c r="M646" s="40"/>
      <c r="N646" s="34"/>
      <c r="O646" s="40"/>
      <c r="P646" s="34"/>
      <c r="Q646" s="34"/>
      <c r="R646" s="40"/>
      <c r="S646" s="40"/>
      <c r="T646" s="34"/>
      <c r="U646" s="40"/>
      <c r="V646" s="34"/>
      <c r="W646" s="40"/>
      <c r="X646" s="34"/>
      <c r="Y646" s="34"/>
      <c r="Z646" s="40"/>
      <c r="AA646" s="40"/>
      <c r="AB646" s="34"/>
      <c r="AC646" s="34"/>
      <c r="AD646" s="40"/>
      <c r="AE646" s="40"/>
      <c r="AF646" s="40"/>
      <c r="AG646" s="40"/>
      <c r="AH646" s="34"/>
      <c r="AI646" s="34"/>
      <c r="AJ646" s="34"/>
      <c r="AK646" s="40"/>
      <c r="AL646" s="34"/>
      <c r="AM646" s="40"/>
      <c r="AN646" s="40"/>
      <c r="AO646" s="40"/>
      <c r="AP646" s="40"/>
      <c r="AQ646" s="40"/>
      <c r="AR646" s="40"/>
      <c r="AS646" s="40"/>
      <c r="AT646" s="40"/>
      <c r="AU646" s="40"/>
    </row>
    <row r="647" spans="1:47" ht="15.75" customHeight="1" x14ac:dyDescent="0.25">
      <c r="A647" s="34"/>
      <c r="B647" s="35"/>
      <c r="C647" s="36"/>
      <c r="D647" s="37"/>
      <c r="E647" s="38"/>
      <c r="F647" s="39"/>
      <c r="G647" s="17"/>
      <c r="H647" s="39"/>
      <c r="I647" s="34"/>
      <c r="J647" s="40"/>
      <c r="K647" s="34"/>
      <c r="L647" s="34"/>
      <c r="M647" s="40"/>
      <c r="N647" s="34"/>
      <c r="O647" s="40"/>
      <c r="P647" s="34"/>
      <c r="Q647" s="34"/>
      <c r="R647" s="40"/>
      <c r="S647" s="40"/>
      <c r="T647" s="34"/>
      <c r="U647" s="40"/>
      <c r="V647" s="34"/>
      <c r="W647" s="40"/>
      <c r="X647" s="34"/>
      <c r="Y647" s="34"/>
      <c r="Z647" s="40"/>
      <c r="AA647" s="40"/>
      <c r="AB647" s="34"/>
      <c r="AC647" s="34"/>
      <c r="AD647" s="40"/>
      <c r="AE647" s="40"/>
      <c r="AF647" s="40"/>
      <c r="AG647" s="40"/>
      <c r="AH647" s="34"/>
      <c r="AI647" s="34"/>
      <c r="AJ647" s="34"/>
      <c r="AK647" s="40"/>
      <c r="AL647" s="34"/>
      <c r="AM647" s="40"/>
      <c r="AN647" s="40"/>
      <c r="AO647" s="40"/>
      <c r="AP647" s="40"/>
      <c r="AQ647" s="40"/>
      <c r="AR647" s="40"/>
      <c r="AS647" s="40"/>
      <c r="AT647" s="40"/>
      <c r="AU647" s="40"/>
    </row>
    <row r="648" spans="1:47" ht="15.75" customHeight="1" x14ac:dyDescent="0.25">
      <c r="A648" s="34"/>
      <c r="B648" s="35"/>
      <c r="C648" s="36"/>
      <c r="D648" s="37"/>
      <c r="E648" s="38"/>
      <c r="F648" s="39"/>
      <c r="G648" s="17"/>
      <c r="H648" s="39"/>
      <c r="I648" s="34"/>
      <c r="J648" s="40"/>
      <c r="K648" s="34"/>
      <c r="L648" s="34"/>
      <c r="M648" s="40"/>
      <c r="N648" s="34"/>
      <c r="O648" s="40"/>
      <c r="P648" s="34"/>
      <c r="Q648" s="34"/>
      <c r="R648" s="40"/>
      <c r="S648" s="40"/>
      <c r="T648" s="34"/>
      <c r="U648" s="40"/>
      <c r="V648" s="34"/>
      <c r="W648" s="40"/>
      <c r="X648" s="34"/>
      <c r="Y648" s="34"/>
      <c r="Z648" s="40"/>
      <c r="AA648" s="40"/>
      <c r="AB648" s="34"/>
      <c r="AC648" s="34"/>
      <c r="AD648" s="40"/>
      <c r="AE648" s="40"/>
      <c r="AF648" s="40"/>
      <c r="AG648" s="40"/>
      <c r="AH648" s="34"/>
      <c r="AI648" s="34"/>
      <c r="AJ648" s="34"/>
      <c r="AK648" s="40"/>
      <c r="AL648" s="34"/>
      <c r="AM648" s="40"/>
      <c r="AN648" s="40"/>
      <c r="AO648" s="40"/>
      <c r="AP648" s="40"/>
      <c r="AQ648" s="40"/>
      <c r="AR648" s="40"/>
      <c r="AS648" s="40"/>
      <c r="AT648" s="40"/>
      <c r="AU648" s="40"/>
    </row>
    <row r="649" spans="1:47" ht="15.75" customHeight="1" x14ac:dyDescent="0.25">
      <c r="A649" s="34"/>
      <c r="B649" s="35"/>
      <c r="C649" s="36"/>
      <c r="D649" s="37"/>
      <c r="E649" s="38"/>
      <c r="F649" s="39"/>
      <c r="G649" s="17"/>
      <c r="H649" s="39"/>
      <c r="I649" s="34"/>
      <c r="J649" s="40"/>
      <c r="K649" s="34"/>
      <c r="L649" s="34"/>
      <c r="M649" s="40"/>
      <c r="N649" s="34"/>
      <c r="O649" s="40"/>
      <c r="P649" s="34"/>
      <c r="Q649" s="34"/>
      <c r="R649" s="40"/>
      <c r="S649" s="40"/>
      <c r="T649" s="34"/>
      <c r="U649" s="40"/>
      <c r="V649" s="34"/>
      <c r="W649" s="40"/>
      <c r="X649" s="34"/>
      <c r="Y649" s="34"/>
      <c r="Z649" s="40"/>
      <c r="AA649" s="40"/>
      <c r="AB649" s="34"/>
      <c r="AC649" s="34"/>
      <c r="AD649" s="40"/>
      <c r="AE649" s="40"/>
      <c r="AF649" s="40"/>
      <c r="AG649" s="40"/>
      <c r="AH649" s="34"/>
      <c r="AI649" s="34"/>
      <c r="AJ649" s="34"/>
      <c r="AK649" s="40"/>
      <c r="AL649" s="34"/>
      <c r="AM649" s="40"/>
      <c r="AN649" s="40"/>
      <c r="AO649" s="40"/>
      <c r="AP649" s="40"/>
      <c r="AQ649" s="40"/>
      <c r="AR649" s="40"/>
      <c r="AS649" s="40"/>
      <c r="AT649" s="40"/>
      <c r="AU649" s="40"/>
    </row>
    <row r="650" spans="1:47" ht="15.75" customHeight="1" x14ac:dyDescent="0.25">
      <c r="A650" s="34"/>
      <c r="B650" s="35"/>
      <c r="C650" s="36"/>
      <c r="D650" s="37"/>
      <c r="E650" s="38"/>
      <c r="F650" s="39"/>
      <c r="G650" s="17"/>
      <c r="H650" s="39"/>
      <c r="I650" s="34"/>
      <c r="J650" s="40"/>
      <c r="K650" s="34"/>
      <c r="L650" s="34"/>
      <c r="M650" s="40"/>
      <c r="N650" s="34"/>
      <c r="O650" s="40"/>
      <c r="P650" s="34"/>
      <c r="Q650" s="34"/>
      <c r="R650" s="40"/>
      <c r="S650" s="40"/>
      <c r="T650" s="34"/>
      <c r="U650" s="40"/>
      <c r="V650" s="34"/>
      <c r="W650" s="40"/>
      <c r="X650" s="34"/>
      <c r="Y650" s="34"/>
      <c r="Z650" s="40"/>
      <c r="AA650" s="40"/>
      <c r="AB650" s="34"/>
      <c r="AC650" s="34"/>
      <c r="AD650" s="40"/>
      <c r="AE650" s="40"/>
      <c r="AF650" s="40"/>
      <c r="AG650" s="40"/>
      <c r="AH650" s="34"/>
      <c r="AI650" s="34"/>
      <c r="AJ650" s="34"/>
      <c r="AK650" s="40"/>
      <c r="AL650" s="34"/>
      <c r="AM650" s="40"/>
      <c r="AN650" s="40"/>
      <c r="AO650" s="40"/>
      <c r="AP650" s="40"/>
      <c r="AQ650" s="40"/>
      <c r="AR650" s="40"/>
      <c r="AS650" s="40"/>
      <c r="AT650" s="40"/>
      <c r="AU650" s="40"/>
    </row>
    <row r="651" spans="1:47" ht="15.75" customHeight="1" x14ac:dyDescent="0.25">
      <c r="A651" s="34"/>
      <c r="B651" s="35"/>
      <c r="C651" s="36"/>
      <c r="D651" s="37"/>
      <c r="E651" s="38"/>
      <c r="F651" s="39"/>
      <c r="G651" s="17"/>
      <c r="H651" s="39"/>
      <c r="I651" s="34"/>
      <c r="J651" s="40"/>
      <c r="K651" s="34"/>
      <c r="L651" s="34"/>
      <c r="M651" s="40"/>
      <c r="N651" s="34"/>
      <c r="O651" s="40"/>
      <c r="P651" s="34"/>
      <c r="Q651" s="34"/>
      <c r="R651" s="40"/>
      <c r="S651" s="40"/>
      <c r="T651" s="34"/>
      <c r="U651" s="40"/>
      <c r="V651" s="34"/>
      <c r="W651" s="40"/>
      <c r="X651" s="34"/>
      <c r="Y651" s="34"/>
      <c r="Z651" s="40"/>
      <c r="AA651" s="40"/>
      <c r="AB651" s="34"/>
      <c r="AC651" s="34"/>
      <c r="AD651" s="40"/>
      <c r="AE651" s="40"/>
      <c r="AF651" s="40"/>
      <c r="AG651" s="40"/>
      <c r="AH651" s="34"/>
      <c r="AI651" s="34"/>
      <c r="AJ651" s="34"/>
      <c r="AK651" s="40"/>
      <c r="AL651" s="34"/>
      <c r="AM651" s="40"/>
      <c r="AN651" s="40"/>
      <c r="AO651" s="40"/>
      <c r="AP651" s="40"/>
      <c r="AQ651" s="40"/>
      <c r="AR651" s="40"/>
      <c r="AS651" s="40"/>
      <c r="AT651" s="40"/>
      <c r="AU651" s="40"/>
    </row>
    <row r="652" spans="1:47" ht="15.75" customHeight="1" x14ac:dyDescent="0.25">
      <c r="A652" s="34"/>
      <c r="B652" s="35"/>
      <c r="C652" s="36"/>
      <c r="D652" s="37"/>
      <c r="E652" s="38"/>
      <c r="F652" s="39"/>
      <c r="G652" s="17"/>
      <c r="H652" s="39"/>
      <c r="I652" s="34"/>
      <c r="J652" s="40"/>
      <c r="K652" s="34"/>
      <c r="L652" s="34"/>
      <c r="M652" s="40"/>
      <c r="N652" s="34"/>
      <c r="O652" s="40"/>
      <c r="P652" s="34"/>
      <c r="Q652" s="34"/>
      <c r="R652" s="40"/>
      <c r="S652" s="40"/>
      <c r="T652" s="34"/>
      <c r="U652" s="40"/>
      <c r="V652" s="34"/>
      <c r="W652" s="40"/>
      <c r="X652" s="34"/>
      <c r="Y652" s="34"/>
      <c r="Z652" s="40"/>
      <c r="AA652" s="40"/>
      <c r="AB652" s="34"/>
      <c r="AC652" s="34"/>
      <c r="AD652" s="40"/>
      <c r="AE652" s="40"/>
      <c r="AF652" s="40"/>
      <c r="AG652" s="40"/>
      <c r="AH652" s="34"/>
      <c r="AI652" s="34"/>
      <c r="AJ652" s="34"/>
      <c r="AK652" s="40"/>
      <c r="AL652" s="34"/>
      <c r="AM652" s="40"/>
      <c r="AN652" s="40"/>
      <c r="AO652" s="40"/>
      <c r="AP652" s="40"/>
      <c r="AQ652" s="40"/>
      <c r="AR652" s="40"/>
      <c r="AS652" s="40"/>
      <c r="AT652" s="40"/>
      <c r="AU652" s="40"/>
    </row>
    <row r="653" spans="1:47" ht="15.75" customHeight="1" x14ac:dyDescent="0.25">
      <c r="A653" s="34"/>
      <c r="B653" s="35"/>
      <c r="C653" s="36"/>
      <c r="D653" s="37"/>
      <c r="E653" s="38"/>
      <c r="F653" s="39"/>
      <c r="G653" s="17"/>
      <c r="H653" s="39"/>
      <c r="I653" s="34"/>
      <c r="J653" s="40"/>
      <c r="K653" s="34"/>
      <c r="L653" s="34"/>
      <c r="M653" s="40"/>
      <c r="N653" s="34"/>
      <c r="O653" s="40"/>
      <c r="P653" s="34"/>
      <c r="Q653" s="34"/>
      <c r="R653" s="40"/>
      <c r="S653" s="40"/>
      <c r="T653" s="34"/>
      <c r="U653" s="40"/>
      <c r="V653" s="34"/>
      <c r="W653" s="40"/>
      <c r="X653" s="34"/>
      <c r="Y653" s="34"/>
      <c r="Z653" s="40"/>
      <c r="AA653" s="40"/>
      <c r="AB653" s="34"/>
      <c r="AC653" s="34"/>
      <c r="AD653" s="40"/>
      <c r="AE653" s="40"/>
      <c r="AF653" s="40"/>
      <c r="AG653" s="40"/>
      <c r="AH653" s="34"/>
      <c r="AI653" s="34"/>
      <c r="AJ653" s="34"/>
      <c r="AK653" s="40"/>
      <c r="AL653" s="34"/>
      <c r="AM653" s="40"/>
      <c r="AN653" s="40"/>
      <c r="AO653" s="40"/>
      <c r="AP653" s="40"/>
      <c r="AQ653" s="40"/>
      <c r="AR653" s="40"/>
      <c r="AS653" s="40"/>
      <c r="AT653" s="40"/>
      <c r="AU653" s="40"/>
    </row>
    <row r="654" spans="1:47" ht="15.75" customHeight="1" x14ac:dyDescent="0.25">
      <c r="A654" s="34"/>
      <c r="B654" s="35"/>
      <c r="C654" s="36"/>
      <c r="D654" s="37"/>
      <c r="E654" s="38"/>
      <c r="F654" s="39"/>
      <c r="G654" s="17"/>
      <c r="H654" s="39"/>
      <c r="I654" s="34"/>
      <c r="J654" s="40"/>
      <c r="K654" s="34"/>
      <c r="L654" s="34"/>
      <c r="M654" s="40"/>
      <c r="N654" s="34"/>
      <c r="O654" s="40"/>
      <c r="P654" s="34"/>
      <c r="Q654" s="34"/>
      <c r="R654" s="40"/>
      <c r="S654" s="40"/>
      <c r="T654" s="34"/>
      <c r="U654" s="40"/>
      <c r="V654" s="34"/>
      <c r="W654" s="40"/>
      <c r="X654" s="34"/>
      <c r="Y654" s="34"/>
      <c r="Z654" s="40"/>
      <c r="AA654" s="40"/>
      <c r="AB654" s="34"/>
      <c r="AC654" s="34"/>
      <c r="AD654" s="40"/>
      <c r="AE654" s="40"/>
      <c r="AF654" s="40"/>
      <c r="AG654" s="40"/>
      <c r="AH654" s="34"/>
      <c r="AI654" s="34"/>
      <c r="AJ654" s="34"/>
      <c r="AK654" s="40"/>
      <c r="AL654" s="34"/>
      <c r="AM654" s="40"/>
      <c r="AN654" s="40"/>
      <c r="AO654" s="40"/>
      <c r="AP654" s="40"/>
      <c r="AQ654" s="40"/>
      <c r="AR654" s="40"/>
      <c r="AS654" s="40"/>
      <c r="AT654" s="40"/>
      <c r="AU654" s="40"/>
    </row>
    <row r="655" spans="1:47" ht="15.75" customHeight="1" x14ac:dyDescent="0.25">
      <c r="A655" s="34"/>
      <c r="B655" s="35"/>
      <c r="C655" s="36"/>
      <c r="D655" s="37"/>
      <c r="E655" s="38"/>
      <c r="F655" s="39"/>
      <c r="G655" s="17"/>
      <c r="H655" s="39"/>
      <c r="I655" s="34"/>
      <c r="J655" s="40"/>
      <c r="K655" s="34"/>
      <c r="L655" s="34"/>
      <c r="M655" s="40"/>
      <c r="N655" s="34"/>
      <c r="O655" s="40"/>
      <c r="P655" s="34"/>
      <c r="Q655" s="34"/>
      <c r="R655" s="40"/>
      <c r="S655" s="40"/>
      <c r="T655" s="34"/>
      <c r="U655" s="40"/>
      <c r="V655" s="34"/>
      <c r="W655" s="40"/>
      <c r="X655" s="34"/>
      <c r="Y655" s="34"/>
      <c r="Z655" s="40"/>
      <c r="AA655" s="40"/>
      <c r="AB655" s="34"/>
      <c r="AC655" s="34"/>
      <c r="AD655" s="40"/>
      <c r="AE655" s="40"/>
      <c r="AF655" s="40"/>
      <c r="AG655" s="40"/>
      <c r="AH655" s="34"/>
      <c r="AI655" s="34"/>
      <c r="AJ655" s="34"/>
      <c r="AK655" s="40"/>
      <c r="AL655" s="34"/>
      <c r="AM655" s="40"/>
      <c r="AN655" s="40"/>
      <c r="AO655" s="40"/>
      <c r="AP655" s="40"/>
      <c r="AQ655" s="40"/>
      <c r="AR655" s="40"/>
      <c r="AS655" s="40"/>
      <c r="AT655" s="40"/>
      <c r="AU655" s="40"/>
    </row>
    <row r="656" spans="1:47" ht="15.75" customHeight="1" x14ac:dyDescent="0.25">
      <c r="A656" s="34"/>
      <c r="B656" s="35"/>
      <c r="C656" s="36"/>
      <c r="D656" s="37"/>
      <c r="E656" s="38"/>
      <c r="F656" s="39"/>
      <c r="G656" s="17"/>
      <c r="H656" s="39"/>
      <c r="I656" s="34"/>
      <c r="J656" s="40"/>
      <c r="K656" s="34"/>
      <c r="L656" s="34"/>
      <c r="M656" s="40"/>
      <c r="N656" s="34"/>
      <c r="O656" s="40"/>
      <c r="P656" s="34"/>
      <c r="Q656" s="34"/>
      <c r="R656" s="40"/>
      <c r="S656" s="40"/>
      <c r="T656" s="34"/>
      <c r="U656" s="40"/>
      <c r="V656" s="34"/>
      <c r="W656" s="40"/>
      <c r="X656" s="34"/>
      <c r="Y656" s="34"/>
      <c r="Z656" s="40"/>
      <c r="AA656" s="40"/>
      <c r="AB656" s="34"/>
      <c r="AC656" s="34"/>
      <c r="AD656" s="40"/>
      <c r="AE656" s="40"/>
      <c r="AF656" s="40"/>
      <c r="AG656" s="40"/>
      <c r="AH656" s="34"/>
      <c r="AI656" s="34"/>
      <c r="AJ656" s="34"/>
      <c r="AK656" s="40"/>
      <c r="AL656" s="34"/>
      <c r="AM656" s="40"/>
      <c r="AN656" s="40"/>
      <c r="AO656" s="40"/>
      <c r="AP656" s="40"/>
      <c r="AQ656" s="40"/>
      <c r="AR656" s="40"/>
      <c r="AS656" s="40"/>
      <c r="AT656" s="40"/>
      <c r="AU656" s="40"/>
    </row>
    <row r="657" spans="1:47" ht="15.75" customHeight="1" x14ac:dyDescent="0.25">
      <c r="A657" s="34"/>
      <c r="B657" s="35"/>
      <c r="C657" s="36"/>
      <c r="D657" s="37"/>
      <c r="E657" s="38"/>
      <c r="F657" s="39"/>
      <c r="G657" s="17"/>
      <c r="H657" s="39"/>
      <c r="I657" s="34"/>
      <c r="J657" s="40"/>
      <c r="K657" s="34"/>
      <c r="L657" s="34"/>
      <c r="M657" s="40"/>
      <c r="N657" s="34"/>
      <c r="O657" s="40"/>
      <c r="P657" s="34"/>
      <c r="Q657" s="34"/>
      <c r="R657" s="40"/>
      <c r="S657" s="40"/>
      <c r="T657" s="34"/>
      <c r="U657" s="40"/>
      <c r="V657" s="34"/>
      <c r="W657" s="40"/>
      <c r="X657" s="34"/>
      <c r="Y657" s="34"/>
      <c r="Z657" s="40"/>
      <c r="AA657" s="40"/>
      <c r="AB657" s="34"/>
      <c r="AC657" s="34"/>
      <c r="AD657" s="40"/>
      <c r="AE657" s="40"/>
      <c r="AF657" s="40"/>
      <c r="AG657" s="40"/>
      <c r="AH657" s="34"/>
      <c r="AI657" s="34"/>
      <c r="AJ657" s="34"/>
      <c r="AK657" s="40"/>
      <c r="AL657" s="34"/>
      <c r="AM657" s="40"/>
      <c r="AN657" s="40"/>
      <c r="AO657" s="40"/>
      <c r="AP657" s="40"/>
      <c r="AQ657" s="40"/>
      <c r="AR657" s="40"/>
      <c r="AS657" s="40"/>
      <c r="AT657" s="40"/>
      <c r="AU657" s="40"/>
    </row>
    <row r="658" spans="1:47" ht="15.75" customHeight="1" x14ac:dyDescent="0.25">
      <c r="A658" s="34"/>
      <c r="B658" s="35"/>
      <c r="C658" s="36"/>
      <c r="D658" s="37"/>
      <c r="E658" s="38"/>
      <c r="F658" s="39"/>
      <c r="G658" s="17"/>
      <c r="H658" s="39"/>
      <c r="I658" s="34"/>
      <c r="J658" s="40"/>
      <c r="K658" s="34"/>
      <c r="L658" s="34"/>
      <c r="M658" s="40"/>
      <c r="N658" s="34"/>
      <c r="O658" s="40"/>
      <c r="P658" s="34"/>
      <c r="Q658" s="34"/>
      <c r="R658" s="40"/>
      <c r="S658" s="40"/>
      <c r="T658" s="34"/>
      <c r="U658" s="40"/>
      <c r="V658" s="34"/>
      <c r="W658" s="40"/>
      <c r="X658" s="34"/>
      <c r="Y658" s="34"/>
      <c r="Z658" s="40"/>
      <c r="AA658" s="40"/>
      <c r="AB658" s="34"/>
      <c r="AC658" s="34"/>
      <c r="AD658" s="40"/>
      <c r="AE658" s="40"/>
      <c r="AF658" s="40"/>
      <c r="AG658" s="40"/>
      <c r="AH658" s="34"/>
      <c r="AI658" s="34"/>
      <c r="AJ658" s="34"/>
      <c r="AK658" s="40"/>
      <c r="AL658" s="34"/>
      <c r="AM658" s="40"/>
      <c r="AN658" s="40"/>
      <c r="AO658" s="40"/>
      <c r="AP658" s="40"/>
      <c r="AQ658" s="40"/>
      <c r="AR658" s="40"/>
      <c r="AS658" s="40"/>
      <c r="AT658" s="40"/>
      <c r="AU658" s="40"/>
    </row>
    <row r="659" spans="1:47" ht="15.75" customHeight="1" x14ac:dyDescent="0.25">
      <c r="A659" s="34"/>
      <c r="B659" s="35"/>
      <c r="C659" s="36"/>
      <c r="D659" s="37"/>
      <c r="E659" s="38"/>
      <c r="F659" s="39"/>
      <c r="G659" s="17"/>
      <c r="H659" s="39"/>
      <c r="I659" s="34"/>
      <c r="J659" s="40"/>
      <c r="K659" s="34"/>
      <c r="L659" s="34"/>
      <c r="M659" s="40"/>
      <c r="N659" s="34"/>
      <c r="O659" s="40"/>
      <c r="P659" s="34"/>
      <c r="Q659" s="34"/>
      <c r="R659" s="40"/>
      <c r="S659" s="40"/>
      <c r="T659" s="34"/>
      <c r="U659" s="40"/>
      <c r="V659" s="34"/>
      <c r="W659" s="40"/>
      <c r="X659" s="34"/>
      <c r="Y659" s="34"/>
      <c r="Z659" s="40"/>
      <c r="AA659" s="40"/>
      <c r="AB659" s="34"/>
      <c r="AC659" s="34"/>
      <c r="AD659" s="40"/>
      <c r="AE659" s="40"/>
      <c r="AF659" s="40"/>
      <c r="AG659" s="40"/>
      <c r="AH659" s="34"/>
      <c r="AI659" s="34"/>
      <c r="AJ659" s="34"/>
      <c r="AK659" s="40"/>
      <c r="AL659" s="34"/>
      <c r="AM659" s="40"/>
      <c r="AN659" s="40"/>
      <c r="AO659" s="40"/>
      <c r="AP659" s="40"/>
      <c r="AQ659" s="40"/>
      <c r="AR659" s="40"/>
      <c r="AS659" s="40"/>
      <c r="AT659" s="40"/>
      <c r="AU659" s="40"/>
    </row>
    <row r="660" spans="1:47" ht="15.75" customHeight="1" x14ac:dyDescent="0.25">
      <c r="A660" s="34"/>
      <c r="B660" s="35"/>
      <c r="C660" s="36"/>
      <c r="D660" s="37"/>
      <c r="E660" s="38"/>
      <c r="F660" s="39"/>
      <c r="G660" s="17"/>
      <c r="H660" s="39"/>
      <c r="I660" s="34"/>
      <c r="J660" s="40"/>
      <c r="K660" s="34"/>
      <c r="L660" s="34"/>
      <c r="M660" s="40"/>
      <c r="N660" s="34"/>
      <c r="O660" s="40"/>
      <c r="P660" s="34"/>
      <c r="Q660" s="34"/>
      <c r="R660" s="40"/>
      <c r="S660" s="40"/>
      <c r="T660" s="34"/>
      <c r="U660" s="40"/>
      <c r="V660" s="34"/>
      <c r="W660" s="40"/>
      <c r="X660" s="34"/>
      <c r="Y660" s="34"/>
      <c r="Z660" s="40"/>
      <c r="AA660" s="40"/>
      <c r="AB660" s="34"/>
      <c r="AC660" s="34"/>
      <c r="AD660" s="40"/>
      <c r="AE660" s="40"/>
      <c r="AF660" s="40"/>
      <c r="AG660" s="40"/>
      <c r="AH660" s="34"/>
      <c r="AI660" s="34"/>
      <c r="AJ660" s="34"/>
      <c r="AK660" s="40"/>
      <c r="AL660" s="34"/>
      <c r="AM660" s="40"/>
      <c r="AN660" s="40"/>
      <c r="AO660" s="40"/>
      <c r="AP660" s="40"/>
      <c r="AQ660" s="40"/>
      <c r="AR660" s="40"/>
      <c r="AS660" s="40"/>
      <c r="AT660" s="40"/>
      <c r="AU660" s="40"/>
    </row>
    <row r="661" spans="1:47" ht="15.75" customHeight="1" x14ac:dyDescent="0.25">
      <c r="A661" s="34"/>
      <c r="B661" s="35"/>
      <c r="C661" s="36"/>
      <c r="D661" s="37"/>
      <c r="E661" s="38"/>
      <c r="F661" s="39"/>
      <c r="G661" s="17"/>
      <c r="H661" s="39"/>
      <c r="I661" s="34"/>
      <c r="J661" s="40"/>
      <c r="K661" s="34"/>
      <c r="L661" s="34"/>
      <c r="M661" s="40"/>
      <c r="N661" s="34"/>
      <c r="O661" s="40"/>
      <c r="P661" s="34"/>
      <c r="Q661" s="34"/>
      <c r="R661" s="40"/>
      <c r="S661" s="40"/>
      <c r="T661" s="34"/>
      <c r="U661" s="40"/>
      <c r="V661" s="34"/>
      <c r="W661" s="40"/>
      <c r="X661" s="34"/>
      <c r="Y661" s="34"/>
      <c r="Z661" s="40"/>
      <c r="AA661" s="40"/>
      <c r="AB661" s="34"/>
      <c r="AC661" s="34"/>
      <c r="AD661" s="40"/>
      <c r="AE661" s="40"/>
      <c r="AF661" s="40"/>
      <c r="AG661" s="40"/>
      <c r="AH661" s="34"/>
      <c r="AI661" s="34"/>
      <c r="AJ661" s="34"/>
      <c r="AK661" s="40"/>
      <c r="AL661" s="34"/>
      <c r="AM661" s="40"/>
      <c r="AN661" s="40"/>
      <c r="AO661" s="40"/>
      <c r="AP661" s="40"/>
      <c r="AQ661" s="40"/>
      <c r="AR661" s="40"/>
      <c r="AS661" s="40"/>
      <c r="AT661" s="40"/>
      <c r="AU661" s="40"/>
    </row>
    <row r="662" spans="1:47" ht="15.75" customHeight="1" x14ac:dyDescent="0.25">
      <c r="A662" s="34"/>
      <c r="B662" s="35"/>
      <c r="C662" s="36"/>
      <c r="D662" s="37"/>
      <c r="E662" s="38"/>
      <c r="F662" s="39"/>
      <c r="G662" s="17"/>
      <c r="H662" s="39"/>
      <c r="I662" s="34"/>
      <c r="J662" s="40"/>
      <c r="K662" s="34"/>
      <c r="L662" s="34"/>
      <c r="M662" s="40"/>
      <c r="N662" s="34"/>
      <c r="O662" s="40"/>
      <c r="P662" s="34"/>
      <c r="Q662" s="34"/>
      <c r="R662" s="40"/>
      <c r="S662" s="40"/>
      <c r="T662" s="34"/>
      <c r="U662" s="40"/>
      <c r="V662" s="34"/>
      <c r="W662" s="40"/>
      <c r="X662" s="34"/>
      <c r="Y662" s="34"/>
      <c r="Z662" s="40"/>
      <c r="AA662" s="40"/>
      <c r="AB662" s="34"/>
      <c r="AC662" s="34"/>
      <c r="AD662" s="40"/>
      <c r="AE662" s="40"/>
      <c r="AF662" s="40"/>
      <c r="AG662" s="40"/>
      <c r="AH662" s="34"/>
      <c r="AI662" s="34"/>
      <c r="AJ662" s="34"/>
      <c r="AK662" s="40"/>
      <c r="AL662" s="34"/>
      <c r="AM662" s="40"/>
      <c r="AN662" s="40"/>
      <c r="AO662" s="40"/>
      <c r="AP662" s="40"/>
      <c r="AQ662" s="40"/>
      <c r="AR662" s="40"/>
      <c r="AS662" s="40"/>
      <c r="AT662" s="40"/>
      <c r="AU662" s="40"/>
    </row>
    <row r="663" spans="1:47" ht="15.75" customHeight="1" x14ac:dyDescent="0.25">
      <c r="A663" s="34"/>
      <c r="B663" s="35"/>
      <c r="C663" s="36"/>
      <c r="D663" s="37"/>
      <c r="E663" s="38"/>
      <c r="F663" s="39"/>
      <c r="G663" s="17"/>
      <c r="H663" s="39"/>
      <c r="I663" s="34"/>
      <c r="J663" s="40"/>
      <c r="K663" s="34"/>
      <c r="L663" s="34"/>
      <c r="M663" s="40"/>
      <c r="N663" s="34"/>
      <c r="O663" s="40"/>
      <c r="P663" s="34"/>
      <c r="Q663" s="34"/>
      <c r="R663" s="40"/>
      <c r="S663" s="40"/>
      <c r="T663" s="34"/>
      <c r="U663" s="40"/>
      <c r="V663" s="34"/>
      <c r="W663" s="40"/>
      <c r="X663" s="34"/>
      <c r="Y663" s="34"/>
      <c r="Z663" s="40"/>
      <c r="AA663" s="40"/>
      <c r="AB663" s="34"/>
      <c r="AC663" s="34"/>
      <c r="AD663" s="40"/>
      <c r="AE663" s="40"/>
      <c r="AF663" s="40"/>
      <c r="AG663" s="40"/>
      <c r="AH663" s="34"/>
      <c r="AI663" s="34"/>
      <c r="AJ663" s="34"/>
      <c r="AK663" s="40"/>
      <c r="AL663" s="34"/>
      <c r="AM663" s="40"/>
      <c r="AN663" s="40"/>
      <c r="AO663" s="40"/>
      <c r="AP663" s="40"/>
      <c r="AQ663" s="40"/>
      <c r="AR663" s="40"/>
      <c r="AS663" s="40"/>
      <c r="AT663" s="40"/>
      <c r="AU663" s="40"/>
    </row>
    <row r="664" spans="1:47" ht="15.75" customHeight="1" x14ac:dyDescent="0.25">
      <c r="A664" s="34"/>
      <c r="B664" s="35"/>
      <c r="C664" s="36"/>
      <c r="D664" s="37"/>
      <c r="E664" s="38"/>
      <c r="F664" s="39"/>
      <c r="G664" s="17"/>
      <c r="H664" s="39"/>
      <c r="I664" s="34"/>
      <c r="J664" s="40"/>
      <c r="K664" s="34"/>
      <c r="L664" s="34"/>
      <c r="M664" s="40"/>
      <c r="N664" s="34"/>
      <c r="O664" s="40"/>
      <c r="P664" s="34"/>
      <c r="Q664" s="34"/>
      <c r="R664" s="40"/>
      <c r="S664" s="40"/>
      <c r="T664" s="34"/>
      <c r="U664" s="40"/>
      <c r="V664" s="34"/>
      <c r="W664" s="40"/>
      <c r="X664" s="34"/>
      <c r="Y664" s="34"/>
      <c r="Z664" s="40"/>
      <c r="AA664" s="40"/>
      <c r="AB664" s="34"/>
      <c r="AC664" s="34"/>
      <c r="AD664" s="40"/>
      <c r="AE664" s="40"/>
      <c r="AF664" s="40"/>
      <c r="AG664" s="40"/>
      <c r="AH664" s="34"/>
      <c r="AI664" s="34"/>
      <c r="AJ664" s="34"/>
      <c r="AK664" s="40"/>
      <c r="AL664" s="34"/>
      <c r="AM664" s="40"/>
      <c r="AN664" s="40"/>
      <c r="AO664" s="40"/>
      <c r="AP664" s="40"/>
      <c r="AQ664" s="40"/>
      <c r="AR664" s="40"/>
      <c r="AS664" s="40"/>
      <c r="AT664" s="40"/>
      <c r="AU664" s="40"/>
    </row>
    <row r="665" spans="1:47" ht="15.75" customHeight="1" x14ac:dyDescent="0.25">
      <c r="A665" s="34"/>
      <c r="B665" s="35"/>
      <c r="C665" s="36"/>
      <c r="D665" s="37"/>
      <c r="E665" s="38"/>
      <c r="F665" s="39"/>
      <c r="G665" s="17"/>
      <c r="H665" s="39"/>
      <c r="I665" s="34"/>
      <c r="J665" s="40"/>
      <c r="K665" s="34"/>
      <c r="L665" s="34"/>
      <c r="M665" s="40"/>
      <c r="N665" s="34"/>
      <c r="O665" s="40"/>
      <c r="P665" s="34"/>
      <c r="Q665" s="34"/>
      <c r="R665" s="40"/>
      <c r="S665" s="40"/>
      <c r="T665" s="34"/>
      <c r="U665" s="40"/>
      <c r="V665" s="34"/>
      <c r="W665" s="40"/>
      <c r="X665" s="34"/>
      <c r="Y665" s="34"/>
      <c r="Z665" s="40"/>
      <c r="AA665" s="40"/>
      <c r="AB665" s="34"/>
      <c r="AC665" s="34"/>
      <c r="AD665" s="40"/>
      <c r="AE665" s="40"/>
      <c r="AF665" s="40"/>
      <c r="AG665" s="40"/>
      <c r="AH665" s="34"/>
      <c r="AI665" s="34"/>
      <c r="AJ665" s="34"/>
      <c r="AK665" s="40"/>
      <c r="AL665" s="34"/>
      <c r="AM665" s="40"/>
      <c r="AN665" s="40"/>
      <c r="AO665" s="40"/>
      <c r="AP665" s="40"/>
      <c r="AQ665" s="40"/>
      <c r="AR665" s="40"/>
      <c r="AS665" s="40"/>
      <c r="AT665" s="40"/>
      <c r="AU665" s="40"/>
    </row>
    <row r="666" spans="1:47" ht="15.75" customHeight="1" x14ac:dyDescent="0.25">
      <c r="A666" s="34"/>
      <c r="B666" s="35"/>
      <c r="C666" s="36"/>
      <c r="D666" s="37"/>
      <c r="E666" s="38"/>
      <c r="F666" s="39"/>
      <c r="G666" s="17"/>
      <c r="H666" s="39"/>
      <c r="I666" s="34"/>
      <c r="J666" s="40"/>
      <c r="K666" s="34"/>
      <c r="L666" s="34"/>
      <c r="M666" s="40"/>
      <c r="N666" s="34"/>
      <c r="O666" s="40"/>
      <c r="P666" s="34"/>
      <c r="Q666" s="34"/>
      <c r="R666" s="40"/>
      <c r="S666" s="40"/>
      <c r="T666" s="34"/>
      <c r="U666" s="40"/>
      <c r="V666" s="34"/>
      <c r="W666" s="40"/>
      <c r="X666" s="34"/>
      <c r="Y666" s="34"/>
      <c r="Z666" s="40"/>
      <c r="AA666" s="40"/>
      <c r="AB666" s="34"/>
      <c r="AC666" s="34"/>
      <c r="AD666" s="40"/>
      <c r="AE666" s="40"/>
      <c r="AF666" s="40"/>
      <c r="AG666" s="40"/>
      <c r="AH666" s="34"/>
      <c r="AI666" s="34"/>
      <c r="AJ666" s="34"/>
      <c r="AK666" s="40"/>
      <c r="AL666" s="34"/>
      <c r="AM666" s="40"/>
      <c r="AN666" s="40"/>
      <c r="AO666" s="40"/>
      <c r="AP666" s="40"/>
      <c r="AQ666" s="40"/>
      <c r="AR666" s="40"/>
      <c r="AS666" s="40"/>
      <c r="AT666" s="40"/>
      <c r="AU666" s="40"/>
    </row>
    <row r="667" spans="1:47" ht="15.75" customHeight="1" x14ac:dyDescent="0.25">
      <c r="A667" s="34"/>
      <c r="B667" s="35"/>
      <c r="C667" s="36"/>
      <c r="D667" s="37"/>
      <c r="E667" s="38"/>
      <c r="F667" s="39"/>
      <c r="G667" s="17"/>
      <c r="H667" s="39"/>
      <c r="I667" s="34"/>
      <c r="J667" s="40"/>
      <c r="K667" s="34"/>
      <c r="L667" s="34"/>
      <c r="M667" s="40"/>
      <c r="N667" s="34"/>
      <c r="O667" s="40"/>
      <c r="P667" s="34"/>
      <c r="Q667" s="34"/>
      <c r="R667" s="40"/>
      <c r="S667" s="40"/>
      <c r="T667" s="34"/>
      <c r="U667" s="40"/>
      <c r="V667" s="34"/>
      <c r="W667" s="40"/>
      <c r="X667" s="34"/>
      <c r="Y667" s="34"/>
      <c r="Z667" s="40"/>
      <c r="AA667" s="40"/>
      <c r="AB667" s="34"/>
      <c r="AC667" s="34"/>
      <c r="AD667" s="40"/>
      <c r="AE667" s="40"/>
      <c r="AF667" s="40"/>
      <c r="AG667" s="40"/>
      <c r="AH667" s="34"/>
      <c r="AI667" s="34"/>
      <c r="AJ667" s="34"/>
      <c r="AK667" s="40"/>
      <c r="AL667" s="34"/>
      <c r="AM667" s="40"/>
      <c r="AN667" s="40"/>
      <c r="AO667" s="40"/>
      <c r="AP667" s="40"/>
      <c r="AQ667" s="40"/>
      <c r="AR667" s="40"/>
      <c r="AS667" s="40"/>
      <c r="AT667" s="40"/>
      <c r="AU667" s="40"/>
    </row>
    <row r="668" spans="1:47" ht="15.75" customHeight="1" x14ac:dyDescent="0.25">
      <c r="A668" s="34"/>
      <c r="B668" s="35"/>
      <c r="C668" s="36"/>
      <c r="D668" s="37"/>
      <c r="E668" s="38"/>
      <c r="F668" s="39"/>
      <c r="G668" s="17"/>
      <c r="H668" s="39"/>
      <c r="I668" s="34"/>
      <c r="J668" s="40"/>
      <c r="K668" s="34"/>
      <c r="L668" s="34"/>
      <c r="M668" s="40"/>
      <c r="N668" s="34"/>
      <c r="O668" s="40"/>
      <c r="P668" s="34"/>
      <c r="Q668" s="34"/>
      <c r="R668" s="40"/>
      <c r="S668" s="40"/>
      <c r="T668" s="34"/>
      <c r="U668" s="40"/>
      <c r="V668" s="34"/>
      <c r="W668" s="40"/>
      <c r="X668" s="34"/>
      <c r="Y668" s="34"/>
      <c r="Z668" s="40"/>
      <c r="AA668" s="40"/>
      <c r="AB668" s="34"/>
      <c r="AC668" s="34"/>
      <c r="AD668" s="40"/>
      <c r="AE668" s="40"/>
      <c r="AF668" s="40"/>
      <c r="AG668" s="40"/>
      <c r="AH668" s="34"/>
      <c r="AI668" s="34"/>
      <c r="AJ668" s="34"/>
      <c r="AK668" s="40"/>
      <c r="AL668" s="34"/>
      <c r="AM668" s="40"/>
      <c r="AN668" s="40"/>
      <c r="AO668" s="40"/>
      <c r="AP668" s="40"/>
      <c r="AQ668" s="40"/>
      <c r="AR668" s="40"/>
      <c r="AS668" s="40"/>
      <c r="AT668" s="40"/>
      <c r="AU668" s="40"/>
    </row>
    <row r="669" spans="1:47" ht="15.75" customHeight="1" x14ac:dyDescent="0.25">
      <c r="A669" s="34"/>
      <c r="B669" s="35"/>
      <c r="C669" s="36"/>
      <c r="D669" s="37"/>
      <c r="E669" s="38"/>
      <c r="F669" s="39"/>
      <c r="G669" s="17"/>
      <c r="H669" s="39"/>
      <c r="I669" s="34"/>
      <c r="J669" s="40"/>
      <c r="K669" s="34"/>
      <c r="L669" s="34"/>
      <c r="M669" s="40"/>
      <c r="N669" s="34"/>
      <c r="O669" s="40"/>
      <c r="P669" s="34"/>
      <c r="Q669" s="34"/>
      <c r="R669" s="40"/>
      <c r="S669" s="40"/>
      <c r="T669" s="34"/>
      <c r="U669" s="40"/>
      <c r="V669" s="34"/>
      <c r="W669" s="40"/>
      <c r="X669" s="34"/>
      <c r="Y669" s="34"/>
      <c r="Z669" s="40"/>
      <c r="AA669" s="40"/>
      <c r="AB669" s="34"/>
      <c r="AC669" s="34"/>
      <c r="AD669" s="40"/>
      <c r="AE669" s="40"/>
      <c r="AF669" s="40"/>
      <c r="AG669" s="40"/>
      <c r="AH669" s="34"/>
      <c r="AI669" s="34"/>
      <c r="AJ669" s="34"/>
      <c r="AK669" s="40"/>
      <c r="AL669" s="34"/>
      <c r="AM669" s="40"/>
      <c r="AN669" s="40"/>
      <c r="AO669" s="40"/>
      <c r="AP669" s="40"/>
      <c r="AQ669" s="40"/>
      <c r="AR669" s="40"/>
      <c r="AS669" s="40"/>
      <c r="AT669" s="40"/>
      <c r="AU669" s="40"/>
    </row>
    <row r="670" spans="1:47" ht="15.75" customHeight="1" x14ac:dyDescent="0.25">
      <c r="A670" s="34"/>
      <c r="B670" s="35"/>
      <c r="C670" s="36"/>
      <c r="D670" s="37"/>
      <c r="E670" s="38"/>
      <c r="F670" s="39"/>
      <c r="G670" s="17"/>
      <c r="H670" s="39"/>
      <c r="I670" s="34"/>
      <c r="J670" s="40"/>
      <c r="K670" s="34"/>
      <c r="L670" s="34"/>
      <c r="M670" s="40"/>
      <c r="N670" s="34"/>
      <c r="O670" s="40"/>
      <c r="P670" s="34"/>
      <c r="Q670" s="34"/>
      <c r="R670" s="40"/>
      <c r="S670" s="40"/>
      <c r="T670" s="34"/>
      <c r="U670" s="40"/>
      <c r="V670" s="34"/>
      <c r="W670" s="40"/>
      <c r="X670" s="34"/>
      <c r="Y670" s="34"/>
      <c r="Z670" s="40"/>
      <c r="AA670" s="40"/>
      <c r="AB670" s="34"/>
      <c r="AC670" s="34"/>
      <c r="AD670" s="40"/>
      <c r="AE670" s="40"/>
      <c r="AF670" s="40"/>
      <c r="AG670" s="40"/>
      <c r="AH670" s="34"/>
      <c r="AI670" s="34"/>
      <c r="AJ670" s="34"/>
      <c r="AK670" s="40"/>
      <c r="AL670" s="34"/>
      <c r="AM670" s="40"/>
      <c r="AN670" s="40"/>
      <c r="AO670" s="40"/>
      <c r="AP670" s="40"/>
      <c r="AQ670" s="40"/>
      <c r="AR670" s="40"/>
      <c r="AS670" s="40"/>
      <c r="AT670" s="40"/>
      <c r="AU670" s="40"/>
    </row>
    <row r="671" spans="1:47" ht="15.75" customHeight="1" x14ac:dyDescent="0.25">
      <c r="A671" s="34"/>
      <c r="B671" s="35"/>
      <c r="C671" s="36"/>
      <c r="D671" s="37"/>
      <c r="E671" s="38"/>
      <c r="F671" s="39"/>
      <c r="G671" s="17"/>
      <c r="H671" s="39"/>
      <c r="I671" s="34"/>
      <c r="J671" s="40"/>
      <c r="K671" s="34"/>
      <c r="L671" s="34"/>
      <c r="M671" s="40"/>
      <c r="N671" s="34"/>
      <c r="O671" s="40"/>
      <c r="P671" s="34"/>
      <c r="Q671" s="34"/>
      <c r="R671" s="40"/>
      <c r="S671" s="40"/>
      <c r="T671" s="34"/>
      <c r="U671" s="40"/>
      <c r="V671" s="34"/>
      <c r="W671" s="40"/>
      <c r="X671" s="34"/>
      <c r="Y671" s="34"/>
      <c r="Z671" s="40"/>
      <c r="AA671" s="40"/>
      <c r="AB671" s="34"/>
      <c r="AC671" s="34"/>
      <c r="AD671" s="40"/>
      <c r="AE671" s="40"/>
      <c r="AF671" s="40"/>
      <c r="AG671" s="40"/>
      <c r="AH671" s="34"/>
      <c r="AI671" s="34"/>
      <c r="AJ671" s="34"/>
      <c r="AK671" s="40"/>
      <c r="AL671" s="34"/>
      <c r="AM671" s="40"/>
      <c r="AN671" s="40"/>
      <c r="AO671" s="40"/>
      <c r="AP671" s="40"/>
      <c r="AQ671" s="40"/>
      <c r="AR671" s="40"/>
      <c r="AS671" s="40"/>
      <c r="AT671" s="40"/>
      <c r="AU671" s="40"/>
    </row>
    <row r="672" spans="1:47" ht="15.75" customHeight="1" x14ac:dyDescent="0.25">
      <c r="A672" s="34"/>
      <c r="B672" s="35"/>
      <c r="C672" s="36"/>
      <c r="D672" s="37"/>
      <c r="E672" s="38"/>
      <c r="F672" s="39"/>
      <c r="G672" s="17"/>
      <c r="H672" s="39"/>
      <c r="I672" s="34"/>
      <c r="J672" s="40"/>
      <c r="K672" s="34"/>
      <c r="L672" s="34"/>
      <c r="M672" s="40"/>
      <c r="N672" s="34"/>
      <c r="O672" s="40"/>
      <c r="P672" s="34"/>
      <c r="Q672" s="34"/>
      <c r="R672" s="40"/>
      <c r="S672" s="40"/>
      <c r="T672" s="34"/>
      <c r="U672" s="40"/>
      <c r="V672" s="34"/>
      <c r="W672" s="40"/>
      <c r="X672" s="34"/>
      <c r="Y672" s="34"/>
      <c r="Z672" s="40"/>
      <c r="AA672" s="40"/>
      <c r="AB672" s="34"/>
      <c r="AC672" s="34"/>
      <c r="AD672" s="40"/>
      <c r="AE672" s="40"/>
      <c r="AF672" s="40"/>
      <c r="AG672" s="40"/>
      <c r="AH672" s="34"/>
      <c r="AI672" s="34"/>
      <c r="AJ672" s="34"/>
      <c r="AK672" s="40"/>
      <c r="AL672" s="34"/>
      <c r="AM672" s="40"/>
      <c r="AN672" s="40"/>
      <c r="AO672" s="40"/>
      <c r="AP672" s="40"/>
      <c r="AQ672" s="40"/>
      <c r="AR672" s="40"/>
      <c r="AS672" s="40"/>
      <c r="AT672" s="40"/>
      <c r="AU672" s="40"/>
    </row>
    <row r="673" spans="1:47" ht="15.75" customHeight="1" x14ac:dyDescent="0.25">
      <c r="A673" s="34"/>
      <c r="B673" s="35"/>
      <c r="C673" s="36"/>
      <c r="D673" s="37"/>
      <c r="E673" s="38"/>
      <c r="F673" s="39"/>
      <c r="G673" s="17"/>
      <c r="H673" s="39"/>
      <c r="I673" s="34"/>
      <c r="J673" s="40"/>
      <c r="K673" s="34"/>
      <c r="L673" s="34"/>
      <c r="M673" s="40"/>
      <c r="N673" s="34"/>
      <c r="O673" s="40"/>
      <c r="P673" s="34"/>
      <c r="Q673" s="34"/>
      <c r="R673" s="40"/>
      <c r="S673" s="40"/>
      <c r="T673" s="34"/>
      <c r="U673" s="40"/>
      <c r="V673" s="34"/>
      <c r="W673" s="40"/>
      <c r="X673" s="34"/>
      <c r="Y673" s="34"/>
      <c r="Z673" s="40"/>
      <c r="AA673" s="40"/>
      <c r="AB673" s="34"/>
      <c r="AC673" s="34"/>
      <c r="AD673" s="40"/>
      <c r="AE673" s="40"/>
      <c r="AF673" s="40"/>
      <c r="AG673" s="40"/>
      <c r="AH673" s="34"/>
      <c r="AI673" s="34"/>
      <c r="AJ673" s="34"/>
      <c r="AK673" s="40"/>
      <c r="AL673" s="34"/>
      <c r="AM673" s="40"/>
      <c r="AN673" s="40"/>
      <c r="AO673" s="40"/>
      <c r="AP673" s="40"/>
      <c r="AQ673" s="40"/>
      <c r="AR673" s="40"/>
      <c r="AS673" s="40"/>
      <c r="AT673" s="40"/>
      <c r="AU673" s="40"/>
    </row>
    <row r="674" spans="1:47" ht="15.75" customHeight="1" x14ac:dyDescent="0.25">
      <c r="A674" s="34"/>
      <c r="B674" s="35"/>
      <c r="C674" s="36"/>
      <c r="D674" s="37"/>
      <c r="E674" s="38"/>
      <c r="F674" s="39"/>
      <c r="G674" s="17"/>
      <c r="H674" s="39"/>
      <c r="I674" s="34"/>
      <c r="J674" s="40"/>
      <c r="K674" s="34"/>
      <c r="L674" s="34"/>
      <c r="M674" s="40"/>
      <c r="N674" s="34"/>
      <c r="O674" s="40"/>
      <c r="P674" s="34"/>
      <c r="Q674" s="34"/>
      <c r="R674" s="40"/>
      <c r="S674" s="40"/>
      <c r="T674" s="34"/>
      <c r="U674" s="40"/>
      <c r="V674" s="34"/>
      <c r="W674" s="40"/>
      <c r="X674" s="34"/>
      <c r="Y674" s="34"/>
      <c r="Z674" s="40"/>
      <c r="AA674" s="40"/>
      <c r="AB674" s="34"/>
      <c r="AC674" s="34"/>
      <c r="AD674" s="40"/>
      <c r="AE674" s="40"/>
      <c r="AF674" s="40"/>
      <c r="AG674" s="40"/>
      <c r="AH674" s="34"/>
      <c r="AI674" s="34"/>
      <c r="AJ674" s="34"/>
      <c r="AK674" s="40"/>
      <c r="AL674" s="34"/>
      <c r="AM674" s="40"/>
      <c r="AN674" s="40"/>
      <c r="AO674" s="40"/>
      <c r="AP674" s="40"/>
      <c r="AQ674" s="40"/>
      <c r="AR674" s="40"/>
      <c r="AS674" s="40"/>
      <c r="AT674" s="40"/>
      <c r="AU674" s="40"/>
    </row>
    <row r="675" spans="1:47" ht="15.75" customHeight="1" x14ac:dyDescent="0.25">
      <c r="A675" s="34"/>
      <c r="B675" s="35"/>
      <c r="C675" s="36"/>
      <c r="D675" s="37"/>
      <c r="E675" s="38"/>
      <c r="F675" s="39"/>
      <c r="G675" s="17"/>
      <c r="H675" s="39"/>
      <c r="I675" s="34"/>
      <c r="J675" s="40"/>
      <c r="K675" s="34"/>
      <c r="L675" s="34"/>
      <c r="M675" s="40"/>
      <c r="N675" s="34"/>
      <c r="O675" s="40"/>
      <c r="P675" s="34"/>
      <c r="Q675" s="34"/>
      <c r="R675" s="40"/>
      <c r="S675" s="40"/>
      <c r="T675" s="34"/>
      <c r="U675" s="40"/>
      <c r="V675" s="34"/>
      <c r="W675" s="40"/>
      <c r="X675" s="34"/>
      <c r="Y675" s="34"/>
      <c r="Z675" s="40"/>
      <c r="AA675" s="40"/>
      <c r="AB675" s="34"/>
      <c r="AC675" s="34"/>
      <c r="AD675" s="40"/>
      <c r="AE675" s="40"/>
      <c r="AF675" s="40"/>
      <c r="AG675" s="40"/>
      <c r="AH675" s="34"/>
      <c r="AI675" s="34"/>
      <c r="AJ675" s="34"/>
      <c r="AK675" s="40"/>
      <c r="AL675" s="34"/>
      <c r="AM675" s="40"/>
      <c r="AN675" s="40"/>
      <c r="AO675" s="40"/>
      <c r="AP675" s="40"/>
      <c r="AQ675" s="40"/>
      <c r="AR675" s="40"/>
      <c r="AS675" s="40"/>
      <c r="AT675" s="40"/>
      <c r="AU675" s="40"/>
    </row>
    <row r="676" spans="1:47" ht="15.75" customHeight="1" x14ac:dyDescent="0.25">
      <c r="A676" s="34"/>
      <c r="B676" s="35"/>
      <c r="C676" s="36"/>
      <c r="D676" s="37"/>
      <c r="E676" s="38"/>
      <c r="F676" s="39"/>
      <c r="G676" s="17"/>
      <c r="H676" s="39"/>
      <c r="I676" s="34"/>
      <c r="J676" s="40"/>
      <c r="K676" s="34"/>
      <c r="L676" s="34"/>
      <c r="M676" s="40"/>
      <c r="N676" s="34"/>
      <c r="O676" s="40"/>
      <c r="P676" s="34"/>
      <c r="Q676" s="34"/>
      <c r="R676" s="40"/>
      <c r="S676" s="40"/>
      <c r="T676" s="34"/>
      <c r="U676" s="40"/>
      <c r="V676" s="34"/>
      <c r="W676" s="40"/>
      <c r="X676" s="34"/>
      <c r="Y676" s="34"/>
      <c r="Z676" s="40"/>
      <c r="AA676" s="40"/>
      <c r="AB676" s="34"/>
      <c r="AC676" s="34"/>
      <c r="AD676" s="40"/>
      <c r="AE676" s="40"/>
      <c r="AF676" s="40"/>
      <c r="AG676" s="40"/>
      <c r="AH676" s="34"/>
      <c r="AI676" s="34"/>
      <c r="AJ676" s="34"/>
      <c r="AK676" s="40"/>
      <c r="AL676" s="34"/>
      <c r="AM676" s="40"/>
      <c r="AN676" s="40"/>
      <c r="AO676" s="40"/>
      <c r="AP676" s="40"/>
      <c r="AQ676" s="40"/>
      <c r="AR676" s="40"/>
      <c r="AS676" s="40"/>
      <c r="AT676" s="40"/>
      <c r="AU676" s="40"/>
    </row>
    <row r="677" spans="1:47" ht="15.75" customHeight="1" x14ac:dyDescent="0.25">
      <c r="A677" s="34"/>
      <c r="B677" s="35"/>
      <c r="C677" s="36"/>
      <c r="D677" s="37"/>
      <c r="E677" s="38"/>
      <c r="F677" s="39"/>
      <c r="G677" s="17"/>
      <c r="H677" s="39"/>
      <c r="I677" s="34"/>
      <c r="J677" s="40"/>
      <c r="K677" s="34"/>
      <c r="L677" s="34"/>
      <c r="M677" s="40"/>
      <c r="N677" s="34"/>
      <c r="O677" s="40"/>
      <c r="P677" s="34"/>
      <c r="Q677" s="34"/>
      <c r="R677" s="40"/>
      <c r="S677" s="40"/>
      <c r="T677" s="34"/>
      <c r="U677" s="40"/>
      <c r="V677" s="34"/>
      <c r="W677" s="40"/>
      <c r="X677" s="34"/>
      <c r="Y677" s="34"/>
      <c r="Z677" s="40"/>
      <c r="AA677" s="40"/>
      <c r="AB677" s="34"/>
      <c r="AC677" s="34"/>
      <c r="AD677" s="40"/>
      <c r="AE677" s="40"/>
      <c r="AF677" s="40"/>
      <c r="AG677" s="40"/>
      <c r="AH677" s="34"/>
      <c r="AI677" s="34"/>
      <c r="AJ677" s="34"/>
      <c r="AK677" s="40"/>
      <c r="AL677" s="34"/>
      <c r="AM677" s="40"/>
      <c r="AN677" s="40"/>
      <c r="AO677" s="40"/>
      <c r="AP677" s="40"/>
      <c r="AQ677" s="40"/>
      <c r="AR677" s="40"/>
      <c r="AS677" s="40"/>
      <c r="AT677" s="40"/>
      <c r="AU677" s="40"/>
    </row>
    <row r="678" spans="1:47" ht="15.75" customHeight="1" x14ac:dyDescent="0.25">
      <c r="A678" s="34"/>
      <c r="B678" s="35"/>
      <c r="C678" s="36"/>
      <c r="D678" s="37"/>
      <c r="E678" s="38"/>
      <c r="F678" s="39"/>
      <c r="G678" s="17"/>
      <c r="H678" s="39"/>
      <c r="I678" s="34"/>
      <c r="J678" s="40"/>
      <c r="K678" s="34"/>
      <c r="L678" s="34"/>
      <c r="M678" s="40"/>
      <c r="N678" s="34"/>
      <c r="O678" s="40"/>
      <c r="P678" s="34"/>
      <c r="Q678" s="34"/>
      <c r="R678" s="40"/>
      <c r="S678" s="40"/>
      <c r="T678" s="34"/>
      <c r="U678" s="40"/>
      <c r="V678" s="34"/>
      <c r="W678" s="40"/>
      <c r="X678" s="34"/>
      <c r="Y678" s="34"/>
      <c r="Z678" s="40"/>
      <c r="AA678" s="40"/>
      <c r="AB678" s="34"/>
      <c r="AC678" s="34"/>
      <c r="AD678" s="40"/>
      <c r="AE678" s="40"/>
      <c r="AF678" s="40"/>
      <c r="AG678" s="40"/>
      <c r="AH678" s="34"/>
      <c r="AI678" s="34"/>
      <c r="AJ678" s="34"/>
      <c r="AK678" s="40"/>
      <c r="AL678" s="34"/>
      <c r="AM678" s="40"/>
      <c r="AN678" s="40"/>
      <c r="AO678" s="40"/>
      <c r="AP678" s="40"/>
      <c r="AQ678" s="40"/>
      <c r="AR678" s="40"/>
      <c r="AS678" s="40"/>
      <c r="AT678" s="40"/>
      <c r="AU678" s="40"/>
    </row>
    <row r="679" spans="1:47" ht="15.75" customHeight="1" x14ac:dyDescent="0.25">
      <c r="A679" s="34"/>
      <c r="B679" s="35"/>
      <c r="C679" s="36"/>
      <c r="D679" s="37"/>
      <c r="E679" s="38"/>
      <c r="F679" s="39"/>
      <c r="G679" s="17"/>
      <c r="H679" s="39"/>
      <c r="I679" s="34"/>
      <c r="J679" s="40"/>
      <c r="K679" s="34"/>
      <c r="L679" s="34"/>
      <c r="M679" s="40"/>
      <c r="N679" s="34"/>
      <c r="O679" s="40"/>
      <c r="P679" s="34"/>
      <c r="Q679" s="34"/>
      <c r="R679" s="40"/>
      <c r="S679" s="40"/>
      <c r="T679" s="34"/>
      <c r="U679" s="40"/>
      <c r="V679" s="34"/>
      <c r="W679" s="40"/>
      <c r="X679" s="34"/>
      <c r="Y679" s="34"/>
      <c r="Z679" s="40"/>
      <c r="AA679" s="40"/>
      <c r="AB679" s="34"/>
      <c r="AC679" s="34"/>
      <c r="AD679" s="40"/>
      <c r="AE679" s="40"/>
      <c r="AF679" s="40"/>
      <c r="AG679" s="40"/>
      <c r="AH679" s="34"/>
      <c r="AI679" s="34"/>
      <c r="AJ679" s="34"/>
      <c r="AK679" s="40"/>
      <c r="AL679" s="34"/>
      <c r="AM679" s="40"/>
      <c r="AN679" s="40"/>
      <c r="AO679" s="40"/>
      <c r="AP679" s="40"/>
      <c r="AQ679" s="40"/>
      <c r="AR679" s="40"/>
      <c r="AS679" s="40"/>
      <c r="AT679" s="40"/>
      <c r="AU679" s="40"/>
    </row>
    <row r="680" spans="1:47" ht="15.75" customHeight="1" x14ac:dyDescent="0.25">
      <c r="A680" s="34"/>
      <c r="B680" s="35"/>
      <c r="C680" s="36"/>
      <c r="D680" s="37"/>
      <c r="E680" s="38"/>
      <c r="F680" s="39"/>
      <c r="G680" s="17"/>
      <c r="H680" s="39"/>
      <c r="I680" s="34"/>
      <c r="J680" s="40"/>
      <c r="K680" s="34"/>
      <c r="L680" s="34"/>
      <c r="M680" s="40"/>
      <c r="N680" s="34"/>
      <c r="O680" s="40"/>
      <c r="P680" s="34"/>
      <c r="Q680" s="34"/>
      <c r="R680" s="40"/>
      <c r="S680" s="40"/>
      <c r="T680" s="34"/>
      <c r="U680" s="40"/>
      <c r="V680" s="34"/>
      <c r="W680" s="40"/>
      <c r="X680" s="34"/>
      <c r="Y680" s="34"/>
      <c r="Z680" s="40"/>
      <c r="AA680" s="40"/>
      <c r="AB680" s="34"/>
      <c r="AC680" s="34"/>
      <c r="AD680" s="40"/>
      <c r="AE680" s="40"/>
      <c r="AF680" s="40"/>
      <c r="AG680" s="40"/>
      <c r="AH680" s="34"/>
      <c r="AI680" s="34"/>
      <c r="AJ680" s="34"/>
      <c r="AK680" s="40"/>
      <c r="AL680" s="34"/>
      <c r="AM680" s="40"/>
      <c r="AN680" s="40"/>
      <c r="AO680" s="40"/>
      <c r="AP680" s="40"/>
      <c r="AQ680" s="40"/>
      <c r="AR680" s="40"/>
      <c r="AS680" s="40"/>
      <c r="AT680" s="40"/>
      <c r="AU680" s="40"/>
    </row>
    <row r="681" spans="1:47" ht="15.75" customHeight="1" x14ac:dyDescent="0.25">
      <c r="A681" s="34"/>
      <c r="B681" s="35"/>
      <c r="C681" s="36"/>
      <c r="D681" s="37"/>
      <c r="E681" s="38"/>
      <c r="F681" s="39"/>
      <c r="G681" s="17"/>
      <c r="H681" s="39"/>
      <c r="I681" s="34"/>
      <c r="J681" s="40"/>
      <c r="K681" s="34"/>
      <c r="L681" s="34"/>
      <c r="M681" s="40"/>
      <c r="N681" s="34"/>
      <c r="O681" s="40"/>
      <c r="P681" s="34"/>
      <c r="Q681" s="34"/>
      <c r="R681" s="40"/>
      <c r="S681" s="40"/>
      <c r="T681" s="34"/>
      <c r="U681" s="40"/>
      <c r="V681" s="34"/>
      <c r="W681" s="40"/>
      <c r="X681" s="34"/>
      <c r="Y681" s="34"/>
      <c r="Z681" s="40"/>
      <c r="AA681" s="40"/>
      <c r="AB681" s="34"/>
      <c r="AC681" s="34"/>
      <c r="AD681" s="40"/>
      <c r="AE681" s="40"/>
      <c r="AF681" s="40"/>
      <c r="AG681" s="40"/>
      <c r="AH681" s="34"/>
      <c r="AI681" s="34"/>
      <c r="AJ681" s="34"/>
      <c r="AK681" s="40"/>
      <c r="AL681" s="34"/>
      <c r="AM681" s="40"/>
      <c r="AN681" s="40"/>
      <c r="AO681" s="40"/>
      <c r="AP681" s="40"/>
      <c r="AQ681" s="40"/>
      <c r="AR681" s="40"/>
      <c r="AS681" s="40"/>
      <c r="AT681" s="40"/>
      <c r="AU681" s="40"/>
    </row>
    <row r="682" spans="1:47" ht="15.75" customHeight="1" x14ac:dyDescent="0.25">
      <c r="A682" s="34"/>
      <c r="B682" s="35"/>
      <c r="C682" s="36"/>
      <c r="D682" s="37"/>
      <c r="E682" s="38"/>
      <c r="F682" s="39"/>
      <c r="G682" s="17"/>
      <c r="H682" s="39"/>
      <c r="I682" s="34"/>
      <c r="J682" s="40"/>
      <c r="K682" s="34"/>
      <c r="L682" s="34"/>
      <c r="M682" s="40"/>
      <c r="N682" s="34"/>
      <c r="O682" s="40"/>
      <c r="P682" s="34"/>
      <c r="Q682" s="34"/>
      <c r="R682" s="40"/>
      <c r="S682" s="40"/>
      <c r="T682" s="34"/>
      <c r="U682" s="40"/>
      <c r="V682" s="34"/>
      <c r="W682" s="40"/>
      <c r="X682" s="34"/>
      <c r="Y682" s="34"/>
      <c r="Z682" s="40"/>
      <c r="AA682" s="40"/>
      <c r="AB682" s="34"/>
      <c r="AC682" s="34"/>
      <c r="AD682" s="40"/>
      <c r="AE682" s="40"/>
      <c r="AF682" s="40"/>
      <c r="AG682" s="40"/>
      <c r="AH682" s="34"/>
      <c r="AI682" s="34"/>
      <c r="AJ682" s="34"/>
      <c r="AK682" s="40"/>
      <c r="AL682" s="34"/>
      <c r="AM682" s="40"/>
      <c r="AN682" s="40"/>
      <c r="AO682" s="40"/>
      <c r="AP682" s="40"/>
      <c r="AQ682" s="40"/>
      <c r="AR682" s="40"/>
      <c r="AS682" s="40"/>
      <c r="AT682" s="40"/>
      <c r="AU682" s="40"/>
    </row>
    <row r="683" spans="1:47" ht="15.75" customHeight="1" x14ac:dyDescent="0.25">
      <c r="A683" s="34"/>
      <c r="B683" s="35"/>
      <c r="C683" s="36"/>
      <c r="D683" s="37"/>
      <c r="E683" s="38"/>
      <c r="F683" s="39"/>
      <c r="G683" s="17"/>
      <c r="H683" s="39"/>
      <c r="I683" s="34"/>
      <c r="J683" s="40"/>
      <c r="K683" s="34"/>
      <c r="L683" s="34"/>
      <c r="M683" s="40"/>
      <c r="N683" s="34"/>
      <c r="O683" s="40"/>
      <c r="P683" s="34"/>
      <c r="Q683" s="34"/>
      <c r="R683" s="40"/>
      <c r="S683" s="40"/>
      <c r="T683" s="34"/>
      <c r="U683" s="40"/>
      <c r="V683" s="34"/>
      <c r="W683" s="40"/>
      <c r="X683" s="34"/>
      <c r="Y683" s="34"/>
      <c r="Z683" s="40"/>
      <c r="AA683" s="40"/>
      <c r="AB683" s="34"/>
      <c r="AC683" s="34"/>
      <c r="AD683" s="40"/>
      <c r="AE683" s="40"/>
      <c r="AF683" s="40"/>
      <c r="AG683" s="40"/>
      <c r="AH683" s="34"/>
      <c r="AI683" s="34"/>
      <c r="AJ683" s="34"/>
      <c r="AK683" s="40"/>
      <c r="AL683" s="34"/>
      <c r="AM683" s="40"/>
      <c r="AN683" s="40"/>
      <c r="AO683" s="40"/>
      <c r="AP683" s="40"/>
      <c r="AQ683" s="40"/>
      <c r="AR683" s="40"/>
      <c r="AS683" s="40"/>
      <c r="AT683" s="40"/>
      <c r="AU683" s="40"/>
    </row>
    <row r="684" spans="1:47" ht="15.75" customHeight="1" x14ac:dyDescent="0.25">
      <c r="A684" s="34"/>
      <c r="B684" s="35"/>
      <c r="C684" s="36"/>
      <c r="D684" s="37"/>
      <c r="E684" s="38"/>
      <c r="F684" s="39"/>
      <c r="G684" s="17"/>
      <c r="H684" s="39"/>
      <c r="I684" s="34"/>
      <c r="J684" s="40"/>
      <c r="K684" s="34"/>
      <c r="L684" s="34"/>
      <c r="M684" s="40"/>
      <c r="N684" s="34"/>
      <c r="O684" s="40"/>
      <c r="P684" s="34"/>
      <c r="Q684" s="34"/>
      <c r="R684" s="40"/>
      <c r="S684" s="40"/>
      <c r="T684" s="34"/>
      <c r="U684" s="40"/>
      <c r="V684" s="34"/>
      <c r="W684" s="40"/>
      <c r="X684" s="34"/>
      <c r="Y684" s="34"/>
      <c r="Z684" s="40"/>
      <c r="AA684" s="40"/>
      <c r="AB684" s="34"/>
      <c r="AC684" s="34"/>
      <c r="AD684" s="40"/>
      <c r="AE684" s="40"/>
      <c r="AF684" s="40"/>
      <c r="AG684" s="40"/>
      <c r="AH684" s="34"/>
      <c r="AI684" s="34"/>
      <c r="AJ684" s="34"/>
      <c r="AK684" s="40"/>
      <c r="AL684" s="34"/>
      <c r="AM684" s="40"/>
      <c r="AN684" s="40"/>
      <c r="AO684" s="40"/>
      <c r="AP684" s="40"/>
      <c r="AQ684" s="40"/>
      <c r="AR684" s="40"/>
      <c r="AS684" s="40"/>
      <c r="AT684" s="40"/>
      <c r="AU684" s="40"/>
    </row>
    <row r="685" spans="1:47" ht="15.75" customHeight="1" x14ac:dyDescent="0.25">
      <c r="A685" s="34"/>
      <c r="B685" s="35"/>
      <c r="C685" s="36"/>
      <c r="D685" s="37"/>
      <c r="E685" s="38"/>
      <c r="F685" s="39"/>
      <c r="G685" s="17"/>
      <c r="H685" s="39"/>
      <c r="I685" s="34"/>
      <c r="J685" s="40"/>
      <c r="K685" s="34"/>
      <c r="L685" s="34"/>
      <c r="M685" s="40"/>
      <c r="N685" s="34"/>
      <c r="O685" s="40"/>
      <c r="P685" s="34"/>
      <c r="Q685" s="34"/>
      <c r="R685" s="40"/>
      <c r="S685" s="40"/>
      <c r="T685" s="34"/>
      <c r="U685" s="40"/>
      <c r="V685" s="34"/>
      <c r="W685" s="40"/>
      <c r="X685" s="34"/>
      <c r="Y685" s="34"/>
      <c r="Z685" s="40"/>
      <c r="AA685" s="40"/>
      <c r="AB685" s="34"/>
      <c r="AC685" s="34"/>
      <c r="AD685" s="40"/>
      <c r="AE685" s="40"/>
      <c r="AF685" s="40"/>
      <c r="AG685" s="40"/>
      <c r="AH685" s="34"/>
      <c r="AI685" s="34"/>
      <c r="AJ685" s="34"/>
      <c r="AK685" s="40"/>
      <c r="AL685" s="34"/>
      <c r="AM685" s="40"/>
      <c r="AN685" s="40"/>
      <c r="AO685" s="40"/>
      <c r="AP685" s="40"/>
      <c r="AQ685" s="40"/>
      <c r="AR685" s="40"/>
      <c r="AS685" s="40"/>
      <c r="AT685" s="40"/>
      <c r="AU685" s="40"/>
    </row>
    <row r="686" spans="1:47" ht="15.75" customHeight="1" x14ac:dyDescent="0.25">
      <c r="A686" s="34"/>
      <c r="B686" s="35"/>
      <c r="C686" s="36"/>
      <c r="D686" s="37"/>
      <c r="E686" s="38"/>
      <c r="F686" s="39"/>
      <c r="G686" s="17"/>
      <c r="H686" s="39"/>
      <c r="I686" s="34"/>
      <c r="J686" s="40"/>
      <c r="K686" s="34"/>
      <c r="L686" s="34"/>
      <c r="M686" s="40"/>
      <c r="N686" s="34"/>
      <c r="O686" s="40"/>
      <c r="P686" s="34"/>
      <c r="Q686" s="34"/>
      <c r="R686" s="40"/>
      <c r="S686" s="40"/>
      <c r="T686" s="34"/>
      <c r="U686" s="40"/>
      <c r="V686" s="34"/>
      <c r="W686" s="40"/>
      <c r="X686" s="34"/>
      <c r="Y686" s="34"/>
      <c r="Z686" s="40"/>
      <c r="AA686" s="40"/>
      <c r="AB686" s="34"/>
      <c r="AC686" s="34"/>
      <c r="AD686" s="40"/>
      <c r="AE686" s="40"/>
      <c r="AF686" s="40"/>
      <c r="AG686" s="40"/>
      <c r="AH686" s="34"/>
      <c r="AI686" s="34"/>
      <c r="AJ686" s="34"/>
      <c r="AK686" s="40"/>
      <c r="AL686" s="34"/>
      <c r="AM686" s="40"/>
      <c r="AN686" s="40"/>
      <c r="AO686" s="40"/>
      <c r="AP686" s="40"/>
      <c r="AQ686" s="40"/>
      <c r="AR686" s="40"/>
      <c r="AS686" s="40"/>
      <c r="AT686" s="40"/>
      <c r="AU686" s="40"/>
    </row>
    <row r="687" spans="1:47" ht="15.75" customHeight="1" x14ac:dyDescent="0.25">
      <c r="A687" s="34"/>
      <c r="B687" s="35"/>
      <c r="C687" s="36"/>
      <c r="D687" s="37"/>
      <c r="E687" s="38"/>
      <c r="F687" s="39"/>
      <c r="G687" s="17"/>
      <c r="H687" s="39"/>
      <c r="I687" s="34"/>
      <c r="J687" s="40"/>
      <c r="K687" s="34"/>
      <c r="L687" s="34"/>
      <c r="M687" s="40"/>
      <c r="N687" s="34"/>
      <c r="O687" s="40"/>
      <c r="P687" s="34"/>
      <c r="Q687" s="34"/>
      <c r="R687" s="40"/>
      <c r="S687" s="40"/>
      <c r="T687" s="34"/>
      <c r="U687" s="40"/>
      <c r="V687" s="34"/>
      <c r="W687" s="40"/>
      <c r="X687" s="34"/>
      <c r="Y687" s="34"/>
      <c r="Z687" s="40"/>
      <c r="AA687" s="40"/>
      <c r="AB687" s="34"/>
      <c r="AC687" s="34"/>
      <c r="AD687" s="40"/>
      <c r="AE687" s="40"/>
      <c r="AF687" s="40"/>
      <c r="AG687" s="40"/>
      <c r="AH687" s="34"/>
      <c r="AI687" s="34"/>
      <c r="AJ687" s="34"/>
      <c r="AK687" s="40"/>
      <c r="AL687" s="34"/>
      <c r="AM687" s="40"/>
      <c r="AN687" s="40"/>
      <c r="AO687" s="40"/>
      <c r="AP687" s="40"/>
      <c r="AQ687" s="40"/>
      <c r="AR687" s="40"/>
      <c r="AS687" s="40"/>
      <c r="AT687" s="40"/>
      <c r="AU687" s="40"/>
    </row>
    <row r="688" spans="1:47" ht="15.75" customHeight="1" x14ac:dyDescent="0.25">
      <c r="A688" s="34"/>
      <c r="B688" s="35"/>
      <c r="C688" s="36"/>
      <c r="D688" s="37"/>
      <c r="E688" s="38"/>
      <c r="F688" s="39"/>
      <c r="G688" s="17"/>
      <c r="H688" s="39"/>
      <c r="I688" s="34"/>
      <c r="J688" s="40"/>
      <c r="K688" s="34"/>
      <c r="L688" s="34"/>
      <c r="M688" s="40"/>
      <c r="N688" s="34"/>
      <c r="O688" s="40"/>
      <c r="P688" s="34"/>
      <c r="Q688" s="34"/>
      <c r="R688" s="40"/>
      <c r="S688" s="40"/>
      <c r="T688" s="34"/>
      <c r="U688" s="40"/>
      <c r="V688" s="34"/>
      <c r="W688" s="40"/>
      <c r="X688" s="34"/>
      <c r="Y688" s="34"/>
      <c r="Z688" s="40"/>
      <c r="AA688" s="40"/>
      <c r="AB688" s="34"/>
      <c r="AC688" s="34"/>
      <c r="AD688" s="40"/>
      <c r="AE688" s="40"/>
      <c r="AF688" s="40"/>
      <c r="AG688" s="40"/>
      <c r="AH688" s="34"/>
      <c r="AI688" s="34"/>
      <c r="AJ688" s="34"/>
      <c r="AK688" s="40"/>
      <c r="AL688" s="34"/>
      <c r="AM688" s="40"/>
      <c r="AN688" s="40"/>
      <c r="AO688" s="40"/>
      <c r="AP688" s="40"/>
      <c r="AQ688" s="40"/>
      <c r="AR688" s="40"/>
      <c r="AS688" s="40"/>
      <c r="AT688" s="40"/>
      <c r="AU688" s="40"/>
    </row>
    <row r="689" spans="1:47" ht="15.75" customHeight="1" x14ac:dyDescent="0.25">
      <c r="A689" s="34"/>
      <c r="B689" s="35"/>
      <c r="C689" s="36"/>
      <c r="D689" s="37"/>
      <c r="E689" s="38"/>
      <c r="F689" s="39"/>
      <c r="G689" s="17"/>
      <c r="H689" s="39"/>
      <c r="I689" s="34"/>
      <c r="J689" s="40"/>
      <c r="K689" s="34"/>
      <c r="L689" s="34"/>
      <c r="M689" s="40"/>
      <c r="N689" s="34"/>
      <c r="O689" s="40"/>
      <c r="P689" s="34"/>
      <c r="Q689" s="34"/>
      <c r="R689" s="40"/>
      <c r="S689" s="40"/>
      <c r="T689" s="34"/>
      <c r="U689" s="40"/>
      <c r="V689" s="34"/>
      <c r="W689" s="40"/>
      <c r="X689" s="34"/>
      <c r="Y689" s="34"/>
      <c r="Z689" s="40"/>
      <c r="AA689" s="40"/>
      <c r="AB689" s="34"/>
      <c r="AC689" s="34"/>
      <c r="AD689" s="40"/>
      <c r="AE689" s="40"/>
      <c r="AF689" s="40"/>
      <c r="AG689" s="40"/>
      <c r="AH689" s="34"/>
      <c r="AI689" s="34"/>
      <c r="AJ689" s="34"/>
      <c r="AK689" s="40"/>
      <c r="AL689" s="34"/>
      <c r="AM689" s="40"/>
      <c r="AN689" s="40"/>
      <c r="AO689" s="40"/>
      <c r="AP689" s="40"/>
      <c r="AQ689" s="40"/>
      <c r="AR689" s="40"/>
      <c r="AS689" s="40"/>
      <c r="AT689" s="40"/>
      <c r="AU689" s="40"/>
    </row>
    <row r="690" spans="1:47" ht="15.75" customHeight="1" x14ac:dyDescent="0.25">
      <c r="A690" s="34"/>
      <c r="B690" s="35"/>
      <c r="C690" s="36"/>
      <c r="D690" s="37"/>
      <c r="E690" s="38"/>
      <c r="F690" s="39"/>
      <c r="G690" s="17"/>
      <c r="H690" s="39"/>
      <c r="I690" s="34"/>
      <c r="J690" s="40"/>
      <c r="K690" s="34"/>
      <c r="L690" s="34"/>
      <c r="M690" s="40"/>
      <c r="N690" s="34"/>
      <c r="O690" s="40"/>
      <c r="P690" s="34"/>
      <c r="Q690" s="34"/>
      <c r="R690" s="40"/>
      <c r="S690" s="40"/>
      <c r="T690" s="34"/>
      <c r="U690" s="40"/>
      <c r="V690" s="34"/>
      <c r="W690" s="40"/>
      <c r="X690" s="34"/>
      <c r="Y690" s="34"/>
      <c r="Z690" s="40"/>
      <c r="AA690" s="40"/>
      <c r="AB690" s="34"/>
      <c r="AC690" s="34"/>
      <c r="AD690" s="40"/>
      <c r="AE690" s="40"/>
      <c r="AF690" s="40"/>
      <c r="AG690" s="40"/>
      <c r="AH690" s="34"/>
      <c r="AI690" s="34"/>
      <c r="AJ690" s="34"/>
      <c r="AK690" s="40"/>
      <c r="AL690" s="34"/>
      <c r="AM690" s="40"/>
      <c r="AN690" s="40"/>
      <c r="AO690" s="40"/>
      <c r="AP690" s="40"/>
      <c r="AQ690" s="40"/>
      <c r="AR690" s="40"/>
      <c r="AS690" s="40"/>
      <c r="AT690" s="40"/>
      <c r="AU690" s="40"/>
    </row>
    <row r="691" spans="1:47" ht="15.75" customHeight="1" x14ac:dyDescent="0.25">
      <c r="A691" s="34"/>
      <c r="B691" s="35"/>
      <c r="C691" s="36"/>
      <c r="D691" s="37"/>
      <c r="E691" s="38"/>
      <c r="F691" s="39"/>
      <c r="G691" s="17"/>
      <c r="H691" s="39"/>
      <c r="I691" s="34"/>
      <c r="J691" s="40"/>
      <c r="K691" s="34"/>
      <c r="L691" s="34"/>
      <c r="M691" s="40"/>
      <c r="N691" s="34"/>
      <c r="O691" s="40"/>
      <c r="P691" s="34"/>
      <c r="Q691" s="34"/>
      <c r="R691" s="40"/>
      <c r="S691" s="40"/>
      <c r="T691" s="34"/>
      <c r="U691" s="40"/>
      <c r="V691" s="34"/>
      <c r="W691" s="40"/>
      <c r="X691" s="34"/>
      <c r="Y691" s="34"/>
      <c r="Z691" s="40"/>
      <c r="AA691" s="40"/>
      <c r="AB691" s="34"/>
      <c r="AC691" s="34"/>
      <c r="AD691" s="40"/>
      <c r="AE691" s="40"/>
      <c r="AF691" s="40"/>
      <c r="AG691" s="40"/>
      <c r="AH691" s="34"/>
      <c r="AI691" s="34"/>
      <c r="AJ691" s="34"/>
      <c r="AK691" s="40"/>
      <c r="AL691" s="34"/>
      <c r="AM691" s="40"/>
      <c r="AN691" s="40"/>
      <c r="AO691" s="40"/>
      <c r="AP691" s="40"/>
      <c r="AQ691" s="40"/>
      <c r="AR691" s="40"/>
      <c r="AS691" s="40"/>
      <c r="AT691" s="40"/>
      <c r="AU691" s="40"/>
    </row>
    <row r="692" spans="1:47" ht="15.75" customHeight="1" x14ac:dyDescent="0.25">
      <c r="A692" s="34"/>
      <c r="B692" s="35"/>
      <c r="C692" s="36"/>
      <c r="D692" s="37"/>
      <c r="E692" s="38"/>
      <c r="F692" s="39"/>
      <c r="G692" s="17"/>
      <c r="H692" s="39"/>
      <c r="I692" s="34"/>
      <c r="J692" s="40"/>
      <c r="K692" s="34"/>
      <c r="L692" s="34"/>
      <c r="M692" s="40"/>
      <c r="N692" s="34"/>
      <c r="O692" s="40"/>
      <c r="P692" s="34"/>
      <c r="Q692" s="34"/>
      <c r="R692" s="40"/>
      <c r="S692" s="40"/>
      <c r="T692" s="34"/>
      <c r="U692" s="40"/>
      <c r="V692" s="34"/>
      <c r="W692" s="40"/>
      <c r="X692" s="34"/>
      <c r="Y692" s="34"/>
      <c r="Z692" s="40"/>
      <c r="AA692" s="40"/>
      <c r="AB692" s="34"/>
      <c r="AC692" s="34"/>
      <c r="AD692" s="40"/>
      <c r="AE692" s="40"/>
      <c r="AF692" s="40"/>
      <c r="AG692" s="40"/>
      <c r="AH692" s="34"/>
      <c r="AI692" s="34"/>
      <c r="AJ692" s="34"/>
      <c r="AK692" s="40"/>
      <c r="AL692" s="34"/>
      <c r="AM692" s="40"/>
      <c r="AN692" s="40"/>
      <c r="AO692" s="40"/>
      <c r="AP692" s="40"/>
      <c r="AQ692" s="40"/>
      <c r="AR692" s="40"/>
      <c r="AS692" s="40"/>
      <c r="AT692" s="40"/>
      <c r="AU692" s="40"/>
    </row>
    <row r="693" spans="1:47" ht="15.75" customHeight="1" x14ac:dyDescent="0.25">
      <c r="A693" s="34"/>
      <c r="B693" s="35"/>
      <c r="C693" s="36"/>
      <c r="D693" s="37"/>
      <c r="E693" s="38"/>
      <c r="F693" s="39"/>
      <c r="G693" s="17"/>
      <c r="H693" s="39"/>
      <c r="I693" s="34"/>
      <c r="J693" s="40"/>
      <c r="K693" s="34"/>
      <c r="L693" s="34"/>
      <c r="M693" s="40"/>
      <c r="N693" s="34"/>
      <c r="O693" s="40"/>
      <c r="P693" s="34"/>
      <c r="Q693" s="34"/>
      <c r="R693" s="40"/>
      <c r="S693" s="40"/>
      <c r="T693" s="34"/>
      <c r="U693" s="40"/>
      <c r="V693" s="34"/>
      <c r="W693" s="40"/>
      <c r="X693" s="34"/>
      <c r="Y693" s="34"/>
      <c r="Z693" s="40"/>
      <c r="AA693" s="40"/>
      <c r="AB693" s="34"/>
      <c r="AC693" s="34"/>
      <c r="AD693" s="40"/>
      <c r="AE693" s="40"/>
      <c r="AF693" s="40"/>
      <c r="AG693" s="40"/>
      <c r="AH693" s="34"/>
      <c r="AI693" s="34"/>
      <c r="AJ693" s="34"/>
      <c r="AK693" s="40"/>
      <c r="AL693" s="34"/>
      <c r="AM693" s="40"/>
      <c r="AN693" s="40"/>
      <c r="AO693" s="40"/>
      <c r="AP693" s="40"/>
      <c r="AQ693" s="40"/>
      <c r="AR693" s="40"/>
      <c r="AS693" s="40"/>
      <c r="AT693" s="40"/>
      <c r="AU693" s="40"/>
    </row>
    <row r="694" spans="1:47" ht="15.75" customHeight="1" x14ac:dyDescent="0.25">
      <c r="A694" s="34"/>
      <c r="B694" s="35"/>
      <c r="C694" s="36"/>
      <c r="D694" s="37"/>
      <c r="E694" s="38"/>
      <c r="F694" s="39"/>
      <c r="G694" s="17"/>
      <c r="H694" s="39"/>
      <c r="I694" s="34"/>
      <c r="J694" s="40"/>
      <c r="K694" s="34"/>
      <c r="L694" s="34"/>
      <c r="M694" s="40"/>
      <c r="N694" s="34"/>
      <c r="O694" s="40"/>
      <c r="P694" s="34"/>
      <c r="Q694" s="34"/>
      <c r="R694" s="40"/>
      <c r="S694" s="40"/>
      <c r="T694" s="34"/>
      <c r="U694" s="40"/>
      <c r="V694" s="34"/>
      <c r="W694" s="40"/>
      <c r="X694" s="34"/>
      <c r="Y694" s="34"/>
      <c r="Z694" s="40"/>
      <c r="AA694" s="40"/>
      <c r="AB694" s="34"/>
      <c r="AC694" s="34"/>
      <c r="AD694" s="40"/>
      <c r="AE694" s="40"/>
      <c r="AF694" s="40"/>
      <c r="AG694" s="40"/>
      <c r="AH694" s="34"/>
      <c r="AI694" s="34"/>
      <c r="AJ694" s="34"/>
      <c r="AK694" s="40"/>
      <c r="AL694" s="34"/>
      <c r="AM694" s="40"/>
      <c r="AN694" s="40"/>
      <c r="AO694" s="40"/>
      <c r="AP694" s="40"/>
      <c r="AQ694" s="40"/>
      <c r="AR694" s="40"/>
      <c r="AS694" s="40"/>
      <c r="AT694" s="40"/>
      <c r="AU694" s="40"/>
    </row>
    <row r="695" spans="1:47" ht="15.75" customHeight="1" x14ac:dyDescent="0.25">
      <c r="A695" s="34"/>
      <c r="B695" s="35"/>
      <c r="C695" s="36"/>
      <c r="D695" s="37"/>
      <c r="E695" s="38"/>
      <c r="F695" s="39"/>
      <c r="G695" s="17"/>
      <c r="H695" s="39"/>
      <c r="I695" s="34"/>
      <c r="J695" s="40"/>
      <c r="K695" s="34"/>
      <c r="L695" s="34"/>
      <c r="M695" s="40"/>
      <c r="N695" s="34"/>
      <c r="O695" s="40"/>
      <c r="P695" s="34"/>
      <c r="Q695" s="34"/>
      <c r="R695" s="40"/>
      <c r="S695" s="40"/>
      <c r="T695" s="34"/>
      <c r="U695" s="40"/>
      <c r="V695" s="34"/>
      <c r="W695" s="40"/>
      <c r="X695" s="34"/>
      <c r="Y695" s="34"/>
      <c r="Z695" s="40"/>
      <c r="AA695" s="40"/>
      <c r="AB695" s="34"/>
      <c r="AC695" s="34"/>
      <c r="AD695" s="40"/>
      <c r="AE695" s="40"/>
      <c r="AF695" s="40"/>
      <c r="AG695" s="40"/>
      <c r="AH695" s="34"/>
      <c r="AI695" s="34"/>
      <c r="AJ695" s="34"/>
      <c r="AK695" s="40"/>
      <c r="AL695" s="34"/>
      <c r="AM695" s="40"/>
      <c r="AN695" s="40"/>
      <c r="AO695" s="40"/>
      <c r="AP695" s="40"/>
      <c r="AQ695" s="40"/>
      <c r="AR695" s="40"/>
      <c r="AS695" s="40"/>
      <c r="AT695" s="40"/>
      <c r="AU695" s="40"/>
    </row>
    <row r="696" spans="1:47" ht="15.75" customHeight="1" x14ac:dyDescent="0.25">
      <c r="A696" s="34"/>
      <c r="B696" s="35"/>
      <c r="C696" s="36"/>
      <c r="D696" s="37"/>
      <c r="E696" s="38"/>
      <c r="F696" s="39"/>
      <c r="G696" s="17"/>
      <c r="H696" s="39"/>
      <c r="I696" s="34"/>
      <c r="J696" s="40"/>
      <c r="K696" s="34"/>
      <c r="L696" s="34"/>
      <c r="M696" s="40"/>
      <c r="N696" s="34"/>
      <c r="O696" s="40"/>
      <c r="P696" s="34"/>
      <c r="Q696" s="34"/>
      <c r="R696" s="40"/>
      <c r="S696" s="40"/>
      <c r="T696" s="34"/>
      <c r="U696" s="40"/>
      <c r="V696" s="34"/>
      <c r="W696" s="40"/>
      <c r="X696" s="34"/>
      <c r="Y696" s="34"/>
      <c r="Z696" s="40"/>
      <c r="AA696" s="40"/>
      <c r="AB696" s="34"/>
      <c r="AC696" s="34"/>
      <c r="AD696" s="40"/>
      <c r="AE696" s="40"/>
      <c r="AF696" s="40"/>
      <c r="AG696" s="40"/>
      <c r="AH696" s="34"/>
      <c r="AI696" s="34"/>
      <c r="AJ696" s="34"/>
      <c r="AK696" s="40"/>
      <c r="AL696" s="34"/>
      <c r="AM696" s="40"/>
      <c r="AN696" s="40"/>
      <c r="AO696" s="40"/>
      <c r="AP696" s="40"/>
      <c r="AQ696" s="40"/>
      <c r="AR696" s="40"/>
      <c r="AS696" s="40"/>
      <c r="AT696" s="40"/>
      <c r="AU696" s="40"/>
    </row>
    <row r="697" spans="1:47" ht="15.75" customHeight="1" x14ac:dyDescent="0.25">
      <c r="A697" s="34"/>
      <c r="B697" s="35"/>
      <c r="C697" s="36"/>
      <c r="D697" s="37"/>
      <c r="E697" s="38"/>
      <c r="F697" s="39"/>
      <c r="G697" s="17"/>
      <c r="H697" s="39"/>
      <c r="I697" s="34"/>
      <c r="J697" s="40"/>
      <c r="K697" s="34"/>
      <c r="L697" s="34"/>
      <c r="M697" s="40"/>
      <c r="N697" s="34"/>
      <c r="O697" s="40"/>
      <c r="P697" s="34"/>
      <c r="Q697" s="34"/>
      <c r="R697" s="40"/>
      <c r="S697" s="40"/>
      <c r="T697" s="34"/>
      <c r="U697" s="40"/>
      <c r="V697" s="34"/>
      <c r="W697" s="40"/>
      <c r="X697" s="34"/>
      <c r="Y697" s="34"/>
      <c r="Z697" s="40"/>
      <c r="AA697" s="40"/>
      <c r="AB697" s="34"/>
      <c r="AC697" s="34"/>
      <c r="AD697" s="40"/>
      <c r="AE697" s="40"/>
      <c r="AF697" s="40"/>
      <c r="AG697" s="40"/>
      <c r="AH697" s="34"/>
      <c r="AI697" s="34"/>
      <c r="AJ697" s="34"/>
      <c r="AK697" s="40"/>
      <c r="AL697" s="34"/>
      <c r="AM697" s="40"/>
      <c r="AN697" s="40"/>
      <c r="AO697" s="40"/>
      <c r="AP697" s="40"/>
      <c r="AQ697" s="40"/>
      <c r="AR697" s="40"/>
      <c r="AS697" s="40"/>
      <c r="AT697" s="40"/>
      <c r="AU697" s="40"/>
    </row>
    <row r="698" spans="1:47" ht="15.75" customHeight="1" x14ac:dyDescent="0.25">
      <c r="A698" s="34"/>
      <c r="B698" s="35"/>
      <c r="C698" s="36"/>
      <c r="D698" s="37"/>
      <c r="E698" s="38"/>
      <c r="F698" s="39"/>
      <c r="G698" s="17"/>
      <c r="H698" s="39"/>
      <c r="I698" s="34"/>
      <c r="J698" s="40"/>
      <c r="K698" s="34"/>
      <c r="L698" s="34"/>
      <c r="M698" s="40"/>
      <c r="N698" s="34"/>
      <c r="O698" s="40"/>
      <c r="P698" s="34"/>
      <c r="Q698" s="34"/>
      <c r="R698" s="40"/>
      <c r="S698" s="40"/>
      <c r="T698" s="34"/>
      <c r="U698" s="40"/>
      <c r="V698" s="34"/>
      <c r="W698" s="40"/>
      <c r="X698" s="34"/>
      <c r="Y698" s="34"/>
      <c r="Z698" s="40"/>
      <c r="AA698" s="40"/>
      <c r="AB698" s="34"/>
      <c r="AC698" s="34"/>
      <c r="AD698" s="40"/>
      <c r="AE698" s="40"/>
      <c r="AF698" s="40"/>
      <c r="AG698" s="40"/>
      <c r="AH698" s="34"/>
      <c r="AI698" s="34"/>
      <c r="AJ698" s="34"/>
      <c r="AK698" s="40"/>
      <c r="AL698" s="34"/>
      <c r="AM698" s="40"/>
      <c r="AN698" s="40"/>
      <c r="AO698" s="40"/>
      <c r="AP698" s="40"/>
      <c r="AQ698" s="40"/>
      <c r="AR698" s="40"/>
      <c r="AS698" s="40"/>
      <c r="AT698" s="40"/>
      <c r="AU698" s="40"/>
    </row>
    <row r="699" spans="1:47" ht="15.75" customHeight="1" x14ac:dyDescent="0.25">
      <c r="A699" s="34"/>
      <c r="B699" s="35"/>
      <c r="C699" s="36"/>
      <c r="D699" s="37"/>
      <c r="E699" s="38"/>
      <c r="F699" s="39"/>
      <c r="G699" s="17"/>
      <c r="H699" s="39"/>
      <c r="I699" s="34"/>
      <c r="J699" s="40"/>
      <c r="K699" s="34"/>
      <c r="L699" s="34"/>
      <c r="M699" s="40"/>
      <c r="N699" s="34"/>
      <c r="O699" s="40"/>
      <c r="P699" s="34"/>
      <c r="Q699" s="34"/>
      <c r="R699" s="40"/>
      <c r="S699" s="40"/>
      <c r="T699" s="34"/>
      <c r="U699" s="40"/>
      <c r="V699" s="34"/>
      <c r="W699" s="40"/>
      <c r="X699" s="34"/>
      <c r="Y699" s="34"/>
      <c r="Z699" s="40"/>
      <c r="AA699" s="40"/>
      <c r="AB699" s="34"/>
      <c r="AC699" s="34"/>
      <c r="AD699" s="40"/>
      <c r="AE699" s="40"/>
      <c r="AF699" s="40"/>
      <c r="AG699" s="40"/>
      <c r="AH699" s="34"/>
      <c r="AI699" s="34"/>
      <c r="AJ699" s="34"/>
      <c r="AK699" s="40"/>
      <c r="AL699" s="34"/>
      <c r="AM699" s="40"/>
      <c r="AN699" s="40"/>
      <c r="AO699" s="40"/>
      <c r="AP699" s="40"/>
      <c r="AQ699" s="40"/>
      <c r="AR699" s="40"/>
      <c r="AS699" s="40"/>
      <c r="AT699" s="40"/>
      <c r="AU699" s="40"/>
    </row>
    <row r="700" spans="1:47" ht="15.75" customHeight="1" x14ac:dyDescent="0.25">
      <c r="A700" s="34"/>
      <c r="B700" s="35"/>
      <c r="C700" s="36"/>
      <c r="D700" s="37"/>
      <c r="E700" s="38"/>
      <c r="F700" s="39"/>
      <c r="G700" s="17"/>
      <c r="H700" s="39"/>
      <c r="I700" s="34"/>
      <c r="J700" s="40"/>
      <c r="K700" s="34"/>
      <c r="L700" s="34"/>
      <c r="M700" s="40"/>
      <c r="N700" s="34"/>
      <c r="O700" s="40"/>
      <c r="P700" s="34"/>
      <c r="Q700" s="34"/>
      <c r="R700" s="40"/>
      <c r="S700" s="40"/>
      <c r="T700" s="34"/>
      <c r="U700" s="40"/>
      <c r="V700" s="34"/>
      <c r="W700" s="40"/>
      <c r="X700" s="34"/>
      <c r="Y700" s="34"/>
      <c r="Z700" s="40"/>
      <c r="AA700" s="40"/>
      <c r="AB700" s="34"/>
      <c r="AC700" s="34"/>
      <c r="AD700" s="40"/>
      <c r="AE700" s="40"/>
      <c r="AF700" s="40"/>
      <c r="AG700" s="40"/>
      <c r="AH700" s="34"/>
      <c r="AI700" s="34"/>
      <c r="AJ700" s="34"/>
      <c r="AK700" s="40"/>
      <c r="AL700" s="34"/>
      <c r="AM700" s="40"/>
      <c r="AN700" s="40"/>
      <c r="AO700" s="40"/>
      <c r="AP700" s="40"/>
      <c r="AQ700" s="40"/>
      <c r="AR700" s="40"/>
      <c r="AS700" s="40"/>
      <c r="AT700" s="40"/>
      <c r="AU700" s="40"/>
    </row>
    <row r="701" spans="1:47" ht="15.75" customHeight="1" x14ac:dyDescent="0.25">
      <c r="A701" s="34"/>
      <c r="B701" s="35"/>
      <c r="C701" s="36"/>
      <c r="D701" s="37"/>
      <c r="E701" s="38"/>
      <c r="F701" s="39"/>
      <c r="G701" s="17"/>
      <c r="H701" s="39"/>
      <c r="I701" s="34"/>
      <c r="J701" s="40"/>
      <c r="K701" s="34"/>
      <c r="L701" s="34"/>
      <c r="M701" s="40"/>
      <c r="N701" s="34"/>
      <c r="O701" s="40"/>
      <c r="P701" s="34"/>
      <c r="Q701" s="34"/>
      <c r="R701" s="40"/>
      <c r="S701" s="40"/>
      <c r="T701" s="34"/>
      <c r="U701" s="40"/>
      <c r="V701" s="34"/>
      <c r="W701" s="40"/>
      <c r="X701" s="34"/>
      <c r="Y701" s="34"/>
      <c r="Z701" s="40"/>
      <c r="AA701" s="40"/>
      <c r="AB701" s="34"/>
      <c r="AC701" s="34"/>
      <c r="AD701" s="40"/>
      <c r="AE701" s="40"/>
      <c r="AF701" s="40"/>
      <c r="AG701" s="40"/>
      <c r="AH701" s="34"/>
      <c r="AI701" s="34"/>
      <c r="AJ701" s="34"/>
      <c r="AK701" s="40"/>
      <c r="AL701" s="34"/>
      <c r="AM701" s="40"/>
      <c r="AN701" s="40"/>
      <c r="AO701" s="40"/>
      <c r="AP701" s="40"/>
      <c r="AQ701" s="40"/>
      <c r="AR701" s="40"/>
      <c r="AS701" s="40"/>
      <c r="AT701" s="40"/>
      <c r="AU701" s="40"/>
    </row>
    <row r="702" spans="1:47" ht="15.75" customHeight="1" x14ac:dyDescent="0.25">
      <c r="A702" s="34"/>
      <c r="B702" s="35"/>
      <c r="C702" s="36"/>
      <c r="D702" s="37"/>
      <c r="E702" s="38"/>
      <c r="F702" s="39"/>
      <c r="G702" s="17"/>
      <c r="H702" s="39"/>
      <c r="I702" s="34"/>
      <c r="J702" s="40"/>
      <c r="K702" s="34"/>
      <c r="L702" s="34"/>
      <c r="M702" s="40"/>
      <c r="N702" s="34"/>
      <c r="O702" s="40"/>
      <c r="P702" s="34"/>
      <c r="Q702" s="34"/>
      <c r="R702" s="40"/>
      <c r="S702" s="40"/>
      <c r="T702" s="34"/>
      <c r="U702" s="40"/>
      <c r="V702" s="34"/>
      <c r="W702" s="40"/>
      <c r="X702" s="34"/>
      <c r="Y702" s="34"/>
      <c r="Z702" s="40"/>
      <c r="AA702" s="40"/>
      <c r="AB702" s="34"/>
      <c r="AC702" s="34"/>
      <c r="AD702" s="40"/>
      <c r="AE702" s="40"/>
      <c r="AF702" s="40"/>
      <c r="AG702" s="40"/>
      <c r="AH702" s="34"/>
      <c r="AI702" s="34"/>
      <c r="AJ702" s="34"/>
      <c r="AK702" s="40"/>
      <c r="AL702" s="34"/>
      <c r="AM702" s="40"/>
      <c r="AN702" s="40"/>
      <c r="AO702" s="40"/>
      <c r="AP702" s="40"/>
      <c r="AQ702" s="40"/>
      <c r="AR702" s="40"/>
      <c r="AS702" s="40"/>
      <c r="AT702" s="40"/>
      <c r="AU702" s="40"/>
    </row>
    <row r="703" spans="1:47" ht="15.75" customHeight="1" x14ac:dyDescent="0.25">
      <c r="A703" s="34"/>
      <c r="B703" s="35"/>
      <c r="C703" s="36"/>
      <c r="D703" s="37"/>
      <c r="E703" s="38"/>
      <c r="F703" s="39"/>
      <c r="G703" s="17"/>
      <c r="H703" s="39"/>
      <c r="I703" s="34"/>
      <c r="J703" s="40"/>
      <c r="K703" s="34"/>
      <c r="L703" s="34"/>
      <c r="M703" s="40"/>
      <c r="N703" s="34"/>
      <c r="O703" s="40"/>
      <c r="P703" s="34"/>
      <c r="Q703" s="34"/>
      <c r="R703" s="40"/>
      <c r="S703" s="40"/>
      <c r="T703" s="34"/>
      <c r="U703" s="40"/>
      <c r="V703" s="34"/>
      <c r="W703" s="40"/>
      <c r="X703" s="34"/>
      <c r="Y703" s="34"/>
      <c r="Z703" s="40"/>
      <c r="AA703" s="40"/>
      <c r="AB703" s="34"/>
      <c r="AC703" s="34"/>
      <c r="AD703" s="40"/>
      <c r="AE703" s="40"/>
      <c r="AF703" s="40"/>
      <c r="AG703" s="40"/>
      <c r="AH703" s="34"/>
      <c r="AI703" s="34"/>
      <c r="AJ703" s="34"/>
      <c r="AK703" s="40"/>
      <c r="AL703" s="34"/>
      <c r="AM703" s="40"/>
      <c r="AN703" s="40"/>
      <c r="AO703" s="40"/>
      <c r="AP703" s="40"/>
      <c r="AQ703" s="40"/>
      <c r="AR703" s="40"/>
      <c r="AS703" s="40"/>
      <c r="AT703" s="40"/>
      <c r="AU703" s="40"/>
    </row>
    <row r="704" spans="1:47" ht="15.75" customHeight="1" x14ac:dyDescent="0.25">
      <c r="A704" s="34"/>
      <c r="B704" s="35"/>
      <c r="C704" s="36"/>
      <c r="D704" s="37"/>
      <c r="E704" s="38"/>
      <c r="F704" s="39"/>
      <c r="G704" s="17"/>
      <c r="H704" s="39"/>
      <c r="I704" s="34"/>
      <c r="J704" s="40"/>
      <c r="K704" s="34"/>
      <c r="L704" s="34"/>
      <c r="M704" s="40"/>
      <c r="N704" s="34"/>
      <c r="O704" s="40"/>
      <c r="P704" s="34"/>
      <c r="Q704" s="34"/>
      <c r="R704" s="40"/>
      <c r="S704" s="40"/>
      <c r="T704" s="34"/>
      <c r="U704" s="40"/>
      <c r="V704" s="34"/>
      <c r="W704" s="40"/>
      <c r="X704" s="34"/>
      <c r="Y704" s="34"/>
      <c r="Z704" s="40"/>
      <c r="AA704" s="40"/>
      <c r="AB704" s="34"/>
      <c r="AC704" s="34"/>
      <c r="AD704" s="40"/>
      <c r="AE704" s="40"/>
      <c r="AF704" s="40"/>
      <c r="AG704" s="40"/>
      <c r="AH704" s="34"/>
      <c r="AI704" s="34"/>
      <c r="AJ704" s="34"/>
      <c r="AK704" s="40"/>
      <c r="AL704" s="34"/>
      <c r="AM704" s="40"/>
      <c r="AN704" s="40"/>
      <c r="AO704" s="40"/>
      <c r="AP704" s="40"/>
      <c r="AQ704" s="40"/>
      <c r="AR704" s="40"/>
      <c r="AS704" s="40"/>
      <c r="AT704" s="40"/>
      <c r="AU704" s="40"/>
    </row>
    <row r="705" spans="1:47" ht="15.75" customHeight="1" x14ac:dyDescent="0.25">
      <c r="A705" s="34"/>
      <c r="B705" s="35"/>
      <c r="C705" s="36"/>
      <c r="D705" s="37"/>
      <c r="E705" s="38"/>
      <c r="F705" s="39"/>
      <c r="G705" s="17"/>
      <c r="H705" s="39"/>
      <c r="I705" s="34"/>
      <c r="J705" s="40"/>
      <c r="K705" s="34"/>
      <c r="L705" s="34"/>
      <c r="M705" s="40"/>
      <c r="N705" s="34"/>
      <c r="O705" s="40"/>
      <c r="P705" s="34"/>
      <c r="Q705" s="34"/>
      <c r="R705" s="40"/>
      <c r="S705" s="40"/>
      <c r="T705" s="34"/>
      <c r="U705" s="40"/>
      <c r="V705" s="34"/>
      <c r="W705" s="40"/>
      <c r="X705" s="34"/>
      <c r="Y705" s="34"/>
      <c r="Z705" s="40"/>
      <c r="AA705" s="40"/>
      <c r="AB705" s="34"/>
      <c r="AC705" s="34"/>
      <c r="AD705" s="40"/>
      <c r="AE705" s="40"/>
      <c r="AF705" s="40"/>
      <c r="AG705" s="40"/>
      <c r="AH705" s="34"/>
      <c r="AI705" s="34"/>
      <c r="AJ705" s="34"/>
      <c r="AK705" s="40"/>
      <c r="AL705" s="34"/>
      <c r="AM705" s="40"/>
      <c r="AN705" s="40"/>
      <c r="AO705" s="40"/>
      <c r="AP705" s="40"/>
      <c r="AQ705" s="40"/>
      <c r="AR705" s="40"/>
      <c r="AS705" s="40"/>
      <c r="AT705" s="40"/>
      <c r="AU705" s="40"/>
    </row>
    <row r="706" spans="1:47" ht="15.75" customHeight="1" x14ac:dyDescent="0.25">
      <c r="A706" s="34"/>
      <c r="B706" s="35"/>
      <c r="C706" s="36"/>
      <c r="D706" s="37"/>
      <c r="E706" s="38"/>
      <c r="F706" s="39"/>
      <c r="G706" s="17"/>
      <c r="H706" s="39"/>
      <c r="I706" s="34"/>
      <c r="J706" s="40"/>
      <c r="K706" s="34"/>
      <c r="L706" s="34"/>
      <c r="M706" s="40"/>
      <c r="N706" s="34"/>
      <c r="O706" s="40"/>
      <c r="P706" s="34"/>
      <c r="Q706" s="34"/>
      <c r="R706" s="40"/>
      <c r="S706" s="40"/>
      <c r="T706" s="34"/>
      <c r="U706" s="40"/>
      <c r="V706" s="34"/>
      <c r="W706" s="40"/>
      <c r="X706" s="34"/>
      <c r="Y706" s="34"/>
      <c r="Z706" s="40"/>
      <c r="AA706" s="40"/>
      <c r="AB706" s="34"/>
      <c r="AC706" s="34"/>
      <c r="AD706" s="40"/>
      <c r="AE706" s="40"/>
      <c r="AF706" s="40"/>
      <c r="AG706" s="40"/>
      <c r="AH706" s="34"/>
      <c r="AI706" s="34"/>
      <c r="AJ706" s="34"/>
      <c r="AK706" s="40"/>
      <c r="AL706" s="34"/>
      <c r="AM706" s="40"/>
      <c r="AN706" s="40"/>
      <c r="AO706" s="40"/>
      <c r="AP706" s="40"/>
      <c r="AQ706" s="40"/>
      <c r="AR706" s="40"/>
      <c r="AS706" s="40"/>
      <c r="AT706" s="40"/>
      <c r="AU706" s="40"/>
    </row>
    <row r="707" spans="1:47" ht="15.75" customHeight="1" x14ac:dyDescent="0.25">
      <c r="A707" s="34"/>
      <c r="B707" s="35"/>
      <c r="C707" s="36"/>
      <c r="D707" s="37"/>
      <c r="E707" s="38"/>
      <c r="F707" s="39"/>
      <c r="G707" s="17"/>
      <c r="H707" s="39"/>
      <c r="I707" s="34"/>
      <c r="J707" s="40"/>
      <c r="K707" s="34"/>
      <c r="L707" s="34"/>
      <c r="M707" s="40"/>
      <c r="N707" s="34"/>
      <c r="O707" s="40"/>
      <c r="P707" s="34"/>
      <c r="Q707" s="34"/>
      <c r="R707" s="40"/>
      <c r="S707" s="40"/>
      <c r="T707" s="34"/>
      <c r="U707" s="40"/>
      <c r="V707" s="34"/>
      <c r="W707" s="40"/>
      <c r="X707" s="34"/>
      <c r="Y707" s="34"/>
      <c r="Z707" s="40"/>
      <c r="AA707" s="40"/>
      <c r="AB707" s="34"/>
      <c r="AC707" s="34"/>
      <c r="AD707" s="40"/>
      <c r="AE707" s="40"/>
      <c r="AF707" s="40"/>
      <c r="AG707" s="40"/>
      <c r="AH707" s="34"/>
      <c r="AI707" s="34"/>
      <c r="AJ707" s="34"/>
      <c r="AK707" s="40"/>
      <c r="AL707" s="34"/>
      <c r="AM707" s="40"/>
      <c r="AN707" s="40"/>
      <c r="AO707" s="40"/>
      <c r="AP707" s="40"/>
      <c r="AQ707" s="40"/>
      <c r="AR707" s="40"/>
      <c r="AS707" s="40"/>
      <c r="AT707" s="40"/>
      <c r="AU707" s="40"/>
    </row>
    <row r="708" spans="1:47" ht="15.75" customHeight="1" x14ac:dyDescent="0.25">
      <c r="A708" s="34"/>
      <c r="B708" s="35"/>
      <c r="C708" s="36"/>
      <c r="D708" s="37"/>
      <c r="E708" s="38"/>
      <c r="F708" s="39"/>
      <c r="G708" s="17"/>
      <c r="H708" s="39"/>
      <c r="I708" s="34"/>
      <c r="J708" s="40"/>
      <c r="K708" s="34"/>
      <c r="L708" s="34"/>
      <c r="M708" s="40"/>
      <c r="N708" s="34"/>
      <c r="O708" s="40"/>
      <c r="P708" s="34"/>
      <c r="Q708" s="34"/>
      <c r="R708" s="40"/>
      <c r="S708" s="40"/>
      <c r="T708" s="34"/>
      <c r="U708" s="40"/>
      <c r="V708" s="34"/>
      <c r="W708" s="40"/>
      <c r="X708" s="34"/>
      <c r="Y708" s="34"/>
      <c r="Z708" s="40"/>
      <c r="AA708" s="40"/>
      <c r="AB708" s="34"/>
      <c r="AC708" s="34"/>
      <c r="AD708" s="40"/>
      <c r="AE708" s="40"/>
      <c r="AF708" s="40"/>
      <c r="AG708" s="40"/>
      <c r="AH708" s="34"/>
      <c r="AI708" s="34"/>
      <c r="AJ708" s="34"/>
      <c r="AK708" s="40"/>
      <c r="AL708" s="34"/>
      <c r="AM708" s="40"/>
      <c r="AN708" s="40"/>
      <c r="AO708" s="40"/>
      <c r="AP708" s="40"/>
      <c r="AQ708" s="40"/>
      <c r="AR708" s="40"/>
      <c r="AS708" s="40"/>
      <c r="AT708" s="40"/>
      <c r="AU708" s="40"/>
    </row>
    <row r="709" spans="1:47" ht="15.75" customHeight="1" x14ac:dyDescent="0.25">
      <c r="A709" s="34"/>
      <c r="B709" s="35"/>
      <c r="C709" s="36"/>
      <c r="D709" s="37"/>
      <c r="E709" s="38"/>
      <c r="F709" s="39"/>
      <c r="G709" s="17"/>
      <c r="H709" s="39"/>
      <c r="I709" s="34"/>
      <c r="J709" s="40"/>
      <c r="K709" s="34"/>
      <c r="L709" s="34"/>
      <c r="M709" s="40"/>
      <c r="N709" s="34"/>
      <c r="O709" s="40"/>
      <c r="P709" s="34"/>
      <c r="Q709" s="34"/>
      <c r="R709" s="40"/>
      <c r="S709" s="40"/>
      <c r="T709" s="34"/>
      <c r="U709" s="40"/>
      <c r="V709" s="34"/>
      <c r="W709" s="40"/>
      <c r="X709" s="34"/>
      <c r="Y709" s="34"/>
      <c r="Z709" s="40"/>
      <c r="AA709" s="40"/>
      <c r="AB709" s="34"/>
      <c r="AC709" s="34"/>
      <c r="AD709" s="40"/>
      <c r="AE709" s="40"/>
      <c r="AF709" s="40"/>
      <c r="AG709" s="40"/>
      <c r="AH709" s="34"/>
      <c r="AI709" s="34"/>
      <c r="AJ709" s="34"/>
      <c r="AK709" s="40"/>
      <c r="AL709" s="34"/>
      <c r="AM709" s="40"/>
      <c r="AN709" s="40"/>
      <c r="AO709" s="40"/>
      <c r="AP709" s="40"/>
      <c r="AQ709" s="40"/>
      <c r="AR709" s="40"/>
      <c r="AS709" s="40"/>
      <c r="AT709" s="40"/>
      <c r="AU709" s="40"/>
    </row>
    <row r="710" spans="1:47" ht="15.75" customHeight="1" x14ac:dyDescent="0.25">
      <c r="A710" s="34"/>
      <c r="B710" s="35"/>
      <c r="C710" s="36"/>
      <c r="D710" s="37"/>
      <c r="E710" s="38"/>
      <c r="F710" s="39"/>
      <c r="G710" s="17"/>
      <c r="H710" s="39"/>
      <c r="I710" s="34"/>
      <c r="J710" s="40"/>
      <c r="K710" s="34"/>
      <c r="L710" s="34"/>
      <c r="M710" s="40"/>
      <c r="N710" s="34"/>
      <c r="O710" s="40"/>
      <c r="P710" s="34"/>
      <c r="Q710" s="34"/>
      <c r="R710" s="40"/>
      <c r="S710" s="40"/>
      <c r="T710" s="34"/>
      <c r="U710" s="40"/>
      <c r="V710" s="34"/>
      <c r="W710" s="40"/>
      <c r="X710" s="34"/>
      <c r="Y710" s="34"/>
      <c r="Z710" s="40"/>
      <c r="AA710" s="40"/>
      <c r="AB710" s="34"/>
      <c r="AC710" s="34"/>
      <c r="AD710" s="40"/>
      <c r="AE710" s="40"/>
      <c r="AF710" s="40"/>
      <c r="AG710" s="40"/>
      <c r="AH710" s="34"/>
      <c r="AI710" s="34"/>
      <c r="AJ710" s="34"/>
      <c r="AK710" s="40"/>
      <c r="AL710" s="34"/>
      <c r="AM710" s="40"/>
      <c r="AN710" s="40"/>
      <c r="AO710" s="40"/>
      <c r="AP710" s="40"/>
      <c r="AQ710" s="40"/>
      <c r="AR710" s="40"/>
      <c r="AS710" s="40"/>
      <c r="AT710" s="40"/>
      <c r="AU710" s="40"/>
    </row>
    <row r="711" spans="1:47" ht="15.75" customHeight="1" x14ac:dyDescent="0.25">
      <c r="A711" s="34"/>
      <c r="B711" s="35"/>
      <c r="C711" s="36"/>
      <c r="D711" s="37"/>
      <c r="E711" s="38"/>
      <c r="F711" s="39"/>
      <c r="G711" s="17"/>
      <c r="H711" s="39"/>
      <c r="I711" s="34"/>
      <c r="J711" s="40"/>
      <c r="K711" s="34"/>
      <c r="L711" s="34"/>
      <c r="M711" s="40"/>
      <c r="N711" s="34"/>
      <c r="O711" s="40"/>
      <c r="P711" s="34"/>
      <c r="Q711" s="34"/>
      <c r="R711" s="40"/>
      <c r="S711" s="40"/>
      <c r="T711" s="34"/>
      <c r="U711" s="40"/>
      <c r="V711" s="34"/>
      <c r="W711" s="40"/>
      <c r="X711" s="34"/>
      <c r="Y711" s="34"/>
      <c r="Z711" s="40"/>
      <c r="AA711" s="40"/>
      <c r="AB711" s="34"/>
      <c r="AC711" s="34"/>
      <c r="AD711" s="40"/>
      <c r="AE711" s="40"/>
      <c r="AF711" s="40"/>
      <c r="AG711" s="40"/>
      <c r="AH711" s="34"/>
      <c r="AI711" s="34"/>
      <c r="AJ711" s="34"/>
      <c r="AK711" s="40"/>
      <c r="AL711" s="34"/>
      <c r="AM711" s="40"/>
      <c r="AN711" s="40"/>
      <c r="AO711" s="40"/>
      <c r="AP711" s="40"/>
      <c r="AQ711" s="40"/>
      <c r="AR711" s="40"/>
      <c r="AS711" s="40"/>
      <c r="AT711" s="40"/>
      <c r="AU711" s="40"/>
    </row>
    <row r="712" spans="1:47" ht="15.75" customHeight="1" x14ac:dyDescent="0.25">
      <c r="A712" s="34"/>
      <c r="B712" s="35"/>
      <c r="C712" s="36"/>
      <c r="D712" s="37"/>
      <c r="E712" s="38"/>
      <c r="F712" s="39"/>
      <c r="G712" s="17"/>
      <c r="H712" s="39"/>
      <c r="I712" s="34"/>
      <c r="J712" s="40"/>
      <c r="K712" s="34"/>
      <c r="L712" s="34"/>
      <c r="M712" s="40"/>
      <c r="N712" s="34"/>
      <c r="O712" s="40"/>
      <c r="P712" s="34"/>
      <c r="Q712" s="34"/>
      <c r="R712" s="40"/>
      <c r="S712" s="40"/>
      <c r="T712" s="34"/>
      <c r="U712" s="40"/>
      <c r="V712" s="34"/>
      <c r="W712" s="40"/>
      <c r="X712" s="34"/>
      <c r="Y712" s="34"/>
      <c r="Z712" s="40"/>
      <c r="AA712" s="40"/>
      <c r="AB712" s="34"/>
      <c r="AC712" s="34"/>
      <c r="AD712" s="40"/>
      <c r="AE712" s="40"/>
      <c r="AF712" s="40"/>
      <c r="AG712" s="40"/>
      <c r="AH712" s="34"/>
      <c r="AI712" s="34"/>
      <c r="AJ712" s="34"/>
      <c r="AK712" s="40"/>
      <c r="AL712" s="34"/>
      <c r="AM712" s="40"/>
      <c r="AN712" s="40"/>
      <c r="AO712" s="40"/>
      <c r="AP712" s="40"/>
      <c r="AQ712" s="40"/>
      <c r="AR712" s="40"/>
      <c r="AS712" s="40"/>
      <c r="AT712" s="40"/>
      <c r="AU712" s="40"/>
    </row>
    <row r="713" spans="1:47" ht="15.75" customHeight="1" x14ac:dyDescent="0.25">
      <c r="A713" s="34"/>
      <c r="B713" s="35"/>
      <c r="C713" s="36"/>
      <c r="D713" s="37"/>
      <c r="E713" s="38"/>
      <c r="F713" s="39"/>
      <c r="G713" s="17"/>
      <c r="H713" s="39"/>
      <c r="I713" s="34"/>
      <c r="J713" s="40"/>
      <c r="K713" s="34"/>
      <c r="L713" s="34"/>
      <c r="M713" s="40"/>
      <c r="N713" s="34"/>
      <c r="O713" s="40"/>
      <c r="P713" s="34"/>
      <c r="Q713" s="34"/>
      <c r="R713" s="40"/>
      <c r="S713" s="40"/>
      <c r="T713" s="34"/>
      <c r="U713" s="40"/>
      <c r="V713" s="34"/>
      <c r="W713" s="40"/>
      <c r="X713" s="34"/>
      <c r="Y713" s="34"/>
      <c r="Z713" s="40"/>
      <c r="AA713" s="40"/>
      <c r="AB713" s="34"/>
      <c r="AC713" s="34"/>
      <c r="AD713" s="40"/>
      <c r="AE713" s="40"/>
      <c r="AF713" s="40"/>
      <c r="AG713" s="40"/>
      <c r="AH713" s="34"/>
      <c r="AI713" s="34"/>
      <c r="AJ713" s="34"/>
      <c r="AK713" s="40"/>
      <c r="AL713" s="34"/>
      <c r="AM713" s="40"/>
      <c r="AN713" s="40"/>
      <c r="AO713" s="40"/>
      <c r="AP713" s="40"/>
      <c r="AQ713" s="40"/>
      <c r="AR713" s="40"/>
      <c r="AS713" s="40"/>
      <c r="AT713" s="40"/>
      <c r="AU713" s="40"/>
    </row>
    <row r="714" spans="1:47" ht="15.75" customHeight="1" x14ac:dyDescent="0.25">
      <c r="A714" s="34"/>
      <c r="B714" s="35"/>
      <c r="C714" s="36"/>
      <c r="D714" s="37"/>
      <c r="E714" s="38"/>
      <c r="F714" s="39"/>
      <c r="G714" s="17"/>
      <c r="H714" s="39"/>
      <c r="I714" s="34"/>
      <c r="J714" s="40"/>
      <c r="K714" s="34"/>
      <c r="L714" s="34"/>
      <c r="M714" s="40"/>
      <c r="N714" s="34"/>
      <c r="O714" s="40"/>
      <c r="P714" s="34"/>
      <c r="Q714" s="34"/>
      <c r="R714" s="40"/>
      <c r="S714" s="40"/>
      <c r="T714" s="34"/>
      <c r="U714" s="40"/>
      <c r="V714" s="34"/>
      <c r="W714" s="40"/>
      <c r="X714" s="34"/>
      <c r="Y714" s="34"/>
      <c r="Z714" s="40"/>
      <c r="AA714" s="40"/>
      <c r="AB714" s="34"/>
      <c r="AC714" s="34"/>
      <c r="AD714" s="40"/>
      <c r="AE714" s="40"/>
      <c r="AF714" s="40"/>
      <c r="AG714" s="40"/>
      <c r="AH714" s="34"/>
      <c r="AI714" s="34"/>
      <c r="AJ714" s="34"/>
      <c r="AK714" s="40"/>
      <c r="AL714" s="34"/>
      <c r="AM714" s="40"/>
      <c r="AN714" s="40"/>
      <c r="AO714" s="40"/>
      <c r="AP714" s="40"/>
      <c r="AQ714" s="40"/>
      <c r="AR714" s="40"/>
      <c r="AS714" s="40"/>
      <c r="AT714" s="40"/>
      <c r="AU714" s="40"/>
    </row>
    <row r="715" spans="1:47" ht="15.75" customHeight="1" x14ac:dyDescent="0.25">
      <c r="A715" s="34"/>
      <c r="B715" s="35"/>
      <c r="C715" s="36"/>
      <c r="D715" s="37"/>
      <c r="E715" s="38"/>
      <c r="F715" s="39"/>
      <c r="G715" s="17"/>
      <c r="H715" s="39"/>
      <c r="I715" s="34"/>
      <c r="J715" s="40"/>
      <c r="K715" s="34"/>
      <c r="L715" s="34"/>
      <c r="M715" s="40"/>
      <c r="N715" s="34"/>
      <c r="O715" s="40"/>
      <c r="P715" s="34"/>
      <c r="Q715" s="34"/>
      <c r="R715" s="40"/>
      <c r="S715" s="40"/>
      <c r="T715" s="34"/>
      <c r="U715" s="40"/>
      <c r="V715" s="34"/>
      <c r="W715" s="40"/>
      <c r="X715" s="34"/>
      <c r="Y715" s="34"/>
      <c r="Z715" s="40"/>
      <c r="AA715" s="40"/>
      <c r="AB715" s="34"/>
      <c r="AC715" s="34"/>
      <c r="AD715" s="40"/>
      <c r="AE715" s="40"/>
      <c r="AF715" s="40"/>
      <c r="AG715" s="40"/>
      <c r="AH715" s="34"/>
      <c r="AI715" s="34"/>
      <c r="AJ715" s="34"/>
      <c r="AK715" s="40"/>
      <c r="AL715" s="34"/>
      <c r="AM715" s="40"/>
      <c r="AN715" s="40"/>
      <c r="AO715" s="40"/>
      <c r="AP715" s="40"/>
      <c r="AQ715" s="40"/>
      <c r="AR715" s="40"/>
      <c r="AS715" s="40"/>
      <c r="AT715" s="40"/>
      <c r="AU715" s="40"/>
    </row>
    <row r="716" spans="1:47" ht="15.75" customHeight="1" x14ac:dyDescent="0.25">
      <c r="A716" s="34"/>
      <c r="B716" s="35"/>
      <c r="C716" s="36"/>
      <c r="D716" s="37"/>
      <c r="E716" s="38"/>
      <c r="F716" s="39"/>
      <c r="G716" s="17"/>
      <c r="H716" s="39"/>
      <c r="I716" s="34"/>
      <c r="J716" s="40"/>
      <c r="K716" s="34"/>
      <c r="L716" s="34"/>
      <c r="M716" s="40"/>
      <c r="N716" s="34"/>
      <c r="O716" s="40"/>
      <c r="P716" s="34"/>
      <c r="Q716" s="34"/>
      <c r="R716" s="40"/>
      <c r="S716" s="40"/>
      <c r="T716" s="34"/>
      <c r="U716" s="40"/>
      <c r="V716" s="34"/>
      <c r="W716" s="40"/>
      <c r="X716" s="34"/>
      <c r="Y716" s="34"/>
      <c r="Z716" s="40"/>
      <c r="AA716" s="40"/>
      <c r="AB716" s="34"/>
      <c r="AC716" s="34"/>
      <c r="AD716" s="40"/>
      <c r="AE716" s="40"/>
      <c r="AF716" s="40"/>
      <c r="AG716" s="40"/>
      <c r="AH716" s="34"/>
      <c r="AI716" s="34"/>
      <c r="AJ716" s="34"/>
      <c r="AK716" s="40"/>
      <c r="AL716" s="34"/>
      <c r="AM716" s="40"/>
      <c r="AN716" s="40"/>
      <c r="AO716" s="40"/>
      <c r="AP716" s="40"/>
      <c r="AQ716" s="40"/>
      <c r="AR716" s="40"/>
      <c r="AS716" s="40"/>
      <c r="AT716" s="40"/>
      <c r="AU716" s="40"/>
    </row>
    <row r="717" spans="1:47" ht="15.75" customHeight="1" x14ac:dyDescent="0.25">
      <c r="A717" s="34"/>
      <c r="B717" s="35"/>
      <c r="C717" s="36"/>
      <c r="D717" s="37"/>
      <c r="E717" s="38"/>
      <c r="F717" s="39"/>
      <c r="G717" s="17"/>
      <c r="H717" s="39"/>
      <c r="I717" s="34"/>
      <c r="J717" s="40"/>
      <c r="K717" s="34"/>
      <c r="L717" s="34"/>
      <c r="M717" s="40"/>
      <c r="N717" s="34"/>
      <c r="O717" s="40"/>
      <c r="P717" s="34"/>
      <c r="Q717" s="34"/>
      <c r="R717" s="40"/>
      <c r="S717" s="40"/>
      <c r="T717" s="34"/>
      <c r="U717" s="40"/>
      <c r="V717" s="34"/>
      <c r="W717" s="40"/>
      <c r="X717" s="34"/>
      <c r="Y717" s="34"/>
      <c r="Z717" s="40"/>
      <c r="AA717" s="40"/>
      <c r="AB717" s="34"/>
      <c r="AC717" s="34"/>
      <c r="AD717" s="40"/>
      <c r="AE717" s="40"/>
      <c r="AF717" s="40"/>
      <c r="AG717" s="40"/>
      <c r="AH717" s="34"/>
      <c r="AI717" s="34"/>
      <c r="AJ717" s="34"/>
      <c r="AK717" s="40"/>
      <c r="AL717" s="34"/>
      <c r="AM717" s="40"/>
      <c r="AN717" s="40"/>
      <c r="AO717" s="40"/>
      <c r="AP717" s="40"/>
      <c r="AQ717" s="40"/>
      <c r="AR717" s="40"/>
      <c r="AS717" s="40"/>
      <c r="AT717" s="40"/>
      <c r="AU717" s="40"/>
    </row>
    <row r="718" spans="1:47" ht="15.75" customHeight="1" x14ac:dyDescent="0.25">
      <c r="A718" s="34"/>
      <c r="B718" s="35"/>
      <c r="C718" s="36"/>
      <c r="D718" s="37"/>
      <c r="E718" s="38"/>
      <c r="F718" s="39"/>
      <c r="G718" s="17"/>
      <c r="H718" s="39"/>
      <c r="I718" s="34"/>
      <c r="J718" s="40"/>
      <c r="K718" s="34"/>
      <c r="L718" s="34"/>
      <c r="M718" s="40"/>
      <c r="N718" s="34"/>
      <c r="O718" s="40"/>
      <c r="P718" s="34"/>
      <c r="Q718" s="34"/>
      <c r="R718" s="40"/>
      <c r="S718" s="40"/>
      <c r="T718" s="34"/>
      <c r="U718" s="40"/>
      <c r="V718" s="34"/>
      <c r="W718" s="40"/>
      <c r="X718" s="34"/>
      <c r="Y718" s="34"/>
      <c r="Z718" s="40"/>
      <c r="AA718" s="40"/>
      <c r="AB718" s="34"/>
      <c r="AC718" s="34"/>
      <c r="AD718" s="40"/>
      <c r="AE718" s="40"/>
      <c r="AF718" s="40"/>
      <c r="AG718" s="40"/>
      <c r="AH718" s="34"/>
      <c r="AI718" s="34"/>
      <c r="AJ718" s="34"/>
      <c r="AK718" s="40"/>
      <c r="AL718" s="34"/>
      <c r="AM718" s="40"/>
      <c r="AN718" s="40"/>
      <c r="AO718" s="40"/>
      <c r="AP718" s="40"/>
      <c r="AQ718" s="40"/>
      <c r="AR718" s="40"/>
      <c r="AS718" s="40"/>
      <c r="AT718" s="40"/>
      <c r="AU718" s="40"/>
    </row>
    <row r="719" spans="1:47" ht="15.75" customHeight="1" x14ac:dyDescent="0.25">
      <c r="A719" s="34"/>
      <c r="B719" s="35"/>
      <c r="C719" s="36"/>
      <c r="D719" s="37"/>
      <c r="E719" s="38"/>
      <c r="F719" s="39"/>
      <c r="G719" s="17"/>
      <c r="H719" s="39"/>
      <c r="I719" s="34"/>
      <c r="J719" s="40"/>
      <c r="K719" s="34"/>
      <c r="L719" s="34"/>
      <c r="M719" s="40"/>
      <c r="N719" s="34"/>
      <c r="O719" s="40"/>
      <c r="P719" s="34"/>
      <c r="Q719" s="34"/>
      <c r="R719" s="40"/>
      <c r="S719" s="40"/>
      <c r="T719" s="34"/>
      <c r="U719" s="40"/>
      <c r="V719" s="34"/>
      <c r="W719" s="40"/>
      <c r="X719" s="34"/>
      <c r="Y719" s="34"/>
      <c r="Z719" s="40"/>
      <c r="AA719" s="40"/>
      <c r="AB719" s="34"/>
      <c r="AC719" s="34"/>
      <c r="AD719" s="40"/>
      <c r="AE719" s="40"/>
      <c r="AF719" s="40"/>
      <c r="AG719" s="40"/>
      <c r="AH719" s="34"/>
      <c r="AI719" s="34"/>
      <c r="AJ719" s="34"/>
      <c r="AK719" s="40"/>
      <c r="AL719" s="34"/>
      <c r="AM719" s="40"/>
      <c r="AN719" s="40"/>
      <c r="AO719" s="40"/>
      <c r="AP719" s="40"/>
      <c r="AQ719" s="40"/>
      <c r="AR719" s="40"/>
      <c r="AS719" s="40"/>
      <c r="AT719" s="40"/>
      <c r="AU719" s="40"/>
    </row>
    <row r="720" spans="1:47" ht="15.75" customHeight="1" x14ac:dyDescent="0.25">
      <c r="A720" s="34"/>
      <c r="B720" s="35"/>
      <c r="C720" s="36"/>
      <c r="D720" s="37"/>
      <c r="E720" s="38"/>
      <c r="F720" s="39"/>
      <c r="G720" s="17"/>
      <c r="H720" s="39"/>
      <c r="I720" s="34"/>
      <c r="J720" s="40"/>
      <c r="K720" s="34"/>
      <c r="L720" s="34"/>
      <c r="M720" s="40"/>
      <c r="N720" s="34"/>
      <c r="O720" s="40"/>
      <c r="P720" s="34"/>
      <c r="Q720" s="34"/>
      <c r="R720" s="40"/>
      <c r="S720" s="40"/>
      <c r="T720" s="34"/>
      <c r="U720" s="40"/>
      <c r="V720" s="34"/>
      <c r="W720" s="40"/>
      <c r="X720" s="34"/>
      <c r="Y720" s="34"/>
      <c r="Z720" s="40"/>
      <c r="AA720" s="40"/>
      <c r="AB720" s="34"/>
      <c r="AC720" s="34"/>
      <c r="AD720" s="40"/>
      <c r="AE720" s="40"/>
      <c r="AF720" s="40"/>
      <c r="AG720" s="40"/>
      <c r="AH720" s="34"/>
      <c r="AI720" s="34"/>
      <c r="AJ720" s="34"/>
      <c r="AK720" s="40"/>
      <c r="AL720" s="34"/>
      <c r="AM720" s="40"/>
      <c r="AN720" s="40"/>
      <c r="AO720" s="40"/>
      <c r="AP720" s="40"/>
      <c r="AQ720" s="40"/>
      <c r="AR720" s="40"/>
      <c r="AS720" s="40"/>
      <c r="AT720" s="40"/>
      <c r="AU720" s="40"/>
    </row>
    <row r="721" spans="1:47" ht="15.75" customHeight="1" x14ac:dyDescent="0.25">
      <c r="A721" s="34"/>
      <c r="B721" s="35"/>
      <c r="C721" s="36"/>
      <c r="D721" s="37"/>
      <c r="E721" s="38"/>
      <c r="F721" s="39"/>
      <c r="G721" s="17"/>
      <c r="H721" s="39"/>
      <c r="I721" s="34"/>
      <c r="J721" s="40"/>
      <c r="K721" s="34"/>
      <c r="L721" s="34"/>
      <c r="M721" s="40"/>
      <c r="N721" s="34"/>
      <c r="O721" s="40"/>
      <c r="P721" s="34"/>
      <c r="Q721" s="34"/>
      <c r="R721" s="40"/>
      <c r="S721" s="40"/>
      <c r="T721" s="34"/>
      <c r="U721" s="40"/>
      <c r="V721" s="34"/>
      <c r="W721" s="40"/>
      <c r="X721" s="34"/>
      <c r="Y721" s="34"/>
      <c r="Z721" s="40"/>
      <c r="AA721" s="40"/>
      <c r="AB721" s="34"/>
      <c r="AC721" s="34"/>
      <c r="AD721" s="40"/>
      <c r="AE721" s="40"/>
      <c r="AF721" s="40"/>
      <c r="AG721" s="40"/>
      <c r="AH721" s="34"/>
      <c r="AI721" s="34"/>
      <c r="AJ721" s="34"/>
      <c r="AK721" s="40"/>
      <c r="AL721" s="34"/>
      <c r="AM721" s="40"/>
      <c r="AN721" s="40"/>
      <c r="AO721" s="40"/>
      <c r="AP721" s="40"/>
      <c r="AQ721" s="40"/>
      <c r="AR721" s="40"/>
      <c r="AS721" s="40"/>
      <c r="AT721" s="40"/>
      <c r="AU721" s="40"/>
    </row>
    <row r="722" spans="1:47" ht="15.75" customHeight="1" x14ac:dyDescent="0.25">
      <c r="A722" s="34"/>
      <c r="B722" s="35"/>
      <c r="C722" s="36"/>
      <c r="D722" s="37"/>
      <c r="E722" s="38"/>
      <c r="F722" s="39"/>
      <c r="G722" s="17"/>
      <c r="H722" s="39"/>
      <c r="I722" s="34"/>
      <c r="J722" s="40"/>
      <c r="K722" s="34"/>
      <c r="L722" s="34"/>
      <c r="M722" s="40"/>
      <c r="N722" s="34"/>
      <c r="O722" s="40"/>
      <c r="P722" s="34"/>
      <c r="Q722" s="34"/>
      <c r="R722" s="40"/>
      <c r="S722" s="40"/>
      <c r="T722" s="34"/>
      <c r="U722" s="40"/>
      <c r="V722" s="34"/>
      <c r="W722" s="40"/>
      <c r="X722" s="34"/>
      <c r="Y722" s="34"/>
      <c r="Z722" s="40"/>
      <c r="AA722" s="40"/>
      <c r="AB722" s="34"/>
      <c r="AC722" s="34"/>
      <c r="AD722" s="40"/>
      <c r="AE722" s="40"/>
      <c r="AF722" s="40"/>
      <c r="AG722" s="40"/>
      <c r="AH722" s="34"/>
      <c r="AI722" s="34"/>
      <c r="AJ722" s="34"/>
      <c r="AK722" s="40"/>
      <c r="AL722" s="34"/>
      <c r="AM722" s="40"/>
      <c r="AN722" s="40"/>
      <c r="AO722" s="40"/>
      <c r="AP722" s="40"/>
      <c r="AQ722" s="40"/>
      <c r="AR722" s="40"/>
      <c r="AS722" s="40"/>
      <c r="AT722" s="40"/>
      <c r="AU722" s="40"/>
    </row>
    <row r="723" spans="1:47" ht="15.75" customHeight="1" x14ac:dyDescent="0.25">
      <c r="A723" s="34"/>
      <c r="B723" s="35"/>
      <c r="C723" s="36"/>
      <c r="D723" s="37"/>
      <c r="E723" s="38"/>
      <c r="F723" s="39"/>
      <c r="G723" s="17"/>
      <c r="H723" s="39"/>
      <c r="I723" s="34"/>
      <c r="J723" s="40"/>
      <c r="K723" s="34"/>
      <c r="L723" s="34"/>
      <c r="M723" s="40"/>
      <c r="N723" s="34"/>
      <c r="O723" s="40"/>
      <c r="P723" s="34"/>
      <c r="Q723" s="34"/>
      <c r="R723" s="40"/>
      <c r="S723" s="40"/>
      <c r="T723" s="34"/>
      <c r="U723" s="40"/>
      <c r="V723" s="34"/>
      <c r="W723" s="40"/>
      <c r="X723" s="34"/>
      <c r="Y723" s="34"/>
      <c r="Z723" s="40"/>
      <c r="AA723" s="40"/>
      <c r="AB723" s="34"/>
      <c r="AC723" s="34"/>
      <c r="AD723" s="40"/>
      <c r="AE723" s="40"/>
      <c r="AF723" s="40"/>
      <c r="AG723" s="40"/>
      <c r="AH723" s="34"/>
      <c r="AI723" s="34"/>
      <c r="AJ723" s="34"/>
      <c r="AK723" s="40"/>
      <c r="AL723" s="34"/>
      <c r="AM723" s="40"/>
      <c r="AN723" s="40"/>
      <c r="AO723" s="40"/>
      <c r="AP723" s="40"/>
      <c r="AQ723" s="40"/>
      <c r="AR723" s="40"/>
      <c r="AS723" s="40"/>
      <c r="AT723" s="40"/>
      <c r="AU723" s="40"/>
    </row>
    <row r="724" spans="1:47" ht="15.75" customHeight="1" x14ac:dyDescent="0.25">
      <c r="A724" s="34"/>
      <c r="B724" s="35"/>
      <c r="C724" s="36"/>
      <c r="D724" s="37"/>
      <c r="E724" s="38"/>
      <c r="F724" s="39"/>
      <c r="G724" s="17"/>
      <c r="H724" s="39"/>
      <c r="I724" s="34"/>
      <c r="J724" s="40"/>
      <c r="K724" s="34"/>
      <c r="L724" s="34"/>
      <c r="M724" s="40"/>
      <c r="N724" s="34"/>
      <c r="O724" s="40"/>
      <c r="P724" s="34"/>
      <c r="Q724" s="34"/>
      <c r="R724" s="40"/>
      <c r="S724" s="40"/>
      <c r="T724" s="34"/>
      <c r="U724" s="40"/>
      <c r="V724" s="34"/>
      <c r="W724" s="40"/>
      <c r="X724" s="34"/>
      <c r="Y724" s="34"/>
      <c r="Z724" s="40"/>
      <c r="AA724" s="40"/>
      <c r="AB724" s="34"/>
      <c r="AC724" s="34"/>
      <c r="AD724" s="40"/>
      <c r="AE724" s="40"/>
      <c r="AF724" s="40"/>
      <c r="AG724" s="40"/>
      <c r="AH724" s="34"/>
      <c r="AI724" s="34"/>
      <c r="AJ724" s="34"/>
      <c r="AK724" s="40"/>
      <c r="AL724" s="34"/>
      <c r="AM724" s="40"/>
      <c r="AN724" s="40"/>
      <c r="AO724" s="40"/>
      <c r="AP724" s="40"/>
      <c r="AQ724" s="40"/>
      <c r="AR724" s="40"/>
      <c r="AS724" s="40"/>
      <c r="AT724" s="40"/>
      <c r="AU724" s="40"/>
    </row>
    <row r="725" spans="1:47" ht="15.75" customHeight="1" x14ac:dyDescent="0.25">
      <c r="A725" s="34"/>
      <c r="B725" s="35"/>
      <c r="C725" s="36"/>
      <c r="D725" s="37"/>
      <c r="E725" s="38"/>
      <c r="F725" s="39"/>
      <c r="G725" s="17"/>
      <c r="H725" s="39"/>
      <c r="I725" s="34"/>
      <c r="J725" s="40"/>
      <c r="K725" s="34"/>
      <c r="L725" s="34"/>
      <c r="M725" s="40"/>
      <c r="N725" s="34"/>
      <c r="O725" s="40"/>
      <c r="P725" s="34"/>
      <c r="Q725" s="34"/>
      <c r="R725" s="40"/>
      <c r="S725" s="40"/>
      <c r="T725" s="34"/>
      <c r="U725" s="40"/>
      <c r="V725" s="34"/>
      <c r="W725" s="40"/>
      <c r="X725" s="34"/>
      <c r="Y725" s="34"/>
      <c r="Z725" s="40"/>
      <c r="AA725" s="40"/>
      <c r="AB725" s="34"/>
      <c r="AC725" s="34"/>
      <c r="AD725" s="40"/>
      <c r="AE725" s="40"/>
      <c r="AF725" s="40"/>
      <c r="AG725" s="40"/>
      <c r="AH725" s="34"/>
      <c r="AI725" s="34"/>
      <c r="AJ725" s="34"/>
      <c r="AK725" s="40"/>
      <c r="AL725" s="34"/>
      <c r="AM725" s="40"/>
      <c r="AN725" s="40"/>
      <c r="AO725" s="40"/>
      <c r="AP725" s="40"/>
      <c r="AQ725" s="40"/>
      <c r="AR725" s="40"/>
      <c r="AS725" s="40"/>
      <c r="AT725" s="40"/>
      <c r="AU725" s="40"/>
    </row>
  </sheetData>
  <autoFilter ref="A7:AU96" xr:uid="{A057B8BC-4E62-4258-B5DF-C914CBF09966}">
    <sortState xmlns:xlrd2="http://schemas.microsoft.com/office/spreadsheetml/2017/richdata2" ref="A8:AU96">
      <sortCondition ref="A7:A96"/>
    </sortState>
  </autoFilter>
  <mergeCells count="37">
    <mergeCell ref="X4:X5"/>
    <mergeCell ref="Y4:AA4"/>
    <mergeCell ref="AB4:AB5"/>
    <mergeCell ref="AC4:AD4"/>
    <mergeCell ref="AE4:AE5"/>
    <mergeCell ref="R4:U4"/>
    <mergeCell ref="V4:V5"/>
    <mergeCell ref="AI3:AJ3"/>
    <mergeCell ref="AK3:AK5"/>
    <mergeCell ref="J4:J5"/>
    <mergeCell ref="K4:K5"/>
    <mergeCell ref="L4:L5"/>
    <mergeCell ref="M4:M5"/>
    <mergeCell ref="N4:N5"/>
    <mergeCell ref="O4:O5"/>
    <mergeCell ref="AC3:AH3"/>
    <mergeCell ref="AF4:AF5"/>
    <mergeCell ref="AG4:AG5"/>
    <mergeCell ref="AH4:AH5"/>
    <mergeCell ref="AI4:AJ4"/>
    <mergeCell ref="W4:W5"/>
    <mergeCell ref="A1:AK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L3"/>
    <mergeCell ref="M3:Q3"/>
    <mergeCell ref="R3:X3"/>
    <mergeCell ref="Y3:AB3"/>
    <mergeCell ref="P4:P5"/>
    <mergeCell ref="Q4:Q5"/>
  </mergeCells>
  <conditionalFormatting sqref="D60 D91:D94">
    <cfRule type="duplicateValues" dxfId="19" priority="3"/>
  </conditionalFormatting>
  <conditionalFormatting sqref="D9:E59 D61:E90 E60 D95:E96 E91:E94">
    <cfRule type="duplicateValues" dxfId="18" priority="4"/>
  </conditionalFormatting>
  <conditionalFormatting sqref="F1:F1048576">
    <cfRule type="duplicateValues" dxfId="17" priority="1"/>
  </conditionalFormatting>
  <pageMargins left="0" right="0" top="0" bottom="0" header="0" footer="0"/>
  <pageSetup paperSize="8" scale="6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4AAE-39CE-4B9E-B1CB-2E17CF765E7B}">
  <dimension ref="A1:AZ442"/>
  <sheetViews>
    <sheetView tabSelected="1" topLeftCell="C1" workbookViewId="0">
      <pane ySplit="7" topLeftCell="A8" activePane="bottomLeft" state="frozen"/>
      <selection pane="bottomLeft" activeCell="X14" sqref="X14"/>
    </sheetView>
  </sheetViews>
  <sheetFormatPr defaultColWidth="14.42578125" defaultRowHeight="16.5" x14ac:dyDescent="0.25"/>
  <cols>
    <col min="1" max="1" width="9.28515625" style="108" customWidth="1"/>
    <col min="2" max="2" width="40.5703125" style="105" customWidth="1"/>
    <col min="3" max="3" width="15.42578125" style="105" customWidth="1"/>
    <col min="4" max="4" width="26.140625" style="90" customWidth="1"/>
    <col min="5" max="5" width="19.42578125" style="90" customWidth="1"/>
    <col min="6" max="6" width="25.28515625" style="105" customWidth="1"/>
    <col min="7" max="7" width="23.5703125" style="90" customWidth="1"/>
    <col min="8" max="8" width="30.28515625" style="90" customWidth="1"/>
    <col min="9" max="9" width="33.140625" style="105" customWidth="1"/>
    <col min="10" max="10" width="36.28515625" style="105" customWidth="1"/>
    <col min="11" max="11" width="21.85546875" style="105" customWidth="1"/>
    <col min="12" max="12" width="13.42578125" style="105" customWidth="1"/>
    <col min="13" max="13" width="28.42578125" style="105" customWidth="1"/>
    <col min="14" max="14" width="11" style="90" customWidth="1"/>
    <col min="15" max="16" width="7.85546875" style="90" customWidth="1"/>
    <col min="17" max="17" width="9.85546875" style="90" customWidth="1"/>
    <col min="18" max="18" width="7" style="90" customWidth="1"/>
    <col min="19" max="19" width="8.140625" style="90" customWidth="1"/>
    <col min="20" max="20" width="9" style="90" customWidth="1"/>
    <col min="21" max="22" width="10.140625" style="90" customWidth="1"/>
    <col min="23" max="24" width="12.7109375" style="90" customWidth="1"/>
    <col min="25" max="27" width="7.42578125" style="90" customWidth="1"/>
    <col min="28" max="28" width="9.140625" style="90" customWidth="1"/>
    <col min="29" max="29" width="7.42578125" style="105" customWidth="1"/>
    <col min="30" max="30" width="8.7109375" style="90" customWidth="1"/>
    <col min="31" max="31" width="6.5703125" style="90" customWidth="1"/>
    <col min="32" max="32" width="6.7109375" style="90" customWidth="1"/>
    <col min="33" max="33" width="7.7109375" style="90" customWidth="1"/>
    <col min="34" max="36" width="6.85546875" style="90" customWidth="1"/>
    <col min="37" max="37" width="9.7109375" style="90" customWidth="1"/>
    <col min="38" max="38" width="11.140625" style="90" customWidth="1"/>
    <col min="39" max="39" width="7.42578125" style="90" customWidth="1"/>
    <col min="40" max="41" width="8.140625" style="90" customWidth="1"/>
    <col min="42" max="42" width="57.140625" style="90" customWidth="1"/>
    <col min="43" max="43" width="38.42578125" style="90" customWidth="1"/>
    <col min="44" max="52" width="28" style="90" customWidth="1"/>
    <col min="53" max="16384" width="14.42578125" style="90"/>
  </cols>
  <sheetData>
    <row r="1" spans="1:52" ht="53.25" customHeight="1" x14ac:dyDescent="0.25">
      <c r="A1" s="143" t="s">
        <v>1648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89"/>
      <c r="AR1" s="89"/>
      <c r="AS1" s="89"/>
      <c r="AT1" s="89"/>
      <c r="AU1" s="89"/>
      <c r="AV1" s="89"/>
      <c r="AW1" s="89"/>
      <c r="AX1" s="89"/>
      <c r="AY1" s="89"/>
      <c r="AZ1" s="89"/>
    </row>
    <row r="2" spans="1:52" ht="31.5" hidden="1" customHeight="1" x14ac:dyDescent="0.25">
      <c r="A2" s="144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</row>
    <row r="3" spans="1:52" s="110" customFormat="1" ht="44.25" customHeight="1" x14ac:dyDescent="0.25">
      <c r="A3" s="133" t="s">
        <v>1</v>
      </c>
      <c r="B3" s="233" t="s">
        <v>2</v>
      </c>
      <c r="C3" s="233" t="s">
        <v>3</v>
      </c>
      <c r="D3" s="133" t="s">
        <v>2826</v>
      </c>
      <c r="E3" s="133" t="s">
        <v>2825</v>
      </c>
      <c r="F3" s="244"/>
      <c r="G3" s="133" t="s">
        <v>1652</v>
      </c>
      <c r="H3" s="133" t="s">
        <v>1649</v>
      </c>
      <c r="I3" s="244"/>
      <c r="J3" s="244"/>
      <c r="K3" s="233" t="s">
        <v>5</v>
      </c>
      <c r="L3" s="233" t="s">
        <v>6</v>
      </c>
      <c r="M3" s="233" t="s">
        <v>7</v>
      </c>
      <c r="N3" s="133" t="s">
        <v>8</v>
      </c>
      <c r="O3" s="139" t="s">
        <v>9</v>
      </c>
      <c r="P3" s="141"/>
      <c r="Q3" s="140"/>
      <c r="R3" s="139" t="s">
        <v>10</v>
      </c>
      <c r="S3" s="141"/>
      <c r="T3" s="141"/>
      <c r="U3" s="141"/>
      <c r="V3" s="140"/>
      <c r="W3" s="258" t="s">
        <v>11</v>
      </c>
      <c r="X3" s="259"/>
      <c r="Y3" s="259"/>
      <c r="Z3" s="259"/>
      <c r="AA3" s="259"/>
      <c r="AB3" s="259"/>
      <c r="AC3" s="260"/>
      <c r="AD3" s="139"/>
      <c r="AE3" s="141"/>
      <c r="AF3" s="141"/>
      <c r="AG3" s="140"/>
      <c r="AH3" s="139" t="s">
        <v>12</v>
      </c>
      <c r="AI3" s="141"/>
      <c r="AJ3" s="141"/>
      <c r="AK3" s="141"/>
      <c r="AL3" s="141"/>
      <c r="AM3" s="140"/>
      <c r="AN3" s="139" t="s">
        <v>13</v>
      </c>
      <c r="AO3" s="140"/>
      <c r="AP3" s="133" t="s">
        <v>16</v>
      </c>
      <c r="AQ3" s="109"/>
      <c r="AR3" s="109"/>
      <c r="AS3" s="109"/>
      <c r="AT3" s="109"/>
      <c r="AU3" s="109"/>
      <c r="AV3" s="109"/>
      <c r="AW3" s="109"/>
      <c r="AX3" s="109"/>
      <c r="AY3" s="109"/>
      <c r="AZ3" s="109"/>
    </row>
    <row r="4" spans="1:52" s="110" customFormat="1" ht="9.75" customHeight="1" x14ac:dyDescent="0.25">
      <c r="A4" s="142"/>
      <c r="B4" s="234"/>
      <c r="C4" s="234"/>
      <c r="D4" s="134"/>
      <c r="E4" s="134"/>
      <c r="F4" s="245"/>
      <c r="G4" s="134"/>
      <c r="H4" s="134"/>
      <c r="I4" s="245"/>
      <c r="J4" s="245"/>
      <c r="K4" s="234"/>
      <c r="L4" s="234"/>
      <c r="M4" s="234"/>
      <c r="N4" s="142"/>
      <c r="O4" s="133" t="s">
        <v>17</v>
      </c>
      <c r="P4" s="133" t="s">
        <v>18</v>
      </c>
      <c r="Q4" s="137" t="s">
        <v>19</v>
      </c>
      <c r="R4" s="133" t="s">
        <v>874</v>
      </c>
      <c r="S4" s="133" t="s">
        <v>21</v>
      </c>
      <c r="T4" s="133" t="s">
        <v>22</v>
      </c>
      <c r="U4" s="133" t="s">
        <v>1647</v>
      </c>
      <c r="V4" s="133" t="s">
        <v>24</v>
      </c>
      <c r="W4" s="139" t="s">
        <v>25</v>
      </c>
      <c r="X4" s="141"/>
      <c r="Y4" s="141"/>
      <c r="Z4" s="140"/>
      <c r="AA4" s="133" t="s">
        <v>26</v>
      </c>
      <c r="AB4" s="133" t="s">
        <v>27</v>
      </c>
      <c r="AC4" s="256" t="s">
        <v>19</v>
      </c>
      <c r="AD4" s="139" t="s">
        <v>28</v>
      </c>
      <c r="AE4" s="141"/>
      <c r="AF4" s="140"/>
      <c r="AG4" s="137" t="s">
        <v>19</v>
      </c>
      <c r="AH4" s="139" t="s">
        <v>29</v>
      </c>
      <c r="AI4" s="140"/>
      <c r="AJ4" s="133" t="s">
        <v>30</v>
      </c>
      <c r="AK4" s="133" t="s">
        <v>31</v>
      </c>
      <c r="AL4" s="133" t="s">
        <v>32</v>
      </c>
      <c r="AM4" s="137" t="s">
        <v>19</v>
      </c>
      <c r="AN4" s="139" t="s">
        <v>33</v>
      </c>
      <c r="AO4" s="140"/>
      <c r="AP4" s="142"/>
      <c r="AQ4" s="109"/>
      <c r="AR4" s="109"/>
      <c r="AS4" s="109"/>
      <c r="AT4" s="109"/>
      <c r="AU4" s="109"/>
      <c r="AV4" s="109"/>
      <c r="AW4" s="109"/>
      <c r="AX4" s="109"/>
      <c r="AY4" s="109"/>
      <c r="AZ4" s="109"/>
    </row>
    <row r="5" spans="1:52" ht="88.5" hidden="1" customHeight="1" x14ac:dyDescent="0.25">
      <c r="A5" s="145"/>
      <c r="B5" s="235"/>
      <c r="C5" s="235"/>
      <c r="D5" s="135"/>
      <c r="E5" s="91"/>
      <c r="F5" s="246"/>
      <c r="G5" s="135"/>
      <c r="H5" s="146"/>
      <c r="I5" s="249"/>
      <c r="J5" s="249"/>
      <c r="K5" s="235"/>
      <c r="L5" s="235"/>
      <c r="M5" s="235"/>
      <c r="N5" s="136"/>
      <c r="O5" s="136"/>
      <c r="P5" s="136"/>
      <c r="Q5" s="138"/>
      <c r="R5" s="136"/>
      <c r="S5" s="136"/>
      <c r="T5" s="136"/>
      <c r="U5" s="136"/>
      <c r="V5" s="136"/>
      <c r="W5" s="92" t="s">
        <v>34</v>
      </c>
      <c r="X5" s="92" t="s">
        <v>35</v>
      </c>
      <c r="Y5" s="92" t="s">
        <v>36</v>
      </c>
      <c r="Z5" s="92" t="s">
        <v>37</v>
      </c>
      <c r="AA5" s="136"/>
      <c r="AB5" s="136"/>
      <c r="AC5" s="257"/>
      <c r="AD5" s="92" t="s">
        <v>38</v>
      </c>
      <c r="AE5" s="93" t="s">
        <v>39</v>
      </c>
      <c r="AF5" s="92" t="s">
        <v>40</v>
      </c>
      <c r="AG5" s="138"/>
      <c r="AH5" s="92" t="s">
        <v>41</v>
      </c>
      <c r="AI5" s="92" t="s">
        <v>42</v>
      </c>
      <c r="AJ5" s="136"/>
      <c r="AK5" s="136"/>
      <c r="AL5" s="136"/>
      <c r="AM5" s="138"/>
      <c r="AN5" s="92" t="s">
        <v>43</v>
      </c>
      <c r="AO5" s="92" t="s">
        <v>44</v>
      </c>
      <c r="AP5" s="136"/>
      <c r="AQ5" s="89"/>
      <c r="AR5" s="89"/>
      <c r="AS5" s="89"/>
      <c r="AT5" s="89"/>
      <c r="AU5" s="89"/>
      <c r="AV5" s="89"/>
      <c r="AW5" s="89"/>
      <c r="AX5" s="89"/>
      <c r="AY5" s="89"/>
      <c r="AZ5" s="89"/>
    </row>
    <row r="6" spans="1:52" ht="46.5" hidden="1" customHeight="1" x14ac:dyDescent="0.25">
      <c r="A6" s="94" t="s">
        <v>45</v>
      </c>
      <c r="B6" s="236" t="s">
        <v>46</v>
      </c>
      <c r="C6" s="236" t="s">
        <v>47</v>
      </c>
      <c r="D6" s="95" t="s">
        <v>48</v>
      </c>
      <c r="E6" s="95"/>
      <c r="F6" s="236"/>
      <c r="G6" s="95"/>
      <c r="H6" s="95"/>
      <c r="I6" s="236"/>
      <c r="J6" s="236"/>
      <c r="K6" s="254" t="s">
        <v>49</v>
      </c>
      <c r="L6" s="254" t="s">
        <v>50</v>
      </c>
      <c r="M6" s="254" t="s">
        <v>51</v>
      </c>
      <c r="N6" s="96" t="s">
        <v>52</v>
      </c>
      <c r="O6" s="96" t="s">
        <v>53</v>
      </c>
      <c r="P6" s="96" t="s">
        <v>54</v>
      </c>
      <c r="Q6" s="96" t="s">
        <v>55</v>
      </c>
      <c r="R6" s="96" t="s">
        <v>56</v>
      </c>
      <c r="S6" s="96" t="s">
        <v>57</v>
      </c>
      <c r="T6" s="96" t="s">
        <v>58</v>
      </c>
      <c r="U6" s="96" t="s">
        <v>59</v>
      </c>
      <c r="V6" s="96" t="s">
        <v>60</v>
      </c>
      <c r="W6" s="96" t="s">
        <v>61</v>
      </c>
      <c r="X6" s="95" t="s">
        <v>62</v>
      </c>
      <c r="Y6" s="95" t="s">
        <v>63</v>
      </c>
      <c r="Z6" s="95" t="s">
        <v>64</v>
      </c>
      <c r="AA6" s="95" t="s">
        <v>65</v>
      </c>
      <c r="AB6" s="95" t="s">
        <v>66</v>
      </c>
      <c r="AC6" s="254" t="s">
        <v>67</v>
      </c>
      <c r="AD6" s="95" t="s">
        <v>68</v>
      </c>
      <c r="AE6" s="95" t="s">
        <v>69</v>
      </c>
      <c r="AF6" s="95" t="s">
        <v>70</v>
      </c>
      <c r="AG6" s="95" t="s">
        <v>71</v>
      </c>
      <c r="AH6" s="96" t="s">
        <v>72</v>
      </c>
      <c r="AI6" s="96" t="s">
        <v>73</v>
      </c>
      <c r="AJ6" s="96" t="s">
        <v>74</v>
      </c>
      <c r="AK6" s="96" t="s">
        <v>75</v>
      </c>
      <c r="AL6" s="95" t="s">
        <v>76</v>
      </c>
      <c r="AM6" s="95" t="s">
        <v>77</v>
      </c>
      <c r="AN6" s="95" t="s">
        <v>78</v>
      </c>
      <c r="AO6" s="95" t="s">
        <v>79</v>
      </c>
      <c r="AP6" s="95" t="s">
        <v>80</v>
      </c>
      <c r="AQ6" s="97"/>
      <c r="AR6" s="97"/>
      <c r="AS6" s="97"/>
      <c r="AT6" s="97"/>
      <c r="AU6" s="97"/>
      <c r="AV6" s="97"/>
      <c r="AW6" s="97"/>
      <c r="AX6" s="97"/>
      <c r="AY6" s="97"/>
      <c r="AZ6" s="97"/>
    </row>
    <row r="7" spans="1:52" s="108" customFormat="1" ht="17.25" customHeight="1" x14ac:dyDescent="0.25">
      <c r="A7" s="98"/>
      <c r="B7" s="237">
        <f>SUBTOTAL(3,B9:B9368)</f>
        <v>340</v>
      </c>
      <c r="C7" s="237">
        <f t="shared" ref="C7:M7" si="0">SUBTOTAL(3,C9:C9368)</f>
        <v>334</v>
      </c>
      <c r="D7" s="117">
        <f t="shared" si="0"/>
        <v>325</v>
      </c>
      <c r="E7" s="117"/>
      <c r="F7" s="237">
        <f t="shared" si="0"/>
        <v>320</v>
      </c>
      <c r="G7" s="117">
        <f t="shared" ref="G7" si="1">SUBTOTAL(3,G9:G9368)</f>
        <v>249</v>
      </c>
      <c r="H7" s="117">
        <f t="shared" si="0"/>
        <v>334</v>
      </c>
      <c r="I7" s="237"/>
      <c r="J7" s="237"/>
      <c r="K7" s="237">
        <f t="shared" si="0"/>
        <v>372</v>
      </c>
      <c r="L7" s="237">
        <f t="shared" si="0"/>
        <v>372</v>
      </c>
      <c r="M7" s="237">
        <f t="shared" si="0"/>
        <v>288</v>
      </c>
      <c r="N7" s="98"/>
      <c r="O7" s="98"/>
      <c r="P7" s="98"/>
      <c r="Q7" s="117">
        <f>SUBTOTAL(9,Q9:Q9368)</f>
        <v>244586</v>
      </c>
      <c r="R7" s="117"/>
      <c r="S7" s="117"/>
      <c r="T7" s="117"/>
      <c r="U7" s="117"/>
      <c r="V7" s="117"/>
      <c r="W7" s="117">
        <f t="shared" ref="W7:AE7" si="2">SUBTOTAL(9,W9:W9368)</f>
        <v>0</v>
      </c>
      <c r="X7" s="117">
        <f t="shared" si="2"/>
        <v>269</v>
      </c>
      <c r="Y7" s="117">
        <f t="shared" si="2"/>
        <v>659</v>
      </c>
      <c r="Z7" s="117">
        <f t="shared" si="2"/>
        <v>510</v>
      </c>
      <c r="AA7" s="117">
        <f t="shared" si="2"/>
        <v>4352</v>
      </c>
      <c r="AB7" s="117">
        <f t="shared" si="2"/>
        <v>24</v>
      </c>
      <c r="AC7" s="237">
        <f t="shared" si="2"/>
        <v>5814</v>
      </c>
      <c r="AD7" s="117">
        <f t="shared" si="2"/>
        <v>5018</v>
      </c>
      <c r="AE7" s="117">
        <f t="shared" si="2"/>
        <v>430</v>
      </c>
      <c r="AF7" s="117"/>
      <c r="AG7" s="117">
        <f t="shared" ref="AG7:AM7" si="3">SUBTOTAL(9,AG9:AG9368)</f>
        <v>5425</v>
      </c>
      <c r="AH7" s="117">
        <f t="shared" si="3"/>
        <v>1729</v>
      </c>
      <c r="AI7" s="117">
        <f t="shared" si="3"/>
        <v>3378</v>
      </c>
      <c r="AJ7" s="117">
        <f t="shared" si="3"/>
        <v>334</v>
      </c>
      <c r="AK7" s="117">
        <f t="shared" si="3"/>
        <v>11</v>
      </c>
      <c r="AL7" s="117">
        <f t="shared" si="3"/>
        <v>0</v>
      </c>
      <c r="AM7" s="117">
        <f t="shared" si="3"/>
        <v>5420</v>
      </c>
      <c r="AN7" s="98"/>
      <c r="AO7" s="98"/>
      <c r="AP7" s="98"/>
    </row>
    <row r="8" spans="1:52" ht="16.5" customHeight="1" x14ac:dyDescent="0.25">
      <c r="A8" s="99"/>
      <c r="B8" s="238"/>
      <c r="C8" s="238"/>
      <c r="D8" s="101"/>
      <c r="E8" s="101"/>
      <c r="F8" s="247"/>
      <c r="G8" s="101"/>
      <c r="H8" s="101"/>
      <c r="I8" s="247"/>
      <c r="J8" s="247"/>
      <c r="K8" s="238"/>
      <c r="L8" s="238"/>
      <c r="M8" s="247"/>
      <c r="N8" s="101"/>
      <c r="O8" s="101"/>
      <c r="P8" s="101"/>
      <c r="Q8" s="100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238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</row>
    <row r="9" spans="1:52" ht="28.5" customHeight="1" x14ac:dyDescent="0.25">
      <c r="A9" s="99">
        <v>1638</v>
      </c>
      <c r="B9" s="197" t="s">
        <v>1342</v>
      </c>
      <c r="C9" s="239">
        <v>101288000</v>
      </c>
      <c r="D9" s="99">
        <v>21001204</v>
      </c>
      <c r="E9" s="99"/>
      <c r="F9" s="197" t="str">
        <f>VLOOKUP(D9,'rà soát ĐK'!B2:C452,2,0)</f>
        <v>PB04090010364</v>
      </c>
      <c r="G9" s="99" t="s">
        <v>2334</v>
      </c>
      <c r="H9" s="99" t="s">
        <v>857</v>
      </c>
      <c r="I9" s="250">
        <v>112654794</v>
      </c>
      <c r="J9" s="250">
        <v>106644207</v>
      </c>
      <c r="K9" s="197" t="s">
        <v>737</v>
      </c>
      <c r="L9" s="197" t="s">
        <v>878</v>
      </c>
      <c r="M9" s="197" t="s">
        <v>1344</v>
      </c>
      <c r="N9" s="99" t="s">
        <v>891</v>
      </c>
      <c r="O9" s="99"/>
      <c r="P9" s="99">
        <v>2400</v>
      </c>
      <c r="Q9" s="99">
        <f>SUM(O9:P9)</f>
        <v>2400</v>
      </c>
      <c r="R9" s="99" t="s">
        <v>91</v>
      </c>
      <c r="S9" s="99" t="s">
        <v>90</v>
      </c>
      <c r="T9" s="99" t="s">
        <v>91</v>
      </c>
      <c r="U9" s="99" t="s">
        <v>881</v>
      </c>
      <c r="V9" s="99" t="s">
        <v>897</v>
      </c>
      <c r="W9" s="99"/>
      <c r="X9" s="99"/>
      <c r="Y9" s="99">
        <v>34</v>
      </c>
      <c r="Z9" s="99"/>
      <c r="AA9" s="99"/>
      <c r="AB9" s="99"/>
      <c r="AC9" s="197">
        <f t="shared" ref="AC9:AC40" si="4">SUM(W9:AB9)</f>
        <v>34</v>
      </c>
      <c r="AD9" s="99">
        <v>34</v>
      </c>
      <c r="AE9" s="99"/>
      <c r="AF9" s="99"/>
      <c r="AG9" s="99">
        <f t="shared" ref="AG9:AG40" si="5">SUM(AD9:AF9)</f>
        <v>34</v>
      </c>
      <c r="AH9" s="99"/>
      <c r="AI9" s="99">
        <v>34</v>
      </c>
      <c r="AJ9" s="99"/>
      <c r="AK9" s="99"/>
      <c r="AL9" s="99"/>
      <c r="AM9" s="99">
        <f t="shared" ref="AM9:AM72" si="6">SUM(AH9:AL9)</f>
        <v>34</v>
      </c>
      <c r="AN9" s="99" t="s">
        <v>883</v>
      </c>
      <c r="AO9" s="99">
        <v>3</v>
      </c>
      <c r="AP9" s="99"/>
    </row>
    <row r="10" spans="1:52" ht="28.5" customHeight="1" x14ac:dyDescent="0.25">
      <c r="A10" s="99">
        <v>1638</v>
      </c>
      <c r="B10" s="197" t="s">
        <v>1348</v>
      </c>
      <c r="C10" s="239">
        <v>102701000</v>
      </c>
      <c r="D10" s="99">
        <v>2321001439</v>
      </c>
      <c r="E10" s="99"/>
      <c r="F10" s="197" t="str">
        <f>VLOOKUP(D10,'rà soát ĐK'!B3:C453,2,0)</f>
        <v>PB04090007937</v>
      </c>
      <c r="G10" s="99" t="s">
        <v>2331</v>
      </c>
      <c r="H10" s="99" t="s">
        <v>2989</v>
      </c>
      <c r="I10" s="239">
        <v>112524295</v>
      </c>
      <c r="J10" s="239">
        <v>1066608964</v>
      </c>
      <c r="K10" s="197" t="s">
        <v>737</v>
      </c>
      <c r="L10" s="197" t="s">
        <v>878</v>
      </c>
      <c r="M10" s="197" t="s">
        <v>1351</v>
      </c>
      <c r="N10" s="99" t="s">
        <v>911</v>
      </c>
      <c r="O10" s="99"/>
      <c r="P10" s="99">
        <v>2680</v>
      </c>
      <c r="Q10" s="99">
        <f>SUM(P10)</f>
        <v>2680</v>
      </c>
      <c r="R10" s="99" t="s">
        <v>90</v>
      </c>
      <c r="S10" s="99" t="s">
        <v>91</v>
      </c>
      <c r="T10" s="99" t="s">
        <v>91</v>
      </c>
      <c r="U10" s="99" t="s">
        <v>881</v>
      </c>
      <c r="V10" s="99" t="s">
        <v>882</v>
      </c>
      <c r="W10" s="99"/>
      <c r="X10" s="99"/>
      <c r="Y10" s="99">
        <v>33</v>
      </c>
      <c r="Z10" s="99"/>
      <c r="AA10" s="99"/>
      <c r="AB10" s="99"/>
      <c r="AC10" s="197">
        <f t="shared" si="4"/>
        <v>33</v>
      </c>
      <c r="AD10" s="99">
        <v>33</v>
      </c>
      <c r="AE10" s="99"/>
      <c r="AF10" s="99"/>
      <c r="AG10" s="99">
        <f t="shared" si="5"/>
        <v>33</v>
      </c>
      <c r="AH10" s="99"/>
      <c r="AI10" s="99">
        <v>33</v>
      </c>
      <c r="AJ10" s="99"/>
      <c r="AK10" s="99"/>
      <c r="AL10" s="99"/>
      <c r="AM10" s="99">
        <f t="shared" si="6"/>
        <v>33</v>
      </c>
      <c r="AN10" s="99" t="s">
        <v>883</v>
      </c>
      <c r="AO10" s="99">
        <v>3</v>
      </c>
      <c r="AP10" s="99"/>
    </row>
    <row r="11" spans="1:52" ht="28.5" customHeight="1" x14ac:dyDescent="0.25">
      <c r="A11" s="99">
        <v>1638</v>
      </c>
      <c r="B11" s="197" t="s">
        <v>1361</v>
      </c>
      <c r="C11" s="239">
        <v>102118000</v>
      </c>
      <c r="D11" s="99">
        <v>2321001464</v>
      </c>
      <c r="E11" s="99"/>
      <c r="F11" s="197" t="str">
        <f>VLOOKUP(D11,'rà soát ĐK'!B4:C454,2,0)</f>
        <v>PB04090010363</v>
      </c>
      <c r="G11" s="99" t="s">
        <v>2324</v>
      </c>
      <c r="H11" s="99" t="s">
        <v>869</v>
      </c>
      <c r="I11" s="239">
        <v>112401682</v>
      </c>
      <c r="J11" s="239">
        <v>1066753898</v>
      </c>
      <c r="K11" s="197" t="s">
        <v>737</v>
      </c>
      <c r="L11" s="197" t="s">
        <v>878</v>
      </c>
      <c r="M11" s="197" t="s">
        <v>1363</v>
      </c>
      <c r="N11" s="99" t="s">
        <v>891</v>
      </c>
      <c r="O11" s="99"/>
      <c r="P11" s="99">
        <v>1300</v>
      </c>
      <c r="Q11" s="99">
        <f t="shared" ref="Q11:Q32" si="7">SUM(O11:P11)</f>
        <v>1300</v>
      </c>
      <c r="R11" s="99" t="s">
        <v>91</v>
      </c>
      <c r="S11" s="99" t="s">
        <v>90</v>
      </c>
      <c r="T11" s="99" t="s">
        <v>91</v>
      </c>
      <c r="U11" s="99" t="s">
        <v>881</v>
      </c>
      <c r="V11" s="99" t="s">
        <v>882</v>
      </c>
      <c r="W11" s="99"/>
      <c r="X11" s="99"/>
      <c r="Y11" s="99">
        <v>18</v>
      </c>
      <c r="Z11" s="99"/>
      <c r="AA11" s="99"/>
      <c r="AB11" s="99"/>
      <c r="AC11" s="197">
        <f t="shared" si="4"/>
        <v>18</v>
      </c>
      <c r="AD11" s="99">
        <v>18</v>
      </c>
      <c r="AE11" s="99"/>
      <c r="AF11" s="99"/>
      <c r="AG11" s="99">
        <f t="shared" si="5"/>
        <v>18</v>
      </c>
      <c r="AH11" s="99"/>
      <c r="AI11" s="99">
        <v>18</v>
      </c>
      <c r="AJ11" s="99"/>
      <c r="AK11" s="99"/>
      <c r="AL11" s="99"/>
      <c r="AM11" s="99">
        <f t="shared" si="6"/>
        <v>18</v>
      </c>
      <c r="AN11" s="99" t="s">
        <v>883</v>
      </c>
      <c r="AO11" s="99">
        <v>3</v>
      </c>
      <c r="AP11" s="99"/>
    </row>
    <row r="12" spans="1:52" s="112" customFormat="1" ht="28.5" customHeight="1" x14ac:dyDescent="0.25">
      <c r="A12" s="99">
        <v>1645</v>
      </c>
      <c r="B12" s="197" t="s">
        <v>1567</v>
      </c>
      <c r="C12" s="239">
        <v>103001000</v>
      </c>
      <c r="D12" s="99">
        <v>21039952</v>
      </c>
      <c r="E12" s="99"/>
      <c r="F12" s="197" t="str">
        <f>VLOOKUP(D12,'rà soát ĐK'!B5:C455,2,0)</f>
        <v>PB04090034471</v>
      </c>
      <c r="G12" s="99" t="s">
        <v>2051</v>
      </c>
      <c r="H12" s="99" t="s">
        <v>2990</v>
      </c>
      <c r="I12" s="239">
        <v>112564605</v>
      </c>
      <c r="J12" s="239">
        <v>1066638722</v>
      </c>
      <c r="K12" s="197" t="s">
        <v>1568</v>
      </c>
      <c r="L12" s="197" t="s">
        <v>878</v>
      </c>
      <c r="M12" s="197" t="s">
        <v>1570</v>
      </c>
      <c r="N12" s="99" t="s">
        <v>880</v>
      </c>
      <c r="O12" s="99"/>
      <c r="P12" s="99">
        <v>450</v>
      </c>
      <c r="Q12" s="99">
        <f t="shared" si="7"/>
        <v>450</v>
      </c>
      <c r="R12" s="99" t="s">
        <v>91</v>
      </c>
      <c r="S12" s="99" t="s">
        <v>90</v>
      </c>
      <c r="T12" s="99" t="s">
        <v>91</v>
      </c>
      <c r="U12" s="99" t="s">
        <v>881</v>
      </c>
      <c r="V12" s="99" t="s">
        <v>882</v>
      </c>
      <c r="W12" s="99"/>
      <c r="X12" s="99"/>
      <c r="Y12" s="99"/>
      <c r="Z12" s="99"/>
      <c r="AA12" s="99">
        <v>9</v>
      </c>
      <c r="AB12" s="99"/>
      <c r="AC12" s="197">
        <f t="shared" si="4"/>
        <v>9</v>
      </c>
      <c r="AD12" s="99">
        <v>9</v>
      </c>
      <c r="AE12" s="99"/>
      <c r="AF12" s="99"/>
      <c r="AG12" s="99">
        <f t="shared" si="5"/>
        <v>9</v>
      </c>
      <c r="AH12" s="99"/>
      <c r="AI12" s="99">
        <v>9</v>
      </c>
      <c r="AJ12" s="99"/>
      <c r="AK12" s="99"/>
      <c r="AL12" s="99"/>
      <c r="AM12" s="99">
        <f t="shared" si="6"/>
        <v>9</v>
      </c>
      <c r="AN12" s="99" t="s">
        <v>883</v>
      </c>
      <c r="AO12" s="99">
        <v>3</v>
      </c>
      <c r="AP12" s="99"/>
      <c r="AQ12" s="90"/>
      <c r="AR12" s="90"/>
      <c r="AS12" s="90"/>
      <c r="AT12" s="90"/>
      <c r="AU12" s="90"/>
      <c r="AV12" s="90"/>
      <c r="AW12" s="90"/>
      <c r="AX12" s="90"/>
      <c r="AY12" s="90"/>
      <c r="AZ12" s="90"/>
    </row>
    <row r="13" spans="1:52" s="112" customFormat="1" ht="28.5" customHeight="1" x14ac:dyDescent="0.25">
      <c r="A13" s="99">
        <v>1654</v>
      </c>
      <c r="B13" s="197" t="s">
        <v>1352</v>
      </c>
      <c r="C13" s="239">
        <v>101276000</v>
      </c>
      <c r="D13" s="99">
        <v>1511178832</v>
      </c>
      <c r="E13" s="99"/>
      <c r="F13" s="197" t="str">
        <f>VLOOKUP(D13,'rà soát ĐK'!B6:C456,2,0)</f>
        <v>PB04090032511</v>
      </c>
      <c r="G13" s="99" t="s">
        <v>2092</v>
      </c>
      <c r="H13" s="99" t="s">
        <v>2991</v>
      </c>
      <c r="I13" s="239">
        <v>112722213</v>
      </c>
      <c r="J13" s="239">
        <v>1066405633</v>
      </c>
      <c r="K13" s="197" t="s">
        <v>1355</v>
      </c>
      <c r="L13" s="197" t="s">
        <v>878</v>
      </c>
      <c r="M13" s="197" t="s">
        <v>1356</v>
      </c>
      <c r="N13" s="99" t="s">
        <v>891</v>
      </c>
      <c r="O13" s="99"/>
      <c r="P13" s="99">
        <v>780</v>
      </c>
      <c r="Q13" s="99">
        <f t="shared" si="7"/>
        <v>780</v>
      </c>
      <c r="R13" s="99" t="s">
        <v>90</v>
      </c>
      <c r="S13" s="99" t="s">
        <v>91</v>
      </c>
      <c r="T13" s="99" t="s">
        <v>91</v>
      </c>
      <c r="U13" s="99" t="s">
        <v>881</v>
      </c>
      <c r="V13" s="99" t="s">
        <v>897</v>
      </c>
      <c r="W13" s="99"/>
      <c r="X13" s="99"/>
      <c r="Y13" s="99"/>
      <c r="Z13" s="99"/>
      <c r="AA13" s="99">
        <v>13</v>
      </c>
      <c r="AB13" s="99"/>
      <c r="AC13" s="197">
        <f t="shared" si="4"/>
        <v>13</v>
      </c>
      <c r="AD13" s="99">
        <v>13</v>
      </c>
      <c r="AE13" s="99"/>
      <c r="AF13" s="99"/>
      <c r="AG13" s="99">
        <f t="shared" si="5"/>
        <v>13</v>
      </c>
      <c r="AH13" s="99"/>
      <c r="AI13" s="99">
        <v>13</v>
      </c>
      <c r="AJ13" s="99"/>
      <c r="AK13" s="99"/>
      <c r="AL13" s="99"/>
      <c r="AM13" s="99">
        <f t="shared" si="6"/>
        <v>13</v>
      </c>
      <c r="AN13" s="99" t="s">
        <v>883</v>
      </c>
      <c r="AO13" s="99">
        <v>3</v>
      </c>
      <c r="AP13" s="99"/>
      <c r="AQ13" s="90"/>
      <c r="AR13" s="90"/>
      <c r="AS13" s="90"/>
      <c r="AT13" s="90"/>
      <c r="AU13" s="90"/>
      <c r="AV13" s="90"/>
      <c r="AW13" s="90"/>
      <c r="AX13" s="90"/>
      <c r="AY13" s="90"/>
      <c r="AZ13" s="90"/>
    </row>
    <row r="14" spans="1:52" s="112" customFormat="1" ht="28.5" customHeight="1" x14ac:dyDescent="0.25">
      <c r="A14" s="99">
        <v>1654</v>
      </c>
      <c r="B14" s="197" t="s">
        <v>1357</v>
      </c>
      <c r="C14" s="239">
        <v>101274000</v>
      </c>
      <c r="D14" s="99">
        <v>1511187168</v>
      </c>
      <c r="E14" s="99"/>
      <c r="F14" s="197" t="str">
        <f>VLOOKUP(D14,'rà soát ĐK'!B7:C457,2,0)</f>
        <v>PB04090032512</v>
      </c>
      <c r="G14" s="99" t="s">
        <v>2099</v>
      </c>
      <c r="H14" s="99" t="s">
        <v>2992</v>
      </c>
      <c r="I14" s="239">
        <v>112793777</v>
      </c>
      <c r="J14" s="239">
        <v>1066421409</v>
      </c>
      <c r="K14" s="197" t="s">
        <v>1355</v>
      </c>
      <c r="L14" s="197" t="s">
        <v>878</v>
      </c>
      <c r="M14" s="197" t="s">
        <v>1360</v>
      </c>
      <c r="N14" s="99" t="s">
        <v>891</v>
      </c>
      <c r="O14" s="99"/>
      <c r="P14" s="99">
        <v>1080</v>
      </c>
      <c r="Q14" s="99">
        <f t="shared" si="7"/>
        <v>1080</v>
      </c>
      <c r="R14" s="99" t="s">
        <v>90</v>
      </c>
      <c r="S14" s="99" t="s">
        <v>91</v>
      </c>
      <c r="T14" s="99" t="s">
        <v>91</v>
      </c>
      <c r="U14" s="99" t="s">
        <v>881</v>
      </c>
      <c r="V14" s="99" t="s">
        <v>897</v>
      </c>
      <c r="W14" s="99"/>
      <c r="X14" s="99"/>
      <c r="Y14" s="99"/>
      <c r="Z14" s="99"/>
      <c r="AA14" s="99">
        <v>18</v>
      </c>
      <c r="AB14" s="99"/>
      <c r="AC14" s="197">
        <f t="shared" si="4"/>
        <v>18</v>
      </c>
      <c r="AD14" s="99">
        <v>18</v>
      </c>
      <c r="AE14" s="99"/>
      <c r="AF14" s="99"/>
      <c r="AG14" s="99">
        <f t="shared" si="5"/>
        <v>18</v>
      </c>
      <c r="AH14" s="99"/>
      <c r="AI14" s="99">
        <v>18</v>
      </c>
      <c r="AJ14" s="99"/>
      <c r="AK14" s="99"/>
      <c r="AL14" s="99"/>
      <c r="AM14" s="99">
        <f t="shared" si="6"/>
        <v>18</v>
      </c>
      <c r="AN14" s="99" t="s">
        <v>883</v>
      </c>
      <c r="AO14" s="99">
        <v>3</v>
      </c>
      <c r="AP14" s="99"/>
      <c r="AQ14" s="90"/>
      <c r="AR14" s="90"/>
      <c r="AS14" s="90"/>
      <c r="AT14" s="90"/>
      <c r="AU14" s="90"/>
      <c r="AV14" s="90"/>
      <c r="AW14" s="90"/>
      <c r="AX14" s="90"/>
      <c r="AY14" s="90"/>
      <c r="AZ14" s="90"/>
    </row>
    <row r="15" spans="1:52" s="112" customFormat="1" ht="28.5" customHeight="1" x14ac:dyDescent="0.25">
      <c r="A15" s="99">
        <v>1655</v>
      </c>
      <c r="B15" s="197" t="s">
        <v>1493</v>
      </c>
      <c r="C15" s="239">
        <v>102704000</v>
      </c>
      <c r="D15" s="99">
        <v>1611025980</v>
      </c>
      <c r="E15" s="99"/>
      <c r="F15" s="197" t="str">
        <f>VLOOKUP(D15,'rà soát ĐK'!B8:C458,2,0)</f>
        <v>PB04090023096</v>
      </c>
      <c r="G15" s="99" t="s">
        <v>2029</v>
      </c>
      <c r="H15" s="99" t="s">
        <v>2993</v>
      </c>
      <c r="I15" s="239">
        <v>112557884</v>
      </c>
      <c r="J15" s="239">
        <v>1066578488</v>
      </c>
      <c r="K15" s="197" t="s">
        <v>1431</v>
      </c>
      <c r="L15" s="197" t="s">
        <v>878</v>
      </c>
      <c r="M15" s="197" t="s">
        <v>1496</v>
      </c>
      <c r="N15" s="99" t="s">
        <v>1369</v>
      </c>
      <c r="O15" s="99"/>
      <c r="P15" s="99">
        <v>600</v>
      </c>
      <c r="Q15" s="99">
        <f t="shared" si="7"/>
        <v>600</v>
      </c>
      <c r="R15" s="99" t="s">
        <v>91</v>
      </c>
      <c r="S15" s="99" t="s">
        <v>90</v>
      </c>
      <c r="T15" s="99" t="s">
        <v>91</v>
      </c>
      <c r="U15" s="99" t="s">
        <v>881</v>
      </c>
      <c r="V15" s="99" t="s">
        <v>882</v>
      </c>
      <c r="W15" s="99"/>
      <c r="X15" s="99"/>
      <c r="Y15" s="99">
        <v>8</v>
      </c>
      <c r="Z15" s="99">
        <v>3</v>
      </c>
      <c r="AA15" s="99"/>
      <c r="AB15" s="99"/>
      <c r="AC15" s="197">
        <f t="shared" si="4"/>
        <v>11</v>
      </c>
      <c r="AD15" s="99">
        <v>11</v>
      </c>
      <c r="AE15" s="99"/>
      <c r="AF15" s="99"/>
      <c r="AG15" s="99">
        <f t="shared" si="5"/>
        <v>11</v>
      </c>
      <c r="AH15" s="99">
        <v>3</v>
      </c>
      <c r="AI15" s="99">
        <v>8</v>
      </c>
      <c r="AJ15" s="99"/>
      <c r="AK15" s="99"/>
      <c r="AL15" s="99"/>
      <c r="AM15" s="99">
        <f t="shared" si="6"/>
        <v>11</v>
      </c>
      <c r="AN15" s="99" t="s">
        <v>883</v>
      </c>
      <c r="AO15" s="99">
        <v>3</v>
      </c>
      <c r="AP15" s="99"/>
      <c r="AQ15" s="90"/>
      <c r="AR15" s="90"/>
      <c r="AS15" s="90"/>
      <c r="AT15" s="90"/>
      <c r="AU15" s="90"/>
      <c r="AV15" s="90"/>
      <c r="AW15" s="90"/>
      <c r="AX15" s="90"/>
      <c r="AY15" s="90"/>
      <c r="AZ15" s="90"/>
    </row>
    <row r="16" spans="1:52" s="112" customFormat="1" ht="28.5" customHeight="1" x14ac:dyDescent="0.25">
      <c r="A16" s="99">
        <v>1655</v>
      </c>
      <c r="B16" s="197" t="s">
        <v>1555</v>
      </c>
      <c r="C16" s="239">
        <v>102707000</v>
      </c>
      <c r="D16" s="99">
        <v>21072303</v>
      </c>
      <c r="E16" s="99"/>
      <c r="F16" s="197" t="str">
        <f>VLOOKUP(D16,'rà soát ĐK'!B9:C459,2,0)</f>
        <v>PB04090023099</v>
      </c>
      <c r="G16" s="99" t="s">
        <v>2072</v>
      </c>
      <c r="H16" s="99" t="s">
        <v>2995</v>
      </c>
      <c r="I16" s="239">
        <v>112442979</v>
      </c>
      <c r="J16" s="239">
        <v>106671892</v>
      </c>
      <c r="K16" s="197" t="s">
        <v>1431</v>
      </c>
      <c r="L16" s="197" t="s">
        <v>878</v>
      </c>
      <c r="M16" s="197" t="s">
        <v>1432</v>
      </c>
      <c r="N16" s="99" t="s">
        <v>1217</v>
      </c>
      <c r="O16" s="99"/>
      <c r="P16" s="99">
        <v>540</v>
      </c>
      <c r="Q16" s="99">
        <f t="shared" si="7"/>
        <v>540</v>
      </c>
      <c r="R16" s="99" t="s">
        <v>91</v>
      </c>
      <c r="S16" s="99" t="s">
        <v>90</v>
      </c>
      <c r="T16" s="99" t="s">
        <v>91</v>
      </c>
      <c r="U16" s="99" t="s">
        <v>881</v>
      </c>
      <c r="V16" s="99" t="s">
        <v>882</v>
      </c>
      <c r="W16" s="99"/>
      <c r="X16" s="99"/>
      <c r="Y16" s="99">
        <v>6</v>
      </c>
      <c r="Z16" s="99">
        <v>4</v>
      </c>
      <c r="AA16" s="99"/>
      <c r="AB16" s="99"/>
      <c r="AC16" s="197">
        <f t="shared" si="4"/>
        <v>10</v>
      </c>
      <c r="AD16" s="99">
        <v>10</v>
      </c>
      <c r="AE16" s="99"/>
      <c r="AF16" s="99"/>
      <c r="AG16" s="99">
        <f t="shared" si="5"/>
        <v>10</v>
      </c>
      <c r="AH16" s="99">
        <v>4</v>
      </c>
      <c r="AI16" s="99">
        <v>6</v>
      </c>
      <c r="AJ16" s="99"/>
      <c r="AK16" s="99"/>
      <c r="AL16" s="99"/>
      <c r="AM16" s="99">
        <f t="shared" si="6"/>
        <v>10</v>
      </c>
      <c r="AN16" s="99" t="s">
        <v>883</v>
      </c>
      <c r="AO16" s="99">
        <v>2</v>
      </c>
      <c r="AP16" s="99"/>
      <c r="AQ16" s="90"/>
      <c r="AR16" s="90"/>
      <c r="AS16" s="90"/>
      <c r="AT16" s="90"/>
      <c r="AU16" s="90"/>
      <c r="AV16" s="90"/>
      <c r="AW16" s="90"/>
      <c r="AX16" s="90"/>
      <c r="AY16" s="90"/>
      <c r="AZ16" s="90"/>
    </row>
    <row r="17" spans="1:52" s="112" customFormat="1" ht="28.5" customHeight="1" x14ac:dyDescent="0.25">
      <c r="A17" s="99">
        <v>1656</v>
      </c>
      <c r="B17" s="197" t="s">
        <v>1388</v>
      </c>
      <c r="C17" s="239">
        <v>101279000</v>
      </c>
      <c r="D17" s="99" t="s">
        <v>1390</v>
      </c>
      <c r="E17" s="99"/>
      <c r="F17" s="197" t="s">
        <v>1390</v>
      </c>
      <c r="G17" s="99" t="s">
        <v>1390</v>
      </c>
      <c r="H17" s="99" t="s">
        <v>2994</v>
      </c>
      <c r="I17" s="239">
        <v>112695966</v>
      </c>
      <c r="J17" s="239">
        <v>1066415934</v>
      </c>
      <c r="K17" s="197" t="s">
        <v>1391</v>
      </c>
      <c r="L17" s="197" t="s">
        <v>878</v>
      </c>
      <c r="M17" s="197" t="s">
        <v>1392</v>
      </c>
      <c r="N17" s="99" t="s">
        <v>891</v>
      </c>
      <c r="O17" s="99"/>
      <c r="P17" s="99">
        <v>340</v>
      </c>
      <c r="Q17" s="99">
        <f t="shared" si="7"/>
        <v>340</v>
      </c>
      <c r="R17" s="99" t="s">
        <v>90</v>
      </c>
      <c r="S17" s="99" t="s">
        <v>91</v>
      </c>
      <c r="T17" s="99" t="s">
        <v>91</v>
      </c>
      <c r="U17" s="99" t="s">
        <v>881</v>
      </c>
      <c r="V17" s="99" t="s">
        <v>897</v>
      </c>
      <c r="W17" s="99"/>
      <c r="X17" s="99"/>
      <c r="Y17" s="99"/>
      <c r="Z17" s="99"/>
      <c r="AA17" s="99">
        <v>7</v>
      </c>
      <c r="AB17" s="99"/>
      <c r="AC17" s="197">
        <f t="shared" si="4"/>
        <v>7</v>
      </c>
      <c r="AD17" s="99">
        <v>7</v>
      </c>
      <c r="AE17" s="99"/>
      <c r="AF17" s="99"/>
      <c r="AG17" s="99">
        <f t="shared" si="5"/>
        <v>7</v>
      </c>
      <c r="AH17" s="99"/>
      <c r="AI17" s="99">
        <v>7</v>
      </c>
      <c r="AJ17" s="99"/>
      <c r="AK17" s="99"/>
      <c r="AL17" s="99"/>
      <c r="AM17" s="99">
        <f t="shared" si="6"/>
        <v>7</v>
      </c>
      <c r="AN17" s="99" t="s">
        <v>883</v>
      </c>
      <c r="AO17" s="99">
        <v>3</v>
      </c>
      <c r="AP17" s="99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112" customFormat="1" ht="28.5" customHeight="1" x14ac:dyDescent="0.25">
      <c r="A18" s="99">
        <v>1656</v>
      </c>
      <c r="B18" s="197" t="s">
        <v>1401</v>
      </c>
      <c r="C18" s="239">
        <v>101280000</v>
      </c>
      <c r="D18" s="99">
        <v>1511187163</v>
      </c>
      <c r="E18" s="99"/>
      <c r="F18" s="197" t="str">
        <f>VLOOKUP(D18,'rà soát ĐK'!B11:C461,2,0)</f>
        <v>PB04090032505</v>
      </c>
      <c r="G18" s="99" t="s">
        <v>2065</v>
      </c>
      <c r="H18" s="99" t="str">
        <f>VLOOKUP(C18,'[1]Bến Cát'!$E$4:$F$177,2,0)</f>
        <v>11.2673819, 106.6458982</v>
      </c>
      <c r="I18" s="239">
        <v>112673819</v>
      </c>
      <c r="J18" s="239">
        <v>1066458982</v>
      </c>
      <c r="K18" s="197" t="s">
        <v>1391</v>
      </c>
      <c r="L18" s="197" t="s">
        <v>878</v>
      </c>
      <c r="M18" s="197" t="s">
        <v>1404</v>
      </c>
      <c r="N18" s="99" t="s">
        <v>891</v>
      </c>
      <c r="O18" s="99"/>
      <c r="P18" s="99">
        <v>400</v>
      </c>
      <c r="Q18" s="99">
        <f t="shared" si="7"/>
        <v>400</v>
      </c>
      <c r="R18" s="99" t="s">
        <v>90</v>
      </c>
      <c r="S18" s="99" t="s">
        <v>91</v>
      </c>
      <c r="T18" s="99" t="s">
        <v>91</v>
      </c>
      <c r="U18" s="99" t="s">
        <v>881</v>
      </c>
      <c r="V18" s="99" t="s">
        <v>897</v>
      </c>
      <c r="W18" s="99"/>
      <c r="X18" s="99"/>
      <c r="Y18" s="99"/>
      <c r="Z18" s="99"/>
      <c r="AA18" s="99">
        <v>7</v>
      </c>
      <c r="AB18" s="99"/>
      <c r="AC18" s="197">
        <f t="shared" si="4"/>
        <v>7</v>
      </c>
      <c r="AD18" s="99">
        <v>7</v>
      </c>
      <c r="AE18" s="99"/>
      <c r="AF18" s="99"/>
      <c r="AG18" s="99">
        <f t="shared" si="5"/>
        <v>7</v>
      </c>
      <c r="AH18" s="99"/>
      <c r="AI18" s="99">
        <v>7</v>
      </c>
      <c r="AJ18" s="99"/>
      <c r="AK18" s="99"/>
      <c r="AL18" s="99"/>
      <c r="AM18" s="99">
        <f t="shared" si="6"/>
        <v>7</v>
      </c>
      <c r="AN18" s="99" t="s">
        <v>883</v>
      </c>
      <c r="AO18" s="99">
        <v>3</v>
      </c>
      <c r="AP18" s="99"/>
      <c r="AQ18" s="90"/>
      <c r="AR18" s="90"/>
      <c r="AS18" s="90"/>
      <c r="AT18" s="90"/>
      <c r="AU18" s="90"/>
      <c r="AV18" s="90"/>
      <c r="AW18" s="90"/>
      <c r="AX18" s="90"/>
      <c r="AY18" s="90"/>
      <c r="AZ18" s="90"/>
    </row>
    <row r="19" spans="1:52" s="112" customFormat="1" ht="28.5" customHeight="1" x14ac:dyDescent="0.25">
      <c r="A19" s="99">
        <v>1656</v>
      </c>
      <c r="B19" s="197" t="s">
        <v>1423</v>
      </c>
      <c r="C19" s="239">
        <v>101282000</v>
      </c>
      <c r="D19" s="99">
        <v>2011582307</v>
      </c>
      <c r="E19" s="99"/>
      <c r="F19" s="197" t="e">
        <f>VLOOKUP(D19,'rà soát ĐK'!B12:C462,2,0)</f>
        <v>#N/A</v>
      </c>
      <c r="G19" s="99"/>
      <c r="H19" s="99" t="str">
        <f>VLOOKUP(C19,'[1]Bến Cát'!$E$4:$F$177,2,0)</f>
        <v>11.26113, 106.6525983</v>
      </c>
      <c r="I19" s="239">
        <v>1126113</v>
      </c>
      <c r="J19" s="239">
        <v>1066525983</v>
      </c>
      <c r="K19" s="197" t="s">
        <v>1391</v>
      </c>
      <c r="L19" s="197" t="s">
        <v>878</v>
      </c>
      <c r="M19" s="197" t="s">
        <v>1426</v>
      </c>
      <c r="N19" s="99" t="s">
        <v>891</v>
      </c>
      <c r="O19" s="99"/>
      <c r="P19" s="99">
        <v>540</v>
      </c>
      <c r="Q19" s="99">
        <f t="shared" si="7"/>
        <v>540</v>
      </c>
      <c r="R19" s="99" t="s">
        <v>90</v>
      </c>
      <c r="S19" s="99" t="s">
        <v>91</v>
      </c>
      <c r="T19" s="99" t="s">
        <v>91</v>
      </c>
      <c r="U19" s="99" t="s">
        <v>881</v>
      </c>
      <c r="V19" s="99" t="s">
        <v>897</v>
      </c>
      <c r="W19" s="99"/>
      <c r="X19" s="99"/>
      <c r="Y19" s="99"/>
      <c r="Z19" s="99"/>
      <c r="AA19" s="99">
        <v>9</v>
      </c>
      <c r="AB19" s="99"/>
      <c r="AC19" s="197">
        <f t="shared" si="4"/>
        <v>9</v>
      </c>
      <c r="AD19" s="99">
        <v>9</v>
      </c>
      <c r="AE19" s="99"/>
      <c r="AF19" s="99"/>
      <c r="AG19" s="99">
        <f t="shared" si="5"/>
        <v>9</v>
      </c>
      <c r="AH19" s="99"/>
      <c r="AI19" s="99">
        <v>9</v>
      </c>
      <c r="AJ19" s="99"/>
      <c r="AK19" s="99"/>
      <c r="AL19" s="99"/>
      <c r="AM19" s="99">
        <f t="shared" si="6"/>
        <v>9</v>
      </c>
      <c r="AN19" s="99" t="s">
        <v>883</v>
      </c>
      <c r="AO19" s="99">
        <v>3</v>
      </c>
      <c r="AP19" s="99"/>
      <c r="AQ19" s="90"/>
      <c r="AR19" s="90"/>
      <c r="AS19" s="90"/>
      <c r="AT19" s="90"/>
      <c r="AU19" s="90"/>
      <c r="AV19" s="90"/>
      <c r="AW19" s="90"/>
      <c r="AX19" s="90"/>
      <c r="AY19" s="90"/>
      <c r="AZ19" s="90"/>
    </row>
    <row r="20" spans="1:52" s="112" customFormat="1" ht="28.5" customHeight="1" x14ac:dyDescent="0.25">
      <c r="A20" s="99">
        <v>1656</v>
      </c>
      <c r="B20" s="197" t="s">
        <v>1433</v>
      </c>
      <c r="C20" s="239">
        <v>101283000</v>
      </c>
      <c r="D20" s="99" t="s">
        <v>1435</v>
      </c>
      <c r="E20" s="99"/>
      <c r="F20" s="197" t="s">
        <v>1435</v>
      </c>
      <c r="G20" s="99" t="s">
        <v>1435</v>
      </c>
      <c r="H20" s="99" t="str">
        <f>VLOOKUP(C20,'[1]Bến Cát'!$E$4:$F$177,2,0)</f>
        <v>11.2572522, 106.6571405</v>
      </c>
      <c r="I20" s="239">
        <v>112572522</v>
      </c>
      <c r="J20" s="239">
        <v>1066571405</v>
      </c>
      <c r="K20" s="197" t="s">
        <v>1391</v>
      </c>
      <c r="L20" s="197" t="s">
        <v>878</v>
      </c>
      <c r="M20" s="197" t="s">
        <v>1436</v>
      </c>
      <c r="N20" s="99" t="s">
        <v>1437</v>
      </c>
      <c r="O20" s="99"/>
      <c r="P20" s="99">
        <v>480</v>
      </c>
      <c r="Q20" s="99">
        <f t="shared" si="7"/>
        <v>480</v>
      </c>
      <c r="R20" s="99" t="s">
        <v>90</v>
      </c>
      <c r="S20" s="99" t="s">
        <v>91</v>
      </c>
      <c r="T20" s="99" t="s">
        <v>91</v>
      </c>
      <c r="U20" s="99" t="s">
        <v>881</v>
      </c>
      <c r="V20" s="99" t="s">
        <v>897</v>
      </c>
      <c r="W20" s="99"/>
      <c r="X20" s="99"/>
      <c r="Y20" s="99"/>
      <c r="Z20" s="99"/>
      <c r="AA20" s="99">
        <v>9</v>
      </c>
      <c r="AB20" s="99"/>
      <c r="AC20" s="197">
        <f t="shared" si="4"/>
        <v>9</v>
      </c>
      <c r="AD20" s="99">
        <v>9</v>
      </c>
      <c r="AE20" s="99"/>
      <c r="AF20" s="99"/>
      <c r="AG20" s="99">
        <f t="shared" si="5"/>
        <v>9</v>
      </c>
      <c r="AH20" s="99"/>
      <c r="AI20" s="99">
        <v>9</v>
      </c>
      <c r="AJ20" s="99"/>
      <c r="AK20" s="99"/>
      <c r="AL20" s="99"/>
      <c r="AM20" s="99">
        <f t="shared" si="6"/>
        <v>9</v>
      </c>
      <c r="AN20" s="99" t="s">
        <v>883</v>
      </c>
      <c r="AO20" s="99">
        <v>3</v>
      </c>
      <c r="AP20" s="99"/>
      <c r="AQ20" s="90"/>
      <c r="AR20" s="90"/>
      <c r="AS20" s="90"/>
      <c r="AT20" s="90"/>
      <c r="AU20" s="90"/>
      <c r="AV20" s="90"/>
      <c r="AW20" s="90"/>
      <c r="AX20" s="90"/>
      <c r="AY20" s="90"/>
      <c r="AZ20" s="90"/>
    </row>
    <row r="21" spans="1:52" ht="39" customHeight="1" x14ac:dyDescent="0.25">
      <c r="A21" s="99">
        <v>1656</v>
      </c>
      <c r="B21" s="197" t="s">
        <v>1459</v>
      </c>
      <c r="C21" s="239">
        <v>101285000</v>
      </c>
      <c r="D21" s="99" t="s">
        <v>1461</v>
      </c>
      <c r="E21" s="99"/>
      <c r="F21" s="197" t="s">
        <v>1461</v>
      </c>
      <c r="G21" s="99" t="s">
        <v>1461</v>
      </c>
      <c r="H21" s="99" t="str">
        <f>VLOOKUP(C21,'[1]Bến Cát'!$E$4:$F$177,2,0)</f>
        <v>11.2549962, 106.6611164</v>
      </c>
      <c r="I21" s="239">
        <v>112549962</v>
      </c>
      <c r="J21" s="239">
        <v>1066611164</v>
      </c>
      <c r="K21" s="197" t="s">
        <v>1391</v>
      </c>
      <c r="L21" s="197" t="s">
        <v>878</v>
      </c>
      <c r="M21" s="197" t="s">
        <v>1462</v>
      </c>
      <c r="N21" s="99" t="s">
        <v>891</v>
      </c>
      <c r="O21" s="99"/>
      <c r="P21" s="99">
        <v>130</v>
      </c>
      <c r="Q21" s="99">
        <f t="shared" si="7"/>
        <v>130</v>
      </c>
      <c r="R21" s="99" t="s">
        <v>91</v>
      </c>
      <c r="S21" s="99" t="s">
        <v>90</v>
      </c>
      <c r="T21" s="99" t="s">
        <v>91</v>
      </c>
      <c r="U21" s="99" t="s">
        <v>881</v>
      </c>
      <c r="V21" s="99" t="s">
        <v>897</v>
      </c>
      <c r="W21" s="99"/>
      <c r="X21" s="99"/>
      <c r="Y21" s="99"/>
      <c r="Z21" s="99"/>
      <c r="AA21" s="99">
        <v>3</v>
      </c>
      <c r="AB21" s="99"/>
      <c r="AC21" s="197">
        <f t="shared" si="4"/>
        <v>3</v>
      </c>
      <c r="AD21" s="99">
        <v>3</v>
      </c>
      <c r="AE21" s="99"/>
      <c r="AF21" s="99"/>
      <c r="AG21" s="99">
        <f t="shared" si="5"/>
        <v>3</v>
      </c>
      <c r="AH21" s="99"/>
      <c r="AI21" s="99">
        <v>3</v>
      </c>
      <c r="AJ21" s="99"/>
      <c r="AK21" s="99"/>
      <c r="AL21" s="99"/>
      <c r="AM21" s="99">
        <f t="shared" si="6"/>
        <v>3</v>
      </c>
      <c r="AN21" s="99" t="s">
        <v>883</v>
      </c>
      <c r="AO21" s="99">
        <v>3</v>
      </c>
      <c r="AP21" s="99"/>
    </row>
    <row r="22" spans="1:52" ht="39" customHeight="1" x14ac:dyDescent="0.25">
      <c r="A22" s="99">
        <v>1656</v>
      </c>
      <c r="B22" s="197" t="s">
        <v>1473</v>
      </c>
      <c r="C22" s="239">
        <v>101286000</v>
      </c>
      <c r="D22" s="99">
        <v>151187154</v>
      </c>
      <c r="E22" s="99"/>
      <c r="F22" s="197" t="e">
        <f>VLOOKUP(D22,'rà soát ĐK'!B15:C465,2,0)</f>
        <v>#N/A</v>
      </c>
      <c r="G22" s="99"/>
      <c r="H22" s="99" t="str">
        <f>VLOOKUP(C22,'[1]Bến Cát'!$E$4:$F$177,2,0)</f>
        <v>11.252712, 106.6629862</v>
      </c>
      <c r="I22" s="239">
        <v>11252712</v>
      </c>
      <c r="J22" s="239">
        <v>1066629862</v>
      </c>
      <c r="K22" s="197" t="s">
        <v>1391</v>
      </c>
      <c r="L22" s="197" t="s">
        <v>878</v>
      </c>
      <c r="M22" s="197" t="s">
        <v>1476</v>
      </c>
      <c r="N22" s="99" t="s">
        <v>891</v>
      </c>
      <c r="O22" s="99"/>
      <c r="P22" s="99">
        <v>420</v>
      </c>
      <c r="Q22" s="99">
        <f t="shared" si="7"/>
        <v>420</v>
      </c>
      <c r="R22" s="99" t="s">
        <v>90</v>
      </c>
      <c r="S22" s="99" t="s">
        <v>91</v>
      </c>
      <c r="T22" s="99" t="s">
        <v>91</v>
      </c>
      <c r="U22" s="99" t="s">
        <v>881</v>
      </c>
      <c r="V22" s="99" t="s">
        <v>897</v>
      </c>
      <c r="W22" s="99"/>
      <c r="X22" s="99"/>
      <c r="Y22" s="99"/>
      <c r="Z22" s="99"/>
      <c r="AA22" s="99">
        <v>7</v>
      </c>
      <c r="AB22" s="99"/>
      <c r="AC22" s="197">
        <f t="shared" si="4"/>
        <v>7</v>
      </c>
      <c r="AD22" s="99">
        <v>7</v>
      </c>
      <c r="AE22" s="99"/>
      <c r="AF22" s="99"/>
      <c r="AG22" s="99">
        <f t="shared" si="5"/>
        <v>7</v>
      </c>
      <c r="AH22" s="99"/>
      <c r="AI22" s="99">
        <v>7</v>
      </c>
      <c r="AJ22" s="99"/>
      <c r="AK22" s="99"/>
      <c r="AL22" s="99"/>
      <c r="AM22" s="99">
        <f t="shared" si="6"/>
        <v>7</v>
      </c>
      <c r="AN22" s="99" t="s">
        <v>883</v>
      </c>
      <c r="AO22" s="99">
        <v>3</v>
      </c>
      <c r="AP22" s="99"/>
    </row>
    <row r="23" spans="1:52" ht="39" customHeight="1" x14ac:dyDescent="0.25">
      <c r="A23" s="99">
        <v>1656</v>
      </c>
      <c r="B23" s="197" t="s">
        <v>1481</v>
      </c>
      <c r="C23" s="239">
        <v>103264000</v>
      </c>
      <c r="D23" s="99">
        <v>1511188151</v>
      </c>
      <c r="E23" s="99"/>
      <c r="F23" s="197" t="str">
        <f>VLOOKUP(D23,'rà soát ĐK'!B16:C466,2,0)</f>
        <v>PB04090032510</v>
      </c>
      <c r="G23" s="99" t="s">
        <v>2083</v>
      </c>
      <c r="H23" s="99" t="str">
        <f>VLOOKUP(C23,'[1]Bến Cát'!$E$4:$F$177,2,0)</f>
        <v>11.2496233, 106.66612</v>
      </c>
      <c r="I23" s="239">
        <v>112496233</v>
      </c>
      <c r="J23" s="239">
        <v>10666612</v>
      </c>
      <c r="K23" s="197" t="s">
        <v>1391</v>
      </c>
      <c r="L23" s="197" t="s">
        <v>878</v>
      </c>
      <c r="M23" s="197" t="s">
        <v>1484</v>
      </c>
      <c r="N23" s="99" t="s">
        <v>891</v>
      </c>
      <c r="O23" s="99"/>
      <c r="P23" s="99">
        <v>310</v>
      </c>
      <c r="Q23" s="99">
        <f t="shared" si="7"/>
        <v>310</v>
      </c>
      <c r="R23" s="99" t="s">
        <v>90</v>
      </c>
      <c r="S23" s="99" t="s">
        <v>91</v>
      </c>
      <c r="T23" s="99" t="s">
        <v>91</v>
      </c>
      <c r="U23" s="99" t="s">
        <v>881</v>
      </c>
      <c r="V23" s="99" t="s">
        <v>897</v>
      </c>
      <c r="W23" s="99"/>
      <c r="X23" s="99"/>
      <c r="Y23" s="99"/>
      <c r="Z23" s="99"/>
      <c r="AA23" s="99">
        <v>5</v>
      </c>
      <c r="AB23" s="99"/>
      <c r="AC23" s="197">
        <f t="shared" si="4"/>
        <v>5</v>
      </c>
      <c r="AD23" s="99">
        <v>5</v>
      </c>
      <c r="AE23" s="99"/>
      <c r="AF23" s="99"/>
      <c r="AG23" s="99">
        <f t="shared" si="5"/>
        <v>5</v>
      </c>
      <c r="AH23" s="99"/>
      <c r="AI23" s="99">
        <v>5</v>
      </c>
      <c r="AJ23" s="99"/>
      <c r="AK23" s="99"/>
      <c r="AL23" s="99"/>
      <c r="AM23" s="99">
        <f t="shared" si="6"/>
        <v>5</v>
      </c>
      <c r="AN23" s="99" t="s">
        <v>883</v>
      </c>
      <c r="AO23" s="99">
        <v>3</v>
      </c>
      <c r="AP23" s="99"/>
    </row>
    <row r="24" spans="1:52" ht="39" customHeight="1" x14ac:dyDescent="0.25">
      <c r="A24" s="99">
        <v>1656</v>
      </c>
      <c r="B24" s="197" t="s">
        <v>1489</v>
      </c>
      <c r="C24" s="239">
        <v>103265000</v>
      </c>
      <c r="D24" s="99">
        <v>1511285335</v>
      </c>
      <c r="E24" s="99"/>
      <c r="F24" s="197" t="str">
        <f>VLOOKUP(D24,'rà soát ĐK'!B17:C467,2,0)</f>
        <v>PB04090028720</v>
      </c>
      <c r="G24" s="99" t="s">
        <v>2079</v>
      </c>
      <c r="H24" s="99" t="str">
        <f>VLOOKUP(C24,'[1]Bến Cát'!$E$4:$F$177,2,0)</f>
        <v>11.2473287, 106.6688503</v>
      </c>
      <c r="I24" s="239">
        <v>112473287</v>
      </c>
      <c r="J24" s="239">
        <v>1066688503</v>
      </c>
      <c r="K24" s="197" t="s">
        <v>1391</v>
      </c>
      <c r="L24" s="197" t="s">
        <v>878</v>
      </c>
      <c r="M24" s="197" t="s">
        <v>1492</v>
      </c>
      <c r="N24" s="99" t="s">
        <v>891</v>
      </c>
      <c r="O24" s="99"/>
      <c r="P24" s="99">
        <v>320</v>
      </c>
      <c r="Q24" s="99">
        <f t="shared" si="7"/>
        <v>320</v>
      </c>
      <c r="R24" s="99" t="s">
        <v>91</v>
      </c>
      <c r="S24" s="99" t="s">
        <v>90</v>
      </c>
      <c r="T24" s="99" t="s">
        <v>91</v>
      </c>
      <c r="U24" s="99" t="s">
        <v>881</v>
      </c>
      <c r="V24" s="99" t="s">
        <v>897</v>
      </c>
      <c r="W24" s="99"/>
      <c r="X24" s="99"/>
      <c r="Y24" s="99"/>
      <c r="Z24" s="99"/>
      <c r="AA24" s="99">
        <v>11</v>
      </c>
      <c r="AB24" s="99"/>
      <c r="AC24" s="197">
        <f t="shared" si="4"/>
        <v>11</v>
      </c>
      <c r="AD24" s="99">
        <v>11</v>
      </c>
      <c r="AE24" s="99"/>
      <c r="AF24" s="99"/>
      <c r="AG24" s="99">
        <f t="shared" si="5"/>
        <v>11</v>
      </c>
      <c r="AH24" s="99"/>
      <c r="AI24" s="99">
        <v>11</v>
      </c>
      <c r="AJ24" s="99"/>
      <c r="AK24" s="99"/>
      <c r="AL24" s="99"/>
      <c r="AM24" s="99">
        <f t="shared" si="6"/>
        <v>11</v>
      </c>
      <c r="AN24" s="99" t="s">
        <v>883</v>
      </c>
      <c r="AO24" s="99">
        <v>2</v>
      </c>
      <c r="AP24" s="99"/>
    </row>
    <row r="25" spans="1:52" ht="39" customHeight="1" x14ac:dyDescent="0.25">
      <c r="A25" s="99">
        <v>1656</v>
      </c>
      <c r="B25" s="197" t="s">
        <v>1497</v>
      </c>
      <c r="C25" s="239">
        <v>103266000</v>
      </c>
      <c r="D25" s="99">
        <v>1511288404</v>
      </c>
      <c r="E25" s="99"/>
      <c r="F25" s="197" t="e">
        <f>VLOOKUP(D25,'rà soát ĐK'!B18:C468,2,0)</f>
        <v>#N/A</v>
      </c>
      <c r="G25" s="99"/>
      <c r="H25" s="99" t="str">
        <f>VLOOKUP(C25,'[1]Bến Cát'!$E$4:$F$177,2,0)</f>
        <v>11.2451133, 106.6726483</v>
      </c>
      <c r="I25" s="239">
        <v>112451133</v>
      </c>
      <c r="J25" s="239">
        <v>1066726483</v>
      </c>
      <c r="K25" s="197" t="s">
        <v>1391</v>
      </c>
      <c r="L25" s="197" t="s">
        <v>878</v>
      </c>
      <c r="M25" s="197" t="s">
        <v>1500</v>
      </c>
      <c r="N25" s="99" t="s">
        <v>891</v>
      </c>
      <c r="O25" s="99"/>
      <c r="P25" s="99">
        <v>310</v>
      </c>
      <c r="Q25" s="99">
        <f t="shared" si="7"/>
        <v>310</v>
      </c>
      <c r="R25" s="99" t="s">
        <v>91</v>
      </c>
      <c r="S25" s="99" t="s">
        <v>90</v>
      </c>
      <c r="T25" s="99" t="s">
        <v>91</v>
      </c>
      <c r="U25" s="99" t="s">
        <v>881</v>
      </c>
      <c r="V25" s="99" t="s">
        <v>897</v>
      </c>
      <c r="W25" s="99"/>
      <c r="X25" s="99"/>
      <c r="Y25" s="99"/>
      <c r="Z25" s="99"/>
      <c r="AA25" s="99">
        <v>11</v>
      </c>
      <c r="AB25" s="99"/>
      <c r="AC25" s="197">
        <f t="shared" si="4"/>
        <v>11</v>
      </c>
      <c r="AD25" s="99">
        <v>11</v>
      </c>
      <c r="AE25" s="99"/>
      <c r="AF25" s="99"/>
      <c r="AG25" s="99">
        <f t="shared" si="5"/>
        <v>11</v>
      </c>
      <c r="AH25" s="99"/>
      <c r="AI25" s="99">
        <v>11</v>
      </c>
      <c r="AJ25" s="99"/>
      <c r="AK25" s="99"/>
      <c r="AL25" s="99"/>
      <c r="AM25" s="99">
        <f t="shared" si="6"/>
        <v>11</v>
      </c>
      <c r="AN25" s="99" t="s">
        <v>883</v>
      </c>
      <c r="AO25" s="99">
        <v>2</v>
      </c>
      <c r="AP25" s="99"/>
    </row>
    <row r="26" spans="1:52" ht="39" customHeight="1" x14ac:dyDescent="0.25">
      <c r="A26" s="99">
        <v>1656</v>
      </c>
      <c r="B26" s="197" t="s">
        <v>1537</v>
      </c>
      <c r="C26" s="239">
        <v>103267000</v>
      </c>
      <c r="D26" s="99">
        <v>1911604765</v>
      </c>
      <c r="E26" s="99"/>
      <c r="F26" s="197" t="str">
        <f>VLOOKUP(D26,'rà soát ĐK'!B19:C469,2,0)</f>
        <v>PB04090028718</v>
      </c>
      <c r="G26" s="99" t="s">
        <v>2073</v>
      </c>
      <c r="H26" s="99" t="str">
        <f>VLOOKUP(C26,'[1]Bến Cát'!$E$4:$F$177,2,0)</f>
        <v>11.241215, 106.6767017</v>
      </c>
      <c r="I26" s="239">
        <v>11241215</v>
      </c>
      <c r="J26" s="239">
        <v>1066767017</v>
      </c>
      <c r="K26" s="197" t="s">
        <v>1391</v>
      </c>
      <c r="L26" s="197" t="s">
        <v>878</v>
      </c>
      <c r="M26" s="197" t="s">
        <v>1540</v>
      </c>
      <c r="N26" s="99" t="s">
        <v>891</v>
      </c>
      <c r="O26" s="99"/>
      <c r="P26" s="99">
        <v>660</v>
      </c>
      <c r="Q26" s="99">
        <f t="shared" si="7"/>
        <v>660</v>
      </c>
      <c r="R26" s="99" t="s">
        <v>91</v>
      </c>
      <c r="S26" s="99" t="s">
        <v>90</v>
      </c>
      <c r="T26" s="99" t="s">
        <v>91</v>
      </c>
      <c r="U26" s="99" t="s">
        <v>881</v>
      </c>
      <c r="V26" s="99" t="s">
        <v>897</v>
      </c>
      <c r="W26" s="99"/>
      <c r="X26" s="99"/>
      <c r="Y26" s="99"/>
      <c r="Z26" s="99"/>
      <c r="AA26" s="99">
        <v>20</v>
      </c>
      <c r="AB26" s="99"/>
      <c r="AC26" s="197">
        <f t="shared" si="4"/>
        <v>20</v>
      </c>
      <c r="AD26" s="99">
        <v>20</v>
      </c>
      <c r="AE26" s="99"/>
      <c r="AF26" s="99"/>
      <c r="AG26" s="99">
        <f t="shared" si="5"/>
        <v>20</v>
      </c>
      <c r="AH26" s="99"/>
      <c r="AI26" s="99">
        <v>20</v>
      </c>
      <c r="AJ26" s="99"/>
      <c r="AK26" s="99"/>
      <c r="AL26" s="99"/>
      <c r="AM26" s="99">
        <f t="shared" si="6"/>
        <v>20</v>
      </c>
      <c r="AN26" s="99" t="s">
        <v>883</v>
      </c>
      <c r="AO26" s="99">
        <v>2</v>
      </c>
      <c r="AP26" s="99"/>
    </row>
    <row r="27" spans="1:52" ht="39" customHeight="1" x14ac:dyDescent="0.25">
      <c r="A27" s="99">
        <v>1657</v>
      </c>
      <c r="B27" s="197" t="s">
        <v>1571</v>
      </c>
      <c r="C27" s="239">
        <v>102752000</v>
      </c>
      <c r="D27" s="99">
        <v>1511111088</v>
      </c>
      <c r="E27" s="99"/>
      <c r="F27" s="197" t="str">
        <f>VLOOKUP(D27,'rà soát ĐK'!B20:C470,2,0)</f>
        <v>PB04090032513</v>
      </c>
      <c r="G27" s="99" t="s">
        <v>2317</v>
      </c>
      <c r="H27" s="99" t="str">
        <f>VLOOKUP(C27,'[1]Bến Cát'!$E$4:$F$177,2,0)</f>
        <v>11.23924596445325, 106.64373200503147</v>
      </c>
      <c r="I27" s="239">
        <v>1123924596445320</v>
      </c>
      <c r="J27" s="239">
        <v>1.06643732005031E+16</v>
      </c>
      <c r="K27" s="197" t="s">
        <v>1572</v>
      </c>
      <c r="L27" s="197" t="s">
        <v>878</v>
      </c>
      <c r="M27" s="197" t="s">
        <v>1574</v>
      </c>
      <c r="N27" s="99" t="s">
        <v>891</v>
      </c>
      <c r="O27" s="99"/>
      <c r="P27" s="99">
        <v>200</v>
      </c>
      <c r="Q27" s="99">
        <f t="shared" si="7"/>
        <v>200</v>
      </c>
      <c r="R27" s="99" t="s">
        <v>90</v>
      </c>
      <c r="S27" s="99" t="s">
        <v>91</v>
      </c>
      <c r="T27" s="99" t="s">
        <v>91</v>
      </c>
      <c r="U27" s="99" t="s">
        <v>881</v>
      </c>
      <c r="V27" s="99" t="s">
        <v>897</v>
      </c>
      <c r="W27" s="99"/>
      <c r="X27" s="99"/>
      <c r="Y27" s="99"/>
      <c r="Z27" s="99"/>
      <c r="AA27" s="99">
        <v>6</v>
      </c>
      <c r="AB27" s="99"/>
      <c r="AC27" s="197">
        <f t="shared" si="4"/>
        <v>6</v>
      </c>
      <c r="AD27" s="99">
        <v>6</v>
      </c>
      <c r="AE27" s="99"/>
      <c r="AF27" s="99"/>
      <c r="AG27" s="99">
        <f t="shared" si="5"/>
        <v>6</v>
      </c>
      <c r="AH27" s="99"/>
      <c r="AI27" s="99">
        <v>6</v>
      </c>
      <c r="AJ27" s="99"/>
      <c r="AK27" s="99"/>
      <c r="AL27" s="99"/>
      <c r="AM27" s="99">
        <f t="shared" si="6"/>
        <v>6</v>
      </c>
      <c r="AN27" s="99" t="s">
        <v>883</v>
      </c>
      <c r="AO27" s="99">
        <v>3</v>
      </c>
      <c r="AP27" s="99"/>
    </row>
    <row r="28" spans="1:52" ht="39" customHeight="1" x14ac:dyDescent="0.25">
      <c r="A28" s="99">
        <v>1658</v>
      </c>
      <c r="B28" s="197" t="s">
        <v>1393</v>
      </c>
      <c r="C28" s="239">
        <v>103293000</v>
      </c>
      <c r="D28" s="99">
        <v>1611596539</v>
      </c>
      <c r="E28" s="99"/>
      <c r="F28" s="197" t="str">
        <f>VLOOKUP(D28,'rà soát ĐK'!B21:C471,2,0)</f>
        <v>PB04090034457</v>
      </c>
      <c r="G28" s="99" t="s">
        <v>2229</v>
      </c>
      <c r="H28" s="99" t="str">
        <f>VLOOKUP(C28,'[1]Bến Cát'!$E$4:$F$177,2,0)</f>
        <v>11.177386258353236, 106.59410869493205</v>
      </c>
      <c r="I28" s="239">
        <v>1.11773862583532E+16</v>
      </c>
      <c r="J28" s="239">
        <v>1.06594108694932E+16</v>
      </c>
      <c r="K28" s="197" t="s">
        <v>1394</v>
      </c>
      <c r="L28" s="197" t="s">
        <v>878</v>
      </c>
      <c r="M28" s="197" t="s">
        <v>1396</v>
      </c>
      <c r="N28" s="99" t="s">
        <v>891</v>
      </c>
      <c r="O28" s="99"/>
      <c r="P28" s="99">
        <v>360</v>
      </c>
      <c r="Q28" s="99">
        <f t="shared" si="7"/>
        <v>360</v>
      </c>
      <c r="R28" s="99" t="s">
        <v>90</v>
      </c>
      <c r="S28" s="99" t="s">
        <v>91</v>
      </c>
      <c r="T28" s="99" t="s">
        <v>91</v>
      </c>
      <c r="U28" s="99" t="s">
        <v>881</v>
      </c>
      <c r="V28" s="99" t="s">
        <v>882</v>
      </c>
      <c r="W28" s="99"/>
      <c r="X28" s="99"/>
      <c r="Y28" s="99"/>
      <c r="Z28" s="99"/>
      <c r="AA28" s="99">
        <v>10</v>
      </c>
      <c r="AB28" s="99"/>
      <c r="AC28" s="197">
        <f t="shared" si="4"/>
        <v>10</v>
      </c>
      <c r="AD28" s="99">
        <v>10</v>
      </c>
      <c r="AE28" s="99"/>
      <c r="AF28" s="99"/>
      <c r="AG28" s="99">
        <f t="shared" si="5"/>
        <v>10</v>
      </c>
      <c r="AH28" s="99"/>
      <c r="AI28" s="99">
        <v>10</v>
      </c>
      <c r="AJ28" s="99"/>
      <c r="AK28" s="99"/>
      <c r="AL28" s="99"/>
      <c r="AM28" s="99">
        <f t="shared" si="6"/>
        <v>10</v>
      </c>
      <c r="AN28" s="99" t="s">
        <v>883</v>
      </c>
      <c r="AO28" s="99">
        <v>3</v>
      </c>
      <c r="AP28" s="99"/>
    </row>
    <row r="29" spans="1:52" ht="39" customHeight="1" x14ac:dyDescent="0.25">
      <c r="A29" s="99">
        <v>1659</v>
      </c>
      <c r="B29" s="197" t="s">
        <v>1405</v>
      </c>
      <c r="C29" s="239">
        <v>103294000</v>
      </c>
      <c r="D29" s="99">
        <v>251200039422</v>
      </c>
      <c r="E29" s="99"/>
      <c r="F29" s="197" t="str">
        <f>VLOOKUP(D29,'rà soát ĐK'!B22:C472,2,0)</f>
        <v>PE19000001521</v>
      </c>
      <c r="G29" s="99" t="s">
        <v>2232</v>
      </c>
      <c r="H29" s="99" t="str">
        <f>VLOOKUP(C29,'[1]Bến Cát'!$E$4:$F$177,2,0)</f>
        <v>11.179394565798841, 106.59424352359349</v>
      </c>
      <c r="I29" s="239">
        <v>1.11793945657988E+16</v>
      </c>
      <c r="J29" s="239">
        <v>1.06594243523593E+16</v>
      </c>
      <c r="K29" s="197" t="s">
        <v>1408</v>
      </c>
      <c r="L29" s="197" t="s">
        <v>878</v>
      </c>
      <c r="M29" s="197" t="s">
        <v>1409</v>
      </c>
      <c r="N29" s="99" t="s">
        <v>880</v>
      </c>
      <c r="O29" s="99"/>
      <c r="P29" s="99">
        <v>320</v>
      </c>
      <c r="Q29" s="99">
        <f t="shared" si="7"/>
        <v>320</v>
      </c>
      <c r="R29" s="99" t="s">
        <v>90</v>
      </c>
      <c r="S29" s="99" t="s">
        <v>91</v>
      </c>
      <c r="T29" s="99" t="s">
        <v>91</v>
      </c>
      <c r="U29" s="99" t="s">
        <v>881</v>
      </c>
      <c r="V29" s="99" t="s">
        <v>882</v>
      </c>
      <c r="W29" s="99"/>
      <c r="X29" s="99"/>
      <c r="Y29" s="99"/>
      <c r="Z29" s="99"/>
      <c r="AA29" s="99">
        <v>8</v>
      </c>
      <c r="AB29" s="99"/>
      <c r="AC29" s="197">
        <f t="shared" si="4"/>
        <v>8</v>
      </c>
      <c r="AD29" s="99">
        <v>8</v>
      </c>
      <c r="AE29" s="99"/>
      <c r="AF29" s="99"/>
      <c r="AG29" s="99">
        <f t="shared" si="5"/>
        <v>8</v>
      </c>
      <c r="AH29" s="99"/>
      <c r="AI29" s="99">
        <v>8</v>
      </c>
      <c r="AJ29" s="99"/>
      <c r="AK29" s="99"/>
      <c r="AL29" s="99"/>
      <c r="AM29" s="99">
        <f t="shared" si="6"/>
        <v>8</v>
      </c>
      <c r="AN29" s="99" t="s">
        <v>883</v>
      </c>
      <c r="AO29" s="99">
        <v>3</v>
      </c>
      <c r="AP29" s="99"/>
    </row>
    <row r="30" spans="1:52" ht="39" customHeight="1" x14ac:dyDescent="0.25">
      <c r="A30" s="99">
        <v>1659</v>
      </c>
      <c r="B30" s="197" t="s">
        <v>1485</v>
      </c>
      <c r="C30" s="239">
        <v>103299000</v>
      </c>
      <c r="D30" s="99">
        <v>251200039686</v>
      </c>
      <c r="E30" s="99"/>
      <c r="F30" s="197" t="str">
        <f>VLOOKUP(D30,'rà soát ĐK'!B23:C473,2,0)</f>
        <v>PE19000001525</v>
      </c>
      <c r="G30" s="99" t="s">
        <v>2234</v>
      </c>
      <c r="H30" s="99" t="str">
        <f>VLOOKUP(C30,'[1]Bến Cát'!$E$4:$F$177,2,0)</f>
        <v>11.182719444096016, 106.59273143893593</v>
      </c>
      <c r="I30" s="239">
        <v>1.1182719444096E+16</v>
      </c>
      <c r="J30" s="239">
        <v>1.06592731438935E+16</v>
      </c>
      <c r="K30" s="197" t="s">
        <v>1408</v>
      </c>
      <c r="L30" s="197" t="s">
        <v>878</v>
      </c>
      <c r="M30" s="197" t="s">
        <v>1488</v>
      </c>
      <c r="N30" s="99" t="s">
        <v>880</v>
      </c>
      <c r="O30" s="99"/>
      <c r="P30" s="99">
        <v>240</v>
      </c>
      <c r="Q30" s="99">
        <f t="shared" si="7"/>
        <v>240</v>
      </c>
      <c r="R30" s="99" t="s">
        <v>90</v>
      </c>
      <c r="S30" s="99" t="s">
        <v>91</v>
      </c>
      <c r="T30" s="99" t="s">
        <v>91</v>
      </c>
      <c r="U30" s="99" t="s">
        <v>881</v>
      </c>
      <c r="V30" s="99" t="s">
        <v>897</v>
      </c>
      <c r="W30" s="99"/>
      <c r="X30" s="99"/>
      <c r="Y30" s="99"/>
      <c r="Z30" s="99"/>
      <c r="AA30" s="99">
        <v>7</v>
      </c>
      <c r="AB30" s="99"/>
      <c r="AC30" s="197">
        <f t="shared" si="4"/>
        <v>7</v>
      </c>
      <c r="AD30" s="99">
        <v>7</v>
      </c>
      <c r="AE30" s="99"/>
      <c r="AF30" s="99"/>
      <c r="AG30" s="99">
        <f t="shared" si="5"/>
        <v>7</v>
      </c>
      <c r="AH30" s="99"/>
      <c r="AI30" s="99">
        <v>7</v>
      </c>
      <c r="AJ30" s="99"/>
      <c r="AK30" s="99"/>
      <c r="AL30" s="99"/>
      <c r="AM30" s="99">
        <f t="shared" si="6"/>
        <v>7</v>
      </c>
      <c r="AN30" s="99" t="s">
        <v>883</v>
      </c>
      <c r="AO30" s="99">
        <v>3</v>
      </c>
      <c r="AP30" s="99"/>
    </row>
    <row r="31" spans="1:52" ht="39" customHeight="1" x14ac:dyDescent="0.25">
      <c r="A31" s="99">
        <v>1660</v>
      </c>
      <c r="B31" s="197" t="s">
        <v>1448</v>
      </c>
      <c r="C31" s="239">
        <v>103295000</v>
      </c>
      <c r="D31" s="99">
        <v>21088680</v>
      </c>
      <c r="E31" s="99"/>
      <c r="F31" s="197" t="str">
        <f>VLOOKUP(D31,'rà soát ĐK'!B24:C474,2,0)</f>
        <v>PB04090034459</v>
      </c>
      <c r="G31" s="99" t="s">
        <v>2226</v>
      </c>
      <c r="H31" s="99" t="str">
        <f>VLOOKUP(C31,'[1]Bến Cát'!$E$4:$F$177,2,0)</f>
        <v>11.17990189158302, 106.59075195800334</v>
      </c>
      <c r="I31" s="239">
        <v>1117990189158300</v>
      </c>
      <c r="J31" s="239">
        <v>1.06590751958003E+16</v>
      </c>
      <c r="K31" s="197" t="s">
        <v>1441</v>
      </c>
      <c r="L31" s="197" t="s">
        <v>878</v>
      </c>
      <c r="M31" s="197" t="s">
        <v>1451</v>
      </c>
      <c r="N31" s="99" t="s">
        <v>969</v>
      </c>
      <c r="O31" s="99"/>
      <c r="P31" s="99">
        <v>440</v>
      </c>
      <c r="Q31" s="99">
        <f t="shared" si="7"/>
        <v>440</v>
      </c>
      <c r="R31" s="99" t="s">
        <v>90</v>
      </c>
      <c r="S31" s="99" t="s">
        <v>91</v>
      </c>
      <c r="T31" s="99" t="s">
        <v>91</v>
      </c>
      <c r="U31" s="99" t="s">
        <v>881</v>
      </c>
      <c r="V31" s="99" t="s">
        <v>897</v>
      </c>
      <c r="W31" s="99"/>
      <c r="X31" s="99"/>
      <c r="Y31" s="99"/>
      <c r="Z31" s="99"/>
      <c r="AA31" s="99">
        <v>13</v>
      </c>
      <c r="AB31" s="99"/>
      <c r="AC31" s="197">
        <f t="shared" si="4"/>
        <v>13</v>
      </c>
      <c r="AD31" s="99">
        <v>13</v>
      </c>
      <c r="AE31" s="99"/>
      <c r="AF31" s="99"/>
      <c r="AG31" s="99">
        <f t="shared" si="5"/>
        <v>13</v>
      </c>
      <c r="AH31" s="99"/>
      <c r="AI31" s="99">
        <v>13</v>
      </c>
      <c r="AJ31" s="99"/>
      <c r="AK31" s="99"/>
      <c r="AL31" s="99"/>
      <c r="AM31" s="99">
        <f t="shared" si="6"/>
        <v>13</v>
      </c>
      <c r="AN31" s="99" t="s">
        <v>883</v>
      </c>
      <c r="AO31" s="99">
        <v>3</v>
      </c>
      <c r="AP31" s="99"/>
    </row>
    <row r="32" spans="1:52" ht="39" customHeight="1" x14ac:dyDescent="0.25">
      <c r="A32" s="99">
        <v>1660</v>
      </c>
      <c r="B32" s="197" t="s">
        <v>1438</v>
      </c>
      <c r="C32" s="239">
        <v>103296000</v>
      </c>
      <c r="D32" s="99">
        <v>21088678</v>
      </c>
      <c r="E32" s="99"/>
      <c r="F32" s="197" t="str">
        <f>VLOOKUP(D32,'rà soát ĐK'!B25:C475,2,0)</f>
        <v>PB04090034460</v>
      </c>
      <c r="G32" s="99" t="s">
        <v>2189</v>
      </c>
      <c r="H32" s="99" t="str">
        <f>VLOOKUP(C32,'[1]Bến Cát'!$E$4:$F$177,2,0)</f>
        <v>11.184604933846046, 106.5907333871618</v>
      </c>
      <c r="I32" s="239">
        <v>1.1184604933846E+16</v>
      </c>
      <c r="J32" s="239">
        <v>1065907333871610</v>
      </c>
      <c r="K32" s="197" t="s">
        <v>1441</v>
      </c>
      <c r="L32" s="197" t="s">
        <v>878</v>
      </c>
      <c r="M32" s="197" t="s">
        <v>1442</v>
      </c>
      <c r="N32" s="99" t="s">
        <v>891</v>
      </c>
      <c r="O32" s="99"/>
      <c r="P32" s="99">
        <v>560</v>
      </c>
      <c r="Q32" s="99">
        <f t="shared" si="7"/>
        <v>560</v>
      </c>
      <c r="R32" s="99" t="s">
        <v>90</v>
      </c>
      <c r="S32" s="99" t="s">
        <v>91</v>
      </c>
      <c r="T32" s="99" t="s">
        <v>91</v>
      </c>
      <c r="U32" s="99" t="s">
        <v>881</v>
      </c>
      <c r="V32" s="99" t="s">
        <v>897</v>
      </c>
      <c r="W32" s="99"/>
      <c r="X32" s="99"/>
      <c r="Y32" s="99"/>
      <c r="Z32" s="99"/>
      <c r="AA32" s="99">
        <v>15</v>
      </c>
      <c r="AB32" s="99"/>
      <c r="AC32" s="197">
        <f t="shared" si="4"/>
        <v>15</v>
      </c>
      <c r="AD32" s="99">
        <v>15</v>
      </c>
      <c r="AE32" s="99"/>
      <c r="AF32" s="99"/>
      <c r="AG32" s="99">
        <f t="shared" si="5"/>
        <v>15</v>
      </c>
      <c r="AH32" s="99"/>
      <c r="AI32" s="99">
        <v>15</v>
      </c>
      <c r="AJ32" s="99"/>
      <c r="AK32" s="99"/>
      <c r="AL32" s="99"/>
      <c r="AM32" s="99">
        <f t="shared" si="6"/>
        <v>15</v>
      </c>
      <c r="AN32" s="99" t="s">
        <v>883</v>
      </c>
      <c r="AO32" s="99">
        <v>3</v>
      </c>
      <c r="AP32" s="99"/>
    </row>
    <row r="33" spans="1:42" ht="39" customHeight="1" x14ac:dyDescent="0.25">
      <c r="A33" s="99">
        <v>1661</v>
      </c>
      <c r="B33" s="197" t="s">
        <v>1452</v>
      </c>
      <c r="C33" s="239"/>
      <c r="D33" s="99"/>
      <c r="E33" s="99"/>
      <c r="F33" s="197"/>
      <c r="G33" s="99"/>
      <c r="H33" s="99"/>
      <c r="I33" s="197"/>
      <c r="J33" s="197"/>
      <c r="K33" s="197" t="s">
        <v>1453</v>
      </c>
      <c r="L33" s="197" t="s">
        <v>878</v>
      </c>
      <c r="M33" s="197" t="s">
        <v>1451</v>
      </c>
      <c r="N33" s="99"/>
      <c r="O33" s="99"/>
      <c r="P33" s="99"/>
      <c r="Q33" s="99"/>
      <c r="R33" s="99" t="s">
        <v>91</v>
      </c>
      <c r="S33" s="99" t="s">
        <v>91</v>
      </c>
      <c r="T33" s="99" t="s">
        <v>91</v>
      </c>
      <c r="U33" s="99" t="s">
        <v>881</v>
      </c>
      <c r="V33" s="99" t="s">
        <v>897</v>
      </c>
      <c r="W33" s="99"/>
      <c r="X33" s="99"/>
      <c r="Y33" s="99"/>
      <c r="Z33" s="99"/>
      <c r="AA33" s="99"/>
      <c r="AB33" s="99"/>
      <c r="AC33" s="197">
        <f t="shared" si="4"/>
        <v>0</v>
      </c>
      <c r="AD33" s="99"/>
      <c r="AE33" s="99"/>
      <c r="AF33" s="99"/>
      <c r="AG33" s="99">
        <f t="shared" si="5"/>
        <v>0</v>
      </c>
      <c r="AH33" s="99"/>
      <c r="AI33" s="99"/>
      <c r="AJ33" s="99"/>
      <c r="AK33" s="99"/>
      <c r="AL33" s="99"/>
      <c r="AM33" s="99">
        <f t="shared" si="6"/>
        <v>0</v>
      </c>
      <c r="AN33" s="99"/>
      <c r="AO33" s="99"/>
      <c r="AP33" s="99" t="s">
        <v>1629</v>
      </c>
    </row>
    <row r="34" spans="1:42" ht="39" customHeight="1" x14ac:dyDescent="0.25">
      <c r="A34" s="99">
        <v>1662</v>
      </c>
      <c r="B34" s="197" t="s">
        <v>1525</v>
      </c>
      <c r="C34" s="239">
        <v>103303000</v>
      </c>
      <c r="D34" s="99">
        <v>251200039688</v>
      </c>
      <c r="E34" s="99"/>
      <c r="F34" s="197" t="str">
        <f>VLOOKUP(D34,'rà soát ĐK'!B27:C477,2,0)</f>
        <v>PE19000001523</v>
      </c>
      <c r="G34" s="99" t="s">
        <v>2201</v>
      </c>
      <c r="H34" s="99" t="str">
        <f>VLOOKUP(C34,'[1]Bến Cát'!$E$4:$F$177,2,0)</f>
        <v>11.197482714421854, 106.5936836991825</v>
      </c>
      <c r="I34" s="239">
        <v>1.11974827144218E+16</v>
      </c>
      <c r="J34" s="239">
        <v>1065936836991820</v>
      </c>
      <c r="K34" s="197" t="s">
        <v>1528</v>
      </c>
      <c r="L34" s="197" t="s">
        <v>878</v>
      </c>
      <c r="M34" s="197" t="s">
        <v>1529</v>
      </c>
      <c r="N34" s="99" t="s">
        <v>891</v>
      </c>
      <c r="O34" s="99"/>
      <c r="P34" s="99">
        <v>720</v>
      </c>
      <c r="Q34" s="99">
        <f t="shared" ref="Q34:Q47" si="8">SUM(O34:P34)</f>
        <v>720</v>
      </c>
      <c r="R34" s="99" t="s">
        <v>90</v>
      </c>
      <c r="S34" s="99" t="s">
        <v>91</v>
      </c>
      <c r="T34" s="99" t="s">
        <v>91</v>
      </c>
      <c r="U34" s="99" t="s">
        <v>881</v>
      </c>
      <c r="V34" s="99" t="s">
        <v>897</v>
      </c>
      <c r="W34" s="99"/>
      <c r="X34" s="99"/>
      <c r="Y34" s="99"/>
      <c r="Z34" s="99"/>
      <c r="AA34" s="99">
        <v>13</v>
      </c>
      <c r="AB34" s="99"/>
      <c r="AC34" s="197">
        <f t="shared" si="4"/>
        <v>13</v>
      </c>
      <c r="AD34" s="99">
        <v>13</v>
      </c>
      <c r="AE34" s="99"/>
      <c r="AF34" s="99"/>
      <c r="AG34" s="99">
        <f t="shared" si="5"/>
        <v>13</v>
      </c>
      <c r="AH34" s="99"/>
      <c r="AI34" s="99">
        <v>13</v>
      </c>
      <c r="AJ34" s="99"/>
      <c r="AK34" s="99"/>
      <c r="AL34" s="99"/>
      <c r="AM34" s="99">
        <f t="shared" si="6"/>
        <v>13</v>
      </c>
      <c r="AN34" s="99" t="s">
        <v>883</v>
      </c>
      <c r="AO34" s="99">
        <v>3</v>
      </c>
      <c r="AP34" s="99"/>
    </row>
    <row r="35" spans="1:42" ht="39" customHeight="1" x14ac:dyDescent="0.25">
      <c r="A35" s="99">
        <v>1662</v>
      </c>
      <c r="B35" s="197" t="s">
        <v>1533</v>
      </c>
      <c r="C35" s="239">
        <v>103304000</v>
      </c>
      <c r="D35" s="99">
        <v>251200039689</v>
      </c>
      <c r="E35" s="99"/>
      <c r="F35" s="197" t="str">
        <f>VLOOKUP(D35,'rà soát ĐK'!B28:C478,2,0)</f>
        <v>PE19000001515</v>
      </c>
      <c r="G35" s="99" t="s">
        <v>2197</v>
      </c>
      <c r="H35" s="99" t="str">
        <f>VLOOKUP(C35,'[1]Bến Cát'!$E$4:$F$177,2,0)</f>
        <v>11.201973968619724, 106.58679805094317</v>
      </c>
      <c r="I35" s="239">
        <v>1.12019739686197E+16</v>
      </c>
      <c r="J35" s="239">
        <v>1.06586798050943E+16</v>
      </c>
      <c r="K35" s="197" t="s">
        <v>1528</v>
      </c>
      <c r="L35" s="197" t="s">
        <v>878</v>
      </c>
      <c r="M35" s="197" t="s">
        <v>1536</v>
      </c>
      <c r="N35" s="99" t="s">
        <v>891</v>
      </c>
      <c r="O35" s="99"/>
      <c r="P35" s="99">
        <v>660</v>
      </c>
      <c r="Q35" s="99">
        <f t="shared" si="8"/>
        <v>660</v>
      </c>
      <c r="R35" s="99" t="s">
        <v>90</v>
      </c>
      <c r="S35" s="99" t="s">
        <v>91</v>
      </c>
      <c r="T35" s="99" t="s">
        <v>91</v>
      </c>
      <c r="U35" s="99" t="s">
        <v>881</v>
      </c>
      <c r="V35" s="99" t="s">
        <v>897</v>
      </c>
      <c r="W35" s="99"/>
      <c r="X35" s="99"/>
      <c r="Y35" s="99"/>
      <c r="Z35" s="99"/>
      <c r="AA35" s="99">
        <v>13</v>
      </c>
      <c r="AB35" s="99"/>
      <c r="AC35" s="197">
        <f t="shared" si="4"/>
        <v>13</v>
      </c>
      <c r="AD35" s="99">
        <v>13</v>
      </c>
      <c r="AE35" s="99"/>
      <c r="AF35" s="99"/>
      <c r="AG35" s="99">
        <f t="shared" si="5"/>
        <v>13</v>
      </c>
      <c r="AH35" s="99"/>
      <c r="AI35" s="99">
        <v>13</v>
      </c>
      <c r="AJ35" s="99"/>
      <c r="AK35" s="99"/>
      <c r="AL35" s="99"/>
      <c r="AM35" s="99">
        <f t="shared" si="6"/>
        <v>13</v>
      </c>
      <c r="AN35" s="99" t="s">
        <v>883</v>
      </c>
      <c r="AO35" s="99">
        <v>3</v>
      </c>
      <c r="AP35" s="99"/>
    </row>
    <row r="36" spans="1:42" ht="39" customHeight="1" x14ac:dyDescent="0.25">
      <c r="A36" s="99">
        <v>1663</v>
      </c>
      <c r="B36" s="197" t="s">
        <v>1545</v>
      </c>
      <c r="C36" s="239">
        <v>103305000</v>
      </c>
      <c r="D36" s="99">
        <v>211100272508</v>
      </c>
      <c r="E36" s="99"/>
      <c r="F36" s="197" t="str">
        <f>VLOOKUP(D36,'rà soát ĐK'!B29:C479,2,0)</f>
        <v>PB04090027212</v>
      </c>
      <c r="G36" s="99" t="s">
        <v>2203</v>
      </c>
      <c r="H36" s="99" t="str">
        <f>VLOOKUP(C36,'[1]Bến Cát'!$E$4:$F$177,2,0)</f>
        <v>11.197149664834384, 106.59455351680528</v>
      </c>
      <c r="I36" s="239">
        <v>1.11971496648343E+16</v>
      </c>
      <c r="J36" s="239">
        <v>1.06594553516805E+16</v>
      </c>
      <c r="K36" s="197" t="s">
        <v>1548</v>
      </c>
      <c r="L36" s="197" t="s">
        <v>878</v>
      </c>
      <c r="M36" s="197" t="s">
        <v>1549</v>
      </c>
      <c r="N36" s="99" t="s">
        <v>880</v>
      </c>
      <c r="O36" s="99"/>
      <c r="P36" s="99">
        <v>520</v>
      </c>
      <c r="Q36" s="99">
        <f t="shared" si="8"/>
        <v>520</v>
      </c>
      <c r="R36" s="99" t="s">
        <v>91</v>
      </c>
      <c r="S36" s="99" t="s">
        <v>90</v>
      </c>
      <c r="T36" s="99" t="s">
        <v>91</v>
      </c>
      <c r="U36" s="99" t="s">
        <v>881</v>
      </c>
      <c r="V36" s="99" t="s">
        <v>882</v>
      </c>
      <c r="W36" s="99"/>
      <c r="X36" s="99"/>
      <c r="Y36" s="99"/>
      <c r="Z36" s="99"/>
      <c r="AA36" s="99">
        <v>12</v>
      </c>
      <c r="AB36" s="99"/>
      <c r="AC36" s="197">
        <f t="shared" si="4"/>
        <v>12</v>
      </c>
      <c r="AD36" s="99">
        <v>12</v>
      </c>
      <c r="AE36" s="99"/>
      <c r="AF36" s="99"/>
      <c r="AG36" s="99">
        <f t="shared" si="5"/>
        <v>12</v>
      </c>
      <c r="AH36" s="99"/>
      <c r="AI36" s="99">
        <v>12</v>
      </c>
      <c r="AJ36" s="99"/>
      <c r="AK36" s="99"/>
      <c r="AL36" s="99"/>
      <c r="AM36" s="99">
        <f t="shared" si="6"/>
        <v>12</v>
      </c>
      <c r="AN36" s="99" t="s">
        <v>883</v>
      </c>
      <c r="AO36" s="99">
        <v>2</v>
      </c>
      <c r="AP36" s="99"/>
    </row>
    <row r="37" spans="1:42" ht="39" customHeight="1" x14ac:dyDescent="0.25">
      <c r="A37" s="99">
        <v>1663</v>
      </c>
      <c r="B37" s="197" t="s">
        <v>1558</v>
      </c>
      <c r="C37" s="239">
        <v>103306000</v>
      </c>
      <c r="D37" s="99">
        <v>22104988</v>
      </c>
      <c r="E37" s="99"/>
      <c r="F37" s="197" t="str">
        <f>VLOOKUP(D37,'rà soát ĐK'!B30:C480,2,0)</f>
        <v>PB04090027213</v>
      </c>
      <c r="G37" s="99" t="s">
        <v>2128</v>
      </c>
      <c r="H37" s="99" t="str">
        <f>VLOOKUP(C37,'[1]Bến Cát'!$E$4:$F$177,2,0)</f>
        <v>11.199805179356652, 106.5985901230221</v>
      </c>
      <c r="I37" s="239">
        <v>1.11998051793566E+16</v>
      </c>
      <c r="J37" s="239">
        <v>1065985901230220</v>
      </c>
      <c r="K37" s="197" t="s">
        <v>1548</v>
      </c>
      <c r="L37" s="197" t="s">
        <v>878</v>
      </c>
      <c r="M37" s="197" t="s">
        <v>1561</v>
      </c>
      <c r="N37" s="99" t="s">
        <v>880</v>
      </c>
      <c r="O37" s="99"/>
      <c r="P37" s="99">
        <v>300</v>
      </c>
      <c r="Q37" s="99">
        <f t="shared" si="8"/>
        <v>300</v>
      </c>
      <c r="R37" s="99" t="s">
        <v>91</v>
      </c>
      <c r="S37" s="99" t="s">
        <v>90</v>
      </c>
      <c r="T37" s="99" t="s">
        <v>91</v>
      </c>
      <c r="U37" s="99" t="s">
        <v>881</v>
      </c>
      <c r="V37" s="99" t="s">
        <v>882</v>
      </c>
      <c r="W37" s="99"/>
      <c r="X37" s="99"/>
      <c r="Y37" s="99"/>
      <c r="Z37" s="99"/>
      <c r="AA37" s="99">
        <v>6</v>
      </c>
      <c r="AB37" s="99"/>
      <c r="AC37" s="197">
        <f t="shared" si="4"/>
        <v>6</v>
      </c>
      <c r="AD37" s="99">
        <v>6</v>
      </c>
      <c r="AE37" s="99"/>
      <c r="AF37" s="99"/>
      <c r="AG37" s="99">
        <f t="shared" si="5"/>
        <v>6</v>
      </c>
      <c r="AH37" s="99"/>
      <c r="AI37" s="99">
        <v>6</v>
      </c>
      <c r="AJ37" s="99"/>
      <c r="AK37" s="99"/>
      <c r="AL37" s="99"/>
      <c r="AM37" s="99">
        <f t="shared" si="6"/>
        <v>6</v>
      </c>
      <c r="AN37" s="99" t="s">
        <v>883</v>
      </c>
      <c r="AO37" s="99">
        <v>2</v>
      </c>
      <c r="AP37" s="99"/>
    </row>
    <row r="38" spans="1:42" ht="39" customHeight="1" x14ac:dyDescent="0.25">
      <c r="A38" s="99">
        <v>1665</v>
      </c>
      <c r="B38" s="197" t="s">
        <v>1597</v>
      </c>
      <c r="C38" s="239">
        <v>103002000</v>
      </c>
      <c r="D38" s="99">
        <v>251200039416</v>
      </c>
      <c r="E38" s="99"/>
      <c r="F38" s="197" t="str">
        <f>VLOOKUP(D38,'rà soát ĐK'!B31:C481,2,0)</f>
        <v>PE19000001522</v>
      </c>
      <c r="G38" s="99" t="s">
        <v>2285</v>
      </c>
      <c r="H38" s="99" t="str">
        <f>VLOOKUP(C38,'[1]Bến Cát'!$E$4:$F$177,2,0)</f>
        <v>11.1750138, 106.6003123</v>
      </c>
      <c r="I38" s="239">
        <v>111750138</v>
      </c>
      <c r="J38" s="239">
        <v>1066003123</v>
      </c>
      <c r="K38" s="197" t="s">
        <v>1598</v>
      </c>
      <c r="L38" s="197" t="s">
        <v>878</v>
      </c>
      <c r="M38" s="197" t="s">
        <v>1086</v>
      </c>
      <c r="N38" s="99" t="s">
        <v>880</v>
      </c>
      <c r="O38" s="99"/>
      <c r="P38" s="99">
        <v>160</v>
      </c>
      <c r="Q38" s="99">
        <f t="shared" si="8"/>
        <v>160</v>
      </c>
      <c r="R38" s="99" t="s">
        <v>90</v>
      </c>
      <c r="S38" s="99" t="s">
        <v>91</v>
      </c>
      <c r="T38" s="99" t="s">
        <v>91</v>
      </c>
      <c r="U38" s="99" t="s">
        <v>881</v>
      </c>
      <c r="V38" s="99" t="s">
        <v>897</v>
      </c>
      <c r="W38" s="99"/>
      <c r="X38" s="99"/>
      <c r="Y38" s="99"/>
      <c r="Z38" s="99"/>
      <c r="AA38" s="99">
        <v>6</v>
      </c>
      <c r="AB38" s="99"/>
      <c r="AC38" s="197">
        <f t="shared" si="4"/>
        <v>6</v>
      </c>
      <c r="AD38" s="99">
        <v>6</v>
      </c>
      <c r="AE38" s="99"/>
      <c r="AF38" s="99"/>
      <c r="AG38" s="99">
        <f t="shared" si="5"/>
        <v>6</v>
      </c>
      <c r="AH38" s="99"/>
      <c r="AI38" s="99">
        <v>6</v>
      </c>
      <c r="AJ38" s="99"/>
      <c r="AK38" s="99"/>
      <c r="AL38" s="99"/>
      <c r="AM38" s="99">
        <f t="shared" si="6"/>
        <v>6</v>
      </c>
      <c r="AN38" s="99" t="s">
        <v>883</v>
      </c>
      <c r="AO38" s="99">
        <v>3</v>
      </c>
      <c r="AP38" s="99"/>
    </row>
    <row r="39" spans="1:42" ht="39" customHeight="1" x14ac:dyDescent="0.25">
      <c r="A39" s="99">
        <v>1666</v>
      </c>
      <c r="B39" s="197" t="s">
        <v>1370</v>
      </c>
      <c r="C39" s="239">
        <v>103292000</v>
      </c>
      <c r="D39" s="99">
        <v>21053017</v>
      </c>
      <c r="E39" s="99"/>
      <c r="F39" s="197" t="e">
        <f>VLOOKUP(D39,'rà soát ĐK'!B32:C482,2,0)</f>
        <v>#N/A</v>
      </c>
      <c r="G39" s="99"/>
      <c r="H39" s="99" t="str">
        <f>VLOOKUP(C39,'[1]Bến Cát'!$E$4:$F$177,2,0)</f>
        <v>11.185162113804571, 106.60584469699063</v>
      </c>
      <c r="I39" s="239">
        <v>1.11851621138045E+16</v>
      </c>
      <c r="J39" s="239">
        <v>1.0660584469699E+16</v>
      </c>
      <c r="K39" s="197" t="s">
        <v>1371</v>
      </c>
      <c r="L39" s="197" t="s">
        <v>878</v>
      </c>
      <c r="M39" s="197" t="s">
        <v>1373</v>
      </c>
      <c r="N39" s="99" t="s">
        <v>880</v>
      </c>
      <c r="O39" s="99"/>
      <c r="P39" s="99">
        <v>360</v>
      </c>
      <c r="Q39" s="99">
        <f t="shared" si="8"/>
        <v>360</v>
      </c>
      <c r="R39" s="99" t="s">
        <v>90</v>
      </c>
      <c r="S39" s="99" t="s">
        <v>91</v>
      </c>
      <c r="T39" s="99" t="s">
        <v>91</v>
      </c>
      <c r="U39" s="99" t="s">
        <v>881</v>
      </c>
      <c r="V39" s="99" t="s">
        <v>897</v>
      </c>
      <c r="W39" s="99"/>
      <c r="X39" s="99"/>
      <c r="Y39" s="99"/>
      <c r="Z39" s="99"/>
      <c r="AA39" s="99">
        <v>13</v>
      </c>
      <c r="AB39" s="99"/>
      <c r="AC39" s="197">
        <f t="shared" si="4"/>
        <v>13</v>
      </c>
      <c r="AD39" s="99">
        <v>13</v>
      </c>
      <c r="AE39" s="99"/>
      <c r="AF39" s="99"/>
      <c r="AG39" s="99">
        <f t="shared" si="5"/>
        <v>13</v>
      </c>
      <c r="AH39" s="99"/>
      <c r="AI39" s="99">
        <v>13</v>
      </c>
      <c r="AJ39" s="99"/>
      <c r="AK39" s="99"/>
      <c r="AL39" s="99"/>
      <c r="AM39" s="99">
        <f t="shared" si="6"/>
        <v>13</v>
      </c>
      <c r="AN39" s="99" t="s">
        <v>883</v>
      </c>
      <c r="AO39" s="99">
        <v>3</v>
      </c>
      <c r="AP39" s="99"/>
    </row>
    <row r="40" spans="1:42" ht="39" customHeight="1" x14ac:dyDescent="0.25">
      <c r="A40" s="99">
        <v>1667</v>
      </c>
      <c r="B40" s="197" t="s">
        <v>1374</v>
      </c>
      <c r="C40" s="239">
        <v>103291000</v>
      </c>
      <c r="D40" s="99">
        <v>16115919</v>
      </c>
      <c r="E40" s="99"/>
      <c r="F40" s="197" t="e">
        <f>VLOOKUP(D40,'rà soát ĐK'!B33:C483,2,0)</f>
        <v>#N/A</v>
      </c>
      <c r="G40" s="99"/>
      <c r="H40" s="99" t="str">
        <f>VLOOKUP(C40,'[1]Bến Cát'!$E$4:$F$177,2,0)</f>
        <v>11.188994750811316, 106.60298969172811</v>
      </c>
      <c r="I40" s="239">
        <v>1.11889947508113E+16</v>
      </c>
      <c r="J40" s="239">
        <v>1.06602989691728E+16</v>
      </c>
      <c r="K40" s="197" t="s">
        <v>1377</v>
      </c>
      <c r="L40" s="197" t="s">
        <v>878</v>
      </c>
      <c r="M40" s="197" t="s">
        <v>1378</v>
      </c>
      <c r="N40" s="99" t="s">
        <v>891</v>
      </c>
      <c r="O40" s="99"/>
      <c r="P40" s="99">
        <v>960</v>
      </c>
      <c r="Q40" s="99">
        <f t="shared" si="8"/>
        <v>960</v>
      </c>
      <c r="R40" s="99" t="s">
        <v>90</v>
      </c>
      <c r="S40" s="99" t="s">
        <v>91</v>
      </c>
      <c r="T40" s="99" t="s">
        <v>91</v>
      </c>
      <c r="U40" s="99" t="s">
        <v>881</v>
      </c>
      <c r="V40" s="99" t="s">
        <v>897</v>
      </c>
      <c r="W40" s="99"/>
      <c r="X40" s="99"/>
      <c r="Y40" s="99"/>
      <c r="Z40" s="99"/>
      <c r="AA40" s="99">
        <v>25</v>
      </c>
      <c r="AB40" s="99"/>
      <c r="AC40" s="197">
        <f t="shared" si="4"/>
        <v>25</v>
      </c>
      <c r="AD40" s="99">
        <v>25</v>
      </c>
      <c r="AE40" s="99"/>
      <c r="AF40" s="99"/>
      <c r="AG40" s="99">
        <f t="shared" si="5"/>
        <v>25</v>
      </c>
      <c r="AH40" s="99"/>
      <c r="AI40" s="99">
        <v>25</v>
      </c>
      <c r="AJ40" s="99"/>
      <c r="AK40" s="99"/>
      <c r="AL40" s="99"/>
      <c r="AM40" s="99">
        <f t="shared" si="6"/>
        <v>25</v>
      </c>
      <c r="AN40" s="99" t="s">
        <v>883</v>
      </c>
      <c r="AO40" s="99">
        <v>3</v>
      </c>
      <c r="AP40" s="99"/>
    </row>
    <row r="41" spans="1:42" ht="39" customHeight="1" x14ac:dyDescent="0.25">
      <c r="A41" s="99">
        <v>1667</v>
      </c>
      <c r="B41" s="197" t="s">
        <v>1379</v>
      </c>
      <c r="C41" s="239">
        <v>103290000</v>
      </c>
      <c r="D41" s="99">
        <v>1611597519</v>
      </c>
      <c r="E41" s="99"/>
      <c r="F41" s="197" t="str">
        <f>VLOOKUP(D41,'rà soát ĐK'!B34:C484,2,0)</f>
        <v>PB04090037434</v>
      </c>
      <c r="G41" s="99" t="s">
        <v>2120</v>
      </c>
      <c r="H41" s="99" t="str">
        <f>VLOOKUP(C41,'[1]Bến Cát'!$E$4:$F$177,2,0)</f>
        <v>11.193802733915838, 106.60367812971268</v>
      </c>
      <c r="I41" s="239">
        <v>1.11938027339158E+16</v>
      </c>
      <c r="J41" s="239">
        <v>1.06603678129712E+16</v>
      </c>
      <c r="K41" s="197" t="s">
        <v>1377</v>
      </c>
      <c r="L41" s="197" t="s">
        <v>878</v>
      </c>
      <c r="M41" s="197" t="s">
        <v>1382</v>
      </c>
      <c r="N41" s="99" t="s">
        <v>891</v>
      </c>
      <c r="O41" s="99"/>
      <c r="P41" s="99">
        <v>880</v>
      </c>
      <c r="Q41" s="99">
        <f t="shared" si="8"/>
        <v>880</v>
      </c>
      <c r="R41" s="99" t="s">
        <v>90</v>
      </c>
      <c r="S41" s="99" t="s">
        <v>91</v>
      </c>
      <c r="T41" s="99" t="s">
        <v>91</v>
      </c>
      <c r="U41" s="99" t="s">
        <v>881</v>
      </c>
      <c r="V41" s="99" t="s">
        <v>897</v>
      </c>
      <c r="W41" s="99"/>
      <c r="X41" s="99"/>
      <c r="Y41" s="99"/>
      <c r="Z41" s="99"/>
      <c r="AA41" s="99">
        <v>23</v>
      </c>
      <c r="AB41" s="99"/>
      <c r="AC41" s="197">
        <f t="shared" ref="AC41:AC72" si="9">SUM(W41:AB41)</f>
        <v>23</v>
      </c>
      <c r="AD41" s="99">
        <v>23</v>
      </c>
      <c r="AE41" s="99"/>
      <c r="AF41" s="99"/>
      <c r="AG41" s="99">
        <f t="shared" ref="AG41:AG72" si="10">SUM(AD41:AF41)</f>
        <v>23</v>
      </c>
      <c r="AH41" s="99"/>
      <c r="AI41" s="99">
        <v>23</v>
      </c>
      <c r="AJ41" s="99"/>
      <c r="AK41" s="99"/>
      <c r="AL41" s="99"/>
      <c r="AM41" s="99">
        <f t="shared" si="6"/>
        <v>23</v>
      </c>
      <c r="AN41" s="99" t="s">
        <v>883</v>
      </c>
      <c r="AO41" s="99">
        <v>3</v>
      </c>
      <c r="AP41" s="99"/>
    </row>
    <row r="42" spans="1:42" ht="39" customHeight="1" x14ac:dyDescent="0.25">
      <c r="A42" s="99">
        <v>1668</v>
      </c>
      <c r="B42" s="197" t="s">
        <v>1563</v>
      </c>
      <c r="C42" s="239">
        <v>103307000</v>
      </c>
      <c r="D42" s="99">
        <v>1511224248</v>
      </c>
      <c r="E42" s="99"/>
      <c r="F42" s="197" t="str">
        <f>VLOOKUP(D42,'rà soát ĐK'!B35:C485,2,0)</f>
        <v>PB04090032546</v>
      </c>
      <c r="G42" s="99" t="s">
        <v>2273</v>
      </c>
      <c r="H42" s="99" t="str">
        <f>VLOOKUP(C42,'[1]Bến Cát'!$E$4:$F$177,2,0)</f>
        <v>11.195199682150925, 106.61367846998095</v>
      </c>
      <c r="I42" s="239">
        <v>1.11951996821509E+16</v>
      </c>
      <c r="J42" s="239">
        <v>1.0661367846998E+16</v>
      </c>
      <c r="K42" s="197" t="s">
        <v>1564</v>
      </c>
      <c r="L42" s="197" t="s">
        <v>878</v>
      </c>
      <c r="M42" s="197" t="s">
        <v>1566</v>
      </c>
      <c r="N42" s="99" t="s">
        <v>880</v>
      </c>
      <c r="O42" s="99"/>
      <c r="P42" s="99">
        <v>640</v>
      </c>
      <c r="Q42" s="99">
        <f t="shared" si="8"/>
        <v>640</v>
      </c>
      <c r="R42" s="99" t="s">
        <v>90</v>
      </c>
      <c r="S42" s="99" t="s">
        <v>91</v>
      </c>
      <c r="T42" s="99" t="s">
        <v>91</v>
      </c>
      <c r="U42" s="99" t="s">
        <v>881</v>
      </c>
      <c r="V42" s="99" t="s">
        <v>882</v>
      </c>
      <c r="W42" s="99"/>
      <c r="X42" s="99"/>
      <c r="Y42" s="99"/>
      <c r="Z42" s="99"/>
      <c r="AA42" s="99">
        <v>16</v>
      </c>
      <c r="AB42" s="99"/>
      <c r="AC42" s="197">
        <f t="shared" si="9"/>
        <v>16</v>
      </c>
      <c r="AD42" s="99">
        <v>16</v>
      </c>
      <c r="AE42" s="99"/>
      <c r="AF42" s="99"/>
      <c r="AG42" s="99">
        <f t="shared" si="10"/>
        <v>16</v>
      </c>
      <c r="AH42" s="99"/>
      <c r="AI42" s="99">
        <v>16</v>
      </c>
      <c r="AJ42" s="99"/>
      <c r="AK42" s="99"/>
      <c r="AL42" s="99"/>
      <c r="AM42" s="99">
        <f t="shared" si="6"/>
        <v>16</v>
      </c>
      <c r="AN42" s="99" t="s">
        <v>883</v>
      </c>
      <c r="AO42" s="99">
        <v>3</v>
      </c>
      <c r="AP42" s="99"/>
    </row>
    <row r="43" spans="1:42" ht="39" customHeight="1" x14ac:dyDescent="0.25">
      <c r="A43" s="99">
        <v>1669</v>
      </c>
      <c r="B43" s="197" t="s">
        <v>1213</v>
      </c>
      <c r="C43" s="239">
        <v>100954000</v>
      </c>
      <c r="D43" s="99">
        <v>221100336723</v>
      </c>
      <c r="E43" s="99"/>
      <c r="F43" s="197" t="str">
        <f>VLOOKUP(D43,'rà soát ĐK'!B36:C486,2,0)</f>
        <v>PB04090029034</v>
      </c>
      <c r="G43" s="99" t="s">
        <v>2117</v>
      </c>
      <c r="H43" s="99" t="str">
        <f>VLOOKUP(C43,'[1]Bến Cát'!$E$4:$F$177,2,0)</f>
        <v>11.19831480442755, 106.60706285371407</v>
      </c>
      <c r="I43" s="239">
        <v>1119831480442750</v>
      </c>
      <c r="J43" s="239">
        <v>1.06607062853714E+16</v>
      </c>
      <c r="K43" s="197" t="s">
        <v>1214</v>
      </c>
      <c r="L43" s="197" t="s">
        <v>878</v>
      </c>
      <c r="M43" s="197" t="s">
        <v>1216</v>
      </c>
      <c r="N43" s="99" t="s">
        <v>1217</v>
      </c>
      <c r="O43" s="99"/>
      <c r="P43" s="99">
        <v>960</v>
      </c>
      <c r="Q43" s="99">
        <f t="shared" si="8"/>
        <v>960</v>
      </c>
      <c r="R43" s="99" t="s">
        <v>91</v>
      </c>
      <c r="S43" s="99" t="s">
        <v>90</v>
      </c>
      <c r="T43" s="99" t="s">
        <v>91</v>
      </c>
      <c r="U43" s="99" t="s">
        <v>881</v>
      </c>
      <c r="V43" s="99" t="s">
        <v>897</v>
      </c>
      <c r="W43" s="99"/>
      <c r="X43" s="99"/>
      <c r="Y43" s="99"/>
      <c r="Z43" s="99"/>
      <c r="AA43" s="99">
        <v>19</v>
      </c>
      <c r="AB43" s="99"/>
      <c r="AC43" s="197">
        <f t="shared" si="9"/>
        <v>19</v>
      </c>
      <c r="AD43" s="99">
        <v>19</v>
      </c>
      <c r="AE43" s="99"/>
      <c r="AF43" s="99"/>
      <c r="AG43" s="99">
        <f t="shared" si="10"/>
        <v>19</v>
      </c>
      <c r="AH43" s="99"/>
      <c r="AI43" s="99">
        <v>19</v>
      </c>
      <c r="AJ43" s="99"/>
      <c r="AK43" s="99"/>
      <c r="AL43" s="99"/>
      <c r="AM43" s="99">
        <f t="shared" si="6"/>
        <v>19</v>
      </c>
      <c r="AN43" s="99" t="s">
        <v>883</v>
      </c>
      <c r="AO43" s="99">
        <v>2</v>
      </c>
      <c r="AP43" s="99" t="s">
        <v>1218</v>
      </c>
    </row>
    <row r="44" spans="1:42" ht="39" customHeight="1" x14ac:dyDescent="0.25">
      <c r="A44" s="99">
        <v>1672</v>
      </c>
      <c r="B44" s="197" t="s">
        <v>1575</v>
      </c>
      <c r="C44" s="239">
        <v>103308000</v>
      </c>
      <c r="D44" s="99">
        <v>2321001395</v>
      </c>
      <c r="E44" s="99"/>
      <c r="F44" s="197" t="str">
        <f>VLOOKUP(D44,'rà soát ĐK'!B37:C487,2,0)</f>
        <v>PB04090014587</v>
      </c>
      <c r="G44" s="99" t="s">
        <v>2328</v>
      </c>
      <c r="H44" s="99" t="str">
        <f>VLOOKUP(C44,'[1]Bến Cát'!$E$4:$F$177,2,0)</f>
        <v>11.198801286908605, 106.61761739931572</v>
      </c>
      <c r="I44" s="239">
        <v>1.11988012869086E+16</v>
      </c>
      <c r="J44" s="239">
        <v>1.06617617399315E+16</v>
      </c>
      <c r="K44" s="197" t="s">
        <v>1576</v>
      </c>
      <c r="L44" s="197" t="s">
        <v>878</v>
      </c>
      <c r="M44" s="197" t="s">
        <v>1578</v>
      </c>
      <c r="N44" s="99" t="s">
        <v>880</v>
      </c>
      <c r="O44" s="99"/>
      <c r="P44" s="99">
        <v>240</v>
      </c>
      <c r="Q44" s="99">
        <f t="shared" si="8"/>
        <v>240</v>
      </c>
      <c r="R44" s="99" t="s">
        <v>90</v>
      </c>
      <c r="S44" s="99" t="s">
        <v>91</v>
      </c>
      <c r="T44" s="99" t="s">
        <v>91</v>
      </c>
      <c r="U44" s="99" t="s">
        <v>881</v>
      </c>
      <c r="V44" s="99" t="s">
        <v>897</v>
      </c>
      <c r="W44" s="99"/>
      <c r="X44" s="99"/>
      <c r="Y44" s="99"/>
      <c r="Z44" s="99"/>
      <c r="AA44" s="99">
        <v>3</v>
      </c>
      <c r="AB44" s="99"/>
      <c r="AC44" s="197">
        <f t="shared" si="9"/>
        <v>3</v>
      </c>
      <c r="AD44" s="99">
        <v>3</v>
      </c>
      <c r="AE44" s="99"/>
      <c r="AF44" s="99"/>
      <c r="AG44" s="99">
        <f t="shared" si="10"/>
        <v>3</v>
      </c>
      <c r="AH44" s="99"/>
      <c r="AI44" s="99">
        <v>3</v>
      </c>
      <c r="AJ44" s="99"/>
      <c r="AK44" s="99"/>
      <c r="AL44" s="99"/>
      <c r="AM44" s="99">
        <f t="shared" si="6"/>
        <v>3</v>
      </c>
      <c r="AN44" s="99" t="s">
        <v>883</v>
      </c>
      <c r="AO44" s="99">
        <v>2</v>
      </c>
      <c r="AP44" s="99"/>
    </row>
    <row r="45" spans="1:42" ht="39" customHeight="1" x14ac:dyDescent="0.25">
      <c r="A45" s="99">
        <v>1673</v>
      </c>
      <c r="B45" s="197" t="s">
        <v>1239</v>
      </c>
      <c r="C45" s="239">
        <v>100955000</v>
      </c>
      <c r="D45" s="99">
        <v>21000592</v>
      </c>
      <c r="E45" s="99"/>
      <c r="F45" s="197" t="str">
        <f>VLOOKUP(D45,'rà soát ĐK'!B38:C488,2,0)</f>
        <v>PB04090016715</v>
      </c>
      <c r="G45" s="99" t="s">
        <v>2306</v>
      </c>
      <c r="H45" s="99" t="str">
        <f>VLOOKUP(C45,'[1]Bến Cát'!$E$4:$F$177,2,0)</f>
        <v>11.199729374032994, 106.61044211233386</v>
      </c>
      <c r="I45" s="239">
        <v>1.11997293740329E+16</v>
      </c>
      <c r="J45" s="239">
        <v>1.06610442112333E+16</v>
      </c>
      <c r="K45" s="197" t="s">
        <v>1240</v>
      </c>
      <c r="L45" s="197" t="s">
        <v>878</v>
      </c>
      <c r="M45" s="197" t="s">
        <v>1242</v>
      </c>
      <c r="N45" s="99" t="s">
        <v>911</v>
      </c>
      <c r="O45" s="99"/>
      <c r="P45" s="99">
        <v>1080</v>
      </c>
      <c r="Q45" s="99">
        <f t="shared" si="8"/>
        <v>1080</v>
      </c>
      <c r="R45" s="99" t="s">
        <v>91</v>
      </c>
      <c r="S45" s="99" t="s">
        <v>90</v>
      </c>
      <c r="T45" s="99" t="s">
        <v>91</v>
      </c>
      <c r="U45" s="99" t="s">
        <v>881</v>
      </c>
      <c r="V45" s="99" t="s">
        <v>882</v>
      </c>
      <c r="W45" s="99"/>
      <c r="X45" s="99"/>
      <c r="Y45" s="99">
        <v>18</v>
      </c>
      <c r="Z45" s="99"/>
      <c r="AA45" s="99"/>
      <c r="AB45" s="99"/>
      <c r="AC45" s="197">
        <f t="shared" si="9"/>
        <v>18</v>
      </c>
      <c r="AD45" s="99">
        <v>18</v>
      </c>
      <c r="AE45" s="99"/>
      <c r="AF45" s="99"/>
      <c r="AG45" s="99">
        <f t="shared" si="10"/>
        <v>18</v>
      </c>
      <c r="AH45" s="99"/>
      <c r="AI45" s="99">
        <v>18</v>
      </c>
      <c r="AJ45" s="99"/>
      <c r="AK45" s="99"/>
      <c r="AL45" s="99"/>
      <c r="AM45" s="99">
        <f t="shared" si="6"/>
        <v>18</v>
      </c>
      <c r="AN45" s="99" t="s">
        <v>883</v>
      </c>
      <c r="AO45" s="99">
        <v>3</v>
      </c>
      <c r="AP45" s="99"/>
    </row>
    <row r="46" spans="1:42" ht="39" customHeight="1" x14ac:dyDescent="0.25">
      <c r="A46" s="99">
        <v>1674</v>
      </c>
      <c r="B46" s="197" t="s">
        <v>1264</v>
      </c>
      <c r="C46" s="239">
        <v>100958000</v>
      </c>
      <c r="D46" s="99">
        <v>221100045463</v>
      </c>
      <c r="E46" s="99"/>
      <c r="F46" s="197" t="str">
        <f>VLOOKUP(D46,'rà soát ĐK'!B39:C489,2,0)</f>
        <v>PB04090023115</v>
      </c>
      <c r="G46" s="99" t="s">
        <v>2301</v>
      </c>
      <c r="H46" s="99" t="str">
        <f>VLOOKUP(C46,'[1]Bến Cát'!$E$4:$F$177,2,0)</f>
        <v>11.198095785377737, 106.6163873572497</v>
      </c>
      <c r="I46" s="239">
        <v>1.11980957853777E+16</v>
      </c>
      <c r="J46" s="239">
        <v>1066163873572490</v>
      </c>
      <c r="K46" s="197" t="s">
        <v>1265</v>
      </c>
      <c r="L46" s="197" t="s">
        <v>878</v>
      </c>
      <c r="M46" s="197" t="s">
        <v>1267</v>
      </c>
      <c r="N46" s="99" t="s">
        <v>880</v>
      </c>
      <c r="O46" s="99"/>
      <c r="P46" s="99">
        <v>300</v>
      </c>
      <c r="Q46" s="99">
        <f t="shared" si="8"/>
        <v>300</v>
      </c>
      <c r="R46" s="99" t="s">
        <v>91</v>
      </c>
      <c r="S46" s="99" t="s">
        <v>90</v>
      </c>
      <c r="T46" s="99" t="s">
        <v>91</v>
      </c>
      <c r="U46" s="99" t="s">
        <v>881</v>
      </c>
      <c r="V46" s="99" t="s">
        <v>897</v>
      </c>
      <c r="W46" s="99"/>
      <c r="X46" s="99"/>
      <c r="Y46" s="99">
        <v>6</v>
      </c>
      <c r="Z46" s="99"/>
      <c r="AA46" s="99"/>
      <c r="AB46" s="99"/>
      <c r="AC46" s="197">
        <f t="shared" si="9"/>
        <v>6</v>
      </c>
      <c r="AD46" s="99">
        <v>6</v>
      </c>
      <c r="AE46" s="99"/>
      <c r="AF46" s="99"/>
      <c r="AG46" s="99">
        <f t="shared" si="10"/>
        <v>6</v>
      </c>
      <c r="AH46" s="99"/>
      <c r="AI46" s="99">
        <v>6</v>
      </c>
      <c r="AJ46" s="99"/>
      <c r="AK46" s="99"/>
      <c r="AL46" s="99"/>
      <c r="AM46" s="99">
        <f t="shared" si="6"/>
        <v>6</v>
      </c>
      <c r="AN46" s="99" t="s">
        <v>883</v>
      </c>
      <c r="AO46" s="99">
        <v>3</v>
      </c>
      <c r="AP46" s="99"/>
    </row>
    <row r="47" spans="1:42" ht="39" customHeight="1" x14ac:dyDescent="0.25">
      <c r="A47" s="99">
        <v>1675</v>
      </c>
      <c r="B47" s="197" t="s">
        <v>1330</v>
      </c>
      <c r="C47" s="239">
        <v>103288000</v>
      </c>
      <c r="D47" s="99">
        <v>21004891</v>
      </c>
      <c r="E47" s="99"/>
      <c r="F47" s="197" t="str">
        <f>VLOOKUP(D47,'rà soát ĐK'!B40:C490,2,0)</f>
        <v>PB04090024889</v>
      </c>
      <c r="G47" s="99" t="s">
        <v>2303</v>
      </c>
      <c r="H47" s="99" t="str">
        <f>VLOOKUP(C47,'[1]Bến Cát'!$E$4:$F$177,2,0)</f>
        <v>11.199089579856205, 106.61563797238186</v>
      </c>
      <c r="I47" s="239">
        <v>1.11990895798562E+16</v>
      </c>
      <c r="J47" s="239">
        <v>1.06615637972381E+16</v>
      </c>
      <c r="K47" s="197" t="s">
        <v>1331</v>
      </c>
      <c r="L47" s="197" t="s">
        <v>878</v>
      </c>
      <c r="M47" s="197" t="s">
        <v>1333</v>
      </c>
      <c r="N47" s="99" t="s">
        <v>891</v>
      </c>
      <c r="O47" s="99"/>
      <c r="P47" s="99">
        <v>360</v>
      </c>
      <c r="Q47" s="99">
        <f t="shared" si="8"/>
        <v>360</v>
      </c>
      <c r="R47" s="99" t="s">
        <v>91</v>
      </c>
      <c r="S47" s="99" t="s">
        <v>90</v>
      </c>
      <c r="T47" s="99" t="s">
        <v>91</v>
      </c>
      <c r="U47" s="99" t="s">
        <v>881</v>
      </c>
      <c r="V47" s="99" t="s">
        <v>882</v>
      </c>
      <c r="W47" s="99"/>
      <c r="X47" s="99"/>
      <c r="Y47" s="99">
        <v>9</v>
      </c>
      <c r="Z47" s="99"/>
      <c r="AA47" s="99"/>
      <c r="AB47" s="99"/>
      <c r="AC47" s="197">
        <f t="shared" si="9"/>
        <v>9</v>
      </c>
      <c r="AD47" s="99">
        <v>9</v>
      </c>
      <c r="AE47" s="99"/>
      <c r="AF47" s="99"/>
      <c r="AG47" s="99">
        <f t="shared" si="10"/>
        <v>9</v>
      </c>
      <c r="AH47" s="99"/>
      <c r="AI47" s="99">
        <v>9</v>
      </c>
      <c r="AJ47" s="99"/>
      <c r="AK47" s="99"/>
      <c r="AL47" s="99"/>
      <c r="AM47" s="99">
        <f t="shared" si="6"/>
        <v>9</v>
      </c>
      <c r="AN47" s="99" t="s">
        <v>883</v>
      </c>
      <c r="AO47" s="99">
        <v>3</v>
      </c>
      <c r="AP47" s="99"/>
    </row>
    <row r="48" spans="1:42" ht="39" customHeight="1" x14ac:dyDescent="0.25">
      <c r="A48" s="99">
        <v>1676</v>
      </c>
      <c r="B48" s="197" t="s">
        <v>1345</v>
      </c>
      <c r="C48" s="239"/>
      <c r="D48" s="99"/>
      <c r="E48" s="99"/>
      <c r="F48" s="197"/>
      <c r="G48" s="99"/>
      <c r="H48" s="99"/>
      <c r="I48" s="197"/>
      <c r="J48" s="197"/>
      <c r="K48" s="197" t="s">
        <v>1346</v>
      </c>
      <c r="L48" s="197" t="s">
        <v>878</v>
      </c>
      <c r="M48" s="197" t="s">
        <v>1242</v>
      </c>
      <c r="N48" s="99"/>
      <c r="O48" s="99"/>
      <c r="P48" s="99"/>
      <c r="Q48" s="99"/>
      <c r="R48" s="99" t="s">
        <v>91</v>
      </c>
      <c r="S48" s="99" t="s">
        <v>90</v>
      </c>
      <c r="T48" s="99" t="s">
        <v>91</v>
      </c>
      <c r="U48" s="99" t="s">
        <v>881</v>
      </c>
      <c r="V48" s="99" t="s">
        <v>882</v>
      </c>
      <c r="W48" s="99"/>
      <c r="X48" s="99"/>
      <c r="Y48" s="99"/>
      <c r="Z48" s="99"/>
      <c r="AA48" s="99"/>
      <c r="AB48" s="99"/>
      <c r="AC48" s="197">
        <f t="shared" si="9"/>
        <v>0</v>
      </c>
      <c r="AD48" s="99"/>
      <c r="AE48" s="99"/>
      <c r="AF48" s="99"/>
      <c r="AG48" s="99">
        <f t="shared" si="10"/>
        <v>0</v>
      </c>
      <c r="AH48" s="99"/>
      <c r="AI48" s="99"/>
      <c r="AJ48" s="99"/>
      <c r="AK48" s="99"/>
      <c r="AL48" s="99"/>
      <c r="AM48" s="99">
        <f t="shared" si="6"/>
        <v>0</v>
      </c>
      <c r="AN48" s="99"/>
      <c r="AO48" s="99"/>
      <c r="AP48" s="99" t="s">
        <v>1630</v>
      </c>
    </row>
    <row r="49" spans="1:42" ht="39" customHeight="1" x14ac:dyDescent="0.25">
      <c r="A49" s="99">
        <v>1677</v>
      </c>
      <c r="B49" s="197" t="s">
        <v>1338</v>
      </c>
      <c r="C49" s="239">
        <v>103289000</v>
      </c>
      <c r="D49" s="99">
        <v>21085726</v>
      </c>
      <c r="E49" s="99"/>
      <c r="F49" s="197" t="str">
        <f>VLOOKUP(D49,'rà soát ĐK'!B42:C492,2,0)</f>
        <v>PB04090024876</v>
      </c>
      <c r="G49" s="99" t="s">
        <v>2298</v>
      </c>
      <c r="H49" s="99" t="str">
        <f>VLOOKUP(C49,'[1]Bến Cát'!$E$4:$F$177,2,0)</f>
        <v>11.199635584744222, 106.61481817717878</v>
      </c>
      <c r="I49" s="239">
        <v>1.11996355847442E+16</v>
      </c>
      <c r="J49" s="239">
        <v>1.06614818177178E+16</v>
      </c>
      <c r="K49" s="197" t="s">
        <v>1339</v>
      </c>
      <c r="L49" s="197" t="s">
        <v>878</v>
      </c>
      <c r="M49" s="197" t="s">
        <v>1341</v>
      </c>
      <c r="N49" s="99" t="s">
        <v>891</v>
      </c>
      <c r="O49" s="99"/>
      <c r="P49" s="99">
        <v>280</v>
      </c>
      <c r="Q49" s="99">
        <f t="shared" ref="Q49:Q112" si="11">SUM(O49:P49)</f>
        <v>280</v>
      </c>
      <c r="R49" s="99" t="s">
        <v>91</v>
      </c>
      <c r="S49" s="99" t="s">
        <v>90</v>
      </c>
      <c r="T49" s="99" t="s">
        <v>91</v>
      </c>
      <c r="U49" s="99" t="s">
        <v>881</v>
      </c>
      <c r="V49" s="99" t="s">
        <v>882</v>
      </c>
      <c r="W49" s="99"/>
      <c r="X49" s="99"/>
      <c r="Y49" s="99">
        <v>8</v>
      </c>
      <c r="Z49" s="99"/>
      <c r="AA49" s="99"/>
      <c r="AB49" s="99"/>
      <c r="AC49" s="197">
        <f t="shared" si="9"/>
        <v>8</v>
      </c>
      <c r="AD49" s="99">
        <v>8</v>
      </c>
      <c r="AE49" s="99"/>
      <c r="AF49" s="99"/>
      <c r="AG49" s="99">
        <f t="shared" si="10"/>
        <v>8</v>
      </c>
      <c r="AH49" s="99"/>
      <c r="AI49" s="99">
        <v>8</v>
      </c>
      <c r="AJ49" s="99"/>
      <c r="AK49" s="99"/>
      <c r="AL49" s="99"/>
      <c r="AM49" s="99">
        <f t="shared" si="6"/>
        <v>8</v>
      </c>
      <c r="AN49" s="99" t="s">
        <v>883</v>
      </c>
      <c r="AO49" s="99">
        <v>3</v>
      </c>
      <c r="AP49" s="99"/>
    </row>
    <row r="50" spans="1:42" ht="39" customHeight="1" x14ac:dyDescent="0.25">
      <c r="A50" s="99">
        <v>1678</v>
      </c>
      <c r="B50" s="197" t="s">
        <v>1243</v>
      </c>
      <c r="C50" s="239">
        <v>100956000</v>
      </c>
      <c r="D50" s="99">
        <v>21082032</v>
      </c>
      <c r="E50" s="99"/>
      <c r="F50" s="197" t="str">
        <f>VLOOKUP(D50,'rà soát ĐK'!B43:C493,2,0)</f>
        <v>PB04090024881</v>
      </c>
      <c r="G50" s="99" t="s">
        <v>2310</v>
      </c>
      <c r="H50" s="99" t="str">
        <f>VLOOKUP(C50,'[1]Bến Cát'!$E$4:$F$177,2,0)</f>
        <v>11.202428106513945, 106.61125359504113</v>
      </c>
      <c r="I50" s="239">
        <v>1.12024281065139E+16</v>
      </c>
      <c r="J50" s="239">
        <v>1.06611253595041E+16</v>
      </c>
      <c r="K50" s="197" t="s">
        <v>1244</v>
      </c>
      <c r="L50" s="197" t="s">
        <v>878</v>
      </c>
      <c r="M50" s="197" t="s">
        <v>1246</v>
      </c>
      <c r="N50" s="99" t="s">
        <v>911</v>
      </c>
      <c r="O50" s="99"/>
      <c r="P50" s="99">
        <v>690</v>
      </c>
      <c r="Q50" s="99">
        <f t="shared" si="11"/>
        <v>690</v>
      </c>
      <c r="R50" s="99" t="s">
        <v>91</v>
      </c>
      <c r="S50" s="99" t="s">
        <v>90</v>
      </c>
      <c r="T50" s="99" t="s">
        <v>91</v>
      </c>
      <c r="U50" s="99" t="s">
        <v>881</v>
      </c>
      <c r="V50" s="99" t="s">
        <v>882</v>
      </c>
      <c r="W50" s="99"/>
      <c r="X50" s="99"/>
      <c r="Y50" s="99">
        <v>20</v>
      </c>
      <c r="Z50" s="99"/>
      <c r="AA50" s="99"/>
      <c r="AB50" s="99"/>
      <c r="AC50" s="197">
        <f t="shared" si="9"/>
        <v>20</v>
      </c>
      <c r="AD50" s="99">
        <v>20</v>
      </c>
      <c r="AE50" s="99"/>
      <c r="AF50" s="99"/>
      <c r="AG50" s="99">
        <f t="shared" si="10"/>
        <v>20</v>
      </c>
      <c r="AH50" s="99"/>
      <c r="AI50" s="99">
        <v>20</v>
      </c>
      <c r="AJ50" s="99"/>
      <c r="AK50" s="99"/>
      <c r="AL50" s="99"/>
      <c r="AM50" s="99">
        <f t="shared" si="6"/>
        <v>20</v>
      </c>
      <c r="AN50" s="99" t="s">
        <v>883</v>
      </c>
      <c r="AO50" s="99">
        <v>3</v>
      </c>
      <c r="AP50" s="99"/>
    </row>
    <row r="51" spans="1:42" ht="39" customHeight="1" x14ac:dyDescent="0.25">
      <c r="A51" s="99">
        <v>1681</v>
      </c>
      <c r="B51" s="197" t="s">
        <v>1584</v>
      </c>
      <c r="C51" s="239">
        <v>103309000</v>
      </c>
      <c r="D51" s="99">
        <v>2321001411</v>
      </c>
      <c r="E51" s="99"/>
      <c r="F51" s="197" t="str">
        <f>VLOOKUP(D51,'rà soát ĐK'!B44:C494,2,0)</f>
        <v>PB04090014585</v>
      </c>
      <c r="G51" s="99" t="s">
        <v>2330</v>
      </c>
      <c r="H51" s="99" t="str">
        <f>VLOOKUP(C51,'[1]Bến Cát'!$E$4:$F$177,2,0)</f>
        <v>11.201478680198349, 106.6203866380604</v>
      </c>
      <c r="I51" s="239">
        <v>1.12014786801983E+16</v>
      </c>
      <c r="J51" s="239">
        <v>1066203866380600</v>
      </c>
      <c r="K51" s="197" t="s">
        <v>1585</v>
      </c>
      <c r="L51" s="197" t="s">
        <v>878</v>
      </c>
      <c r="M51" s="197" t="s">
        <v>1587</v>
      </c>
      <c r="N51" s="99" t="s">
        <v>880</v>
      </c>
      <c r="O51" s="99"/>
      <c r="P51" s="99">
        <v>400</v>
      </c>
      <c r="Q51" s="99">
        <f t="shared" si="11"/>
        <v>400</v>
      </c>
      <c r="R51" s="99" t="s">
        <v>91</v>
      </c>
      <c r="S51" s="99" t="s">
        <v>90</v>
      </c>
      <c r="T51" s="99" t="s">
        <v>91</v>
      </c>
      <c r="U51" s="99" t="s">
        <v>881</v>
      </c>
      <c r="V51" s="99" t="s">
        <v>897</v>
      </c>
      <c r="W51" s="99"/>
      <c r="X51" s="99"/>
      <c r="Y51" s="99">
        <v>11</v>
      </c>
      <c r="Z51" s="99"/>
      <c r="AA51" s="99"/>
      <c r="AB51" s="99"/>
      <c r="AC51" s="197">
        <f t="shared" si="9"/>
        <v>11</v>
      </c>
      <c r="AD51" s="99">
        <v>11</v>
      </c>
      <c r="AE51" s="99"/>
      <c r="AF51" s="99"/>
      <c r="AG51" s="99">
        <f t="shared" si="10"/>
        <v>11</v>
      </c>
      <c r="AH51" s="99"/>
      <c r="AI51" s="99">
        <v>11</v>
      </c>
      <c r="AJ51" s="99"/>
      <c r="AK51" s="99"/>
      <c r="AL51" s="99"/>
      <c r="AM51" s="99">
        <f t="shared" si="6"/>
        <v>11</v>
      </c>
      <c r="AN51" s="99" t="s">
        <v>883</v>
      </c>
      <c r="AO51" s="99">
        <v>2</v>
      </c>
      <c r="AP51" s="99"/>
    </row>
    <row r="52" spans="1:42" ht="39" customHeight="1" x14ac:dyDescent="0.25">
      <c r="A52" s="99">
        <v>1682</v>
      </c>
      <c r="B52" s="197" t="s">
        <v>1247</v>
      </c>
      <c r="C52" s="239">
        <v>100957000</v>
      </c>
      <c r="D52" s="99">
        <v>21110509</v>
      </c>
      <c r="E52" s="99"/>
      <c r="F52" s="197" t="str">
        <f>VLOOKUP(D52,'rà soát ĐK'!B45:C495,2,0)</f>
        <v>PB04090024898</v>
      </c>
      <c r="G52" s="99" t="s">
        <v>2296</v>
      </c>
      <c r="H52" s="99" t="str">
        <f>VLOOKUP(C52,'[1]Bến Cát'!$E$4:$F$177,2,0)</f>
        <v>11.20381570430534, 106.61671671364954</v>
      </c>
      <c r="I52" s="239">
        <v>1120381570430530</v>
      </c>
      <c r="J52" s="239">
        <v>1.06616716713649E+16</v>
      </c>
      <c r="K52" s="197" t="s">
        <v>1248</v>
      </c>
      <c r="L52" s="197" t="s">
        <v>878</v>
      </c>
      <c r="M52" s="197" t="s">
        <v>1250</v>
      </c>
      <c r="N52" s="99" t="s">
        <v>891</v>
      </c>
      <c r="O52" s="99"/>
      <c r="P52" s="99">
        <v>600</v>
      </c>
      <c r="Q52" s="99">
        <f t="shared" si="11"/>
        <v>600</v>
      </c>
      <c r="R52" s="99" t="s">
        <v>91</v>
      </c>
      <c r="S52" s="99" t="s">
        <v>90</v>
      </c>
      <c r="T52" s="99" t="s">
        <v>91</v>
      </c>
      <c r="U52" s="99" t="s">
        <v>881</v>
      </c>
      <c r="V52" s="99" t="s">
        <v>897</v>
      </c>
      <c r="W52" s="99"/>
      <c r="X52" s="99"/>
      <c r="Y52" s="99">
        <v>15</v>
      </c>
      <c r="Z52" s="99"/>
      <c r="AA52" s="99"/>
      <c r="AB52" s="99"/>
      <c r="AC52" s="197">
        <f t="shared" si="9"/>
        <v>15</v>
      </c>
      <c r="AD52" s="99">
        <v>14</v>
      </c>
      <c r="AE52" s="99"/>
      <c r="AF52" s="99"/>
      <c r="AG52" s="99">
        <f t="shared" si="10"/>
        <v>14</v>
      </c>
      <c r="AH52" s="99"/>
      <c r="AI52" s="99">
        <v>15</v>
      </c>
      <c r="AJ52" s="99"/>
      <c r="AK52" s="99"/>
      <c r="AL52" s="99"/>
      <c r="AM52" s="99">
        <f t="shared" si="6"/>
        <v>15</v>
      </c>
      <c r="AN52" s="99" t="s">
        <v>883</v>
      </c>
      <c r="AO52" s="99">
        <v>3</v>
      </c>
      <c r="AP52" s="99"/>
    </row>
    <row r="53" spans="1:42" ht="39" customHeight="1" x14ac:dyDescent="0.25">
      <c r="A53" s="99">
        <v>1683</v>
      </c>
      <c r="B53" s="197" t="s">
        <v>1272</v>
      </c>
      <c r="C53" s="239">
        <v>100959000</v>
      </c>
      <c r="D53" s="99">
        <v>221100363223</v>
      </c>
      <c r="E53" s="99"/>
      <c r="F53" s="197" t="str">
        <f>VLOOKUP(D53,'rà soát ĐK'!B46:C496,2,0)</f>
        <v>PB04090029040</v>
      </c>
      <c r="G53" s="99" t="s">
        <v>2289</v>
      </c>
      <c r="H53" s="99" t="str">
        <f>VLOOKUP(C53,'[1]Bến Cát'!$E$4:$F$177,2,0)</f>
        <v>11.211118987729726, 106.63329161786073</v>
      </c>
      <c r="I53" s="239">
        <v>1.12111189877297E+16</v>
      </c>
      <c r="J53" s="239">
        <v>1.0663329161786E+16</v>
      </c>
      <c r="K53" s="197" t="s">
        <v>1273</v>
      </c>
      <c r="L53" s="197" t="s">
        <v>878</v>
      </c>
      <c r="M53" s="197" t="s">
        <v>1275</v>
      </c>
      <c r="N53" s="99" t="s">
        <v>891</v>
      </c>
      <c r="O53" s="99"/>
      <c r="P53" s="99">
        <v>840</v>
      </c>
      <c r="Q53" s="99">
        <f t="shared" si="11"/>
        <v>840</v>
      </c>
      <c r="R53" s="99" t="s">
        <v>90</v>
      </c>
      <c r="S53" s="99" t="s">
        <v>91</v>
      </c>
      <c r="T53" s="99" t="s">
        <v>91</v>
      </c>
      <c r="U53" s="99" t="s">
        <v>881</v>
      </c>
      <c r="V53" s="99" t="s">
        <v>897</v>
      </c>
      <c r="W53" s="99"/>
      <c r="X53" s="99"/>
      <c r="Y53" s="99"/>
      <c r="Z53" s="99"/>
      <c r="AA53" s="99">
        <v>22</v>
      </c>
      <c r="AB53" s="99"/>
      <c r="AC53" s="197">
        <f t="shared" si="9"/>
        <v>22</v>
      </c>
      <c r="AD53" s="99">
        <v>23</v>
      </c>
      <c r="AE53" s="99"/>
      <c r="AF53" s="99"/>
      <c r="AG53" s="99">
        <f t="shared" si="10"/>
        <v>23</v>
      </c>
      <c r="AH53" s="99"/>
      <c r="AI53" s="99">
        <v>23</v>
      </c>
      <c r="AJ53" s="99"/>
      <c r="AK53" s="99"/>
      <c r="AL53" s="99"/>
      <c r="AM53" s="99">
        <f t="shared" si="6"/>
        <v>23</v>
      </c>
      <c r="AN53" s="99" t="s">
        <v>883</v>
      </c>
      <c r="AO53" s="99">
        <v>3</v>
      </c>
      <c r="AP53" s="99"/>
    </row>
    <row r="54" spans="1:42" ht="39" customHeight="1" x14ac:dyDescent="0.25">
      <c r="A54" s="99">
        <v>1684</v>
      </c>
      <c r="B54" s="197" t="s">
        <v>1288</v>
      </c>
      <c r="C54" s="239">
        <v>100960000</v>
      </c>
      <c r="D54" s="99">
        <v>21089012</v>
      </c>
      <c r="E54" s="99"/>
      <c r="F54" s="197" t="str">
        <f>VLOOKUP(D54,'rà soát ĐK'!B47:C497,2,0)</f>
        <v>PB04090034462</v>
      </c>
      <c r="G54" s="99" t="s">
        <v>2292</v>
      </c>
      <c r="H54" s="99" t="str">
        <f>VLOOKUP(C54,'[1]Bến Cát'!$E$4:$F$177,2,0)</f>
        <v>11.21514822998833, 106.62525624259052</v>
      </c>
      <c r="I54" s="239">
        <v>1121514822998830</v>
      </c>
      <c r="J54" s="239">
        <v>1.0662525624259E+16</v>
      </c>
      <c r="K54" s="197" t="s">
        <v>1291</v>
      </c>
      <c r="L54" s="197" t="s">
        <v>878</v>
      </c>
      <c r="M54" s="197" t="s">
        <v>1292</v>
      </c>
      <c r="N54" s="99" t="s">
        <v>911</v>
      </c>
      <c r="O54" s="99"/>
      <c r="P54" s="99">
        <v>1200</v>
      </c>
      <c r="Q54" s="99">
        <f t="shared" si="11"/>
        <v>1200</v>
      </c>
      <c r="R54" s="99" t="s">
        <v>91</v>
      </c>
      <c r="S54" s="99" t="s">
        <v>90</v>
      </c>
      <c r="T54" s="99" t="s">
        <v>91</v>
      </c>
      <c r="U54" s="99" t="s">
        <v>881</v>
      </c>
      <c r="V54" s="99" t="s">
        <v>897</v>
      </c>
      <c r="W54" s="99"/>
      <c r="X54" s="99"/>
      <c r="Y54" s="99"/>
      <c r="Z54" s="99"/>
      <c r="AA54" s="99">
        <v>22</v>
      </c>
      <c r="AB54" s="99"/>
      <c r="AC54" s="197">
        <f t="shared" si="9"/>
        <v>22</v>
      </c>
      <c r="AD54" s="99">
        <v>22</v>
      </c>
      <c r="AE54" s="99"/>
      <c r="AF54" s="99"/>
      <c r="AG54" s="99">
        <f t="shared" si="10"/>
        <v>22</v>
      </c>
      <c r="AH54" s="99"/>
      <c r="AI54" s="99">
        <v>22</v>
      </c>
      <c r="AJ54" s="99"/>
      <c r="AK54" s="99"/>
      <c r="AL54" s="99"/>
      <c r="AM54" s="99">
        <f t="shared" si="6"/>
        <v>22</v>
      </c>
      <c r="AN54" s="99" t="s">
        <v>883</v>
      </c>
      <c r="AO54" s="99">
        <v>3</v>
      </c>
      <c r="AP54" s="99"/>
    </row>
    <row r="55" spans="1:42" ht="39" customHeight="1" x14ac:dyDescent="0.25">
      <c r="A55" s="99">
        <v>1684</v>
      </c>
      <c r="B55" s="197" t="s">
        <v>1302</v>
      </c>
      <c r="C55" s="239">
        <v>102708000</v>
      </c>
      <c r="D55" s="99">
        <v>21088677</v>
      </c>
      <c r="E55" s="99"/>
      <c r="F55" s="197" t="str">
        <f>VLOOKUP(D55,'rà soát ĐK'!B48:C498,2,0)</f>
        <v>PB04090034463</v>
      </c>
      <c r="G55" s="99" t="s">
        <v>2245</v>
      </c>
      <c r="H55" s="99" t="str">
        <f>VLOOKUP(C55,'[1]Bến Cát'!$E$4:$F$177,2,0)</f>
        <v>11.222841083965076, 106.62470507918331</v>
      </c>
      <c r="I55" s="239">
        <v>1.1222841083965E+16</v>
      </c>
      <c r="J55" s="239">
        <v>1.06624705079183E+16</v>
      </c>
      <c r="K55" s="197" t="s">
        <v>1291</v>
      </c>
      <c r="L55" s="197" t="s">
        <v>878</v>
      </c>
      <c r="M55" s="197" t="s">
        <v>1305</v>
      </c>
      <c r="N55" s="99" t="s">
        <v>891</v>
      </c>
      <c r="O55" s="99"/>
      <c r="P55" s="99">
        <v>300</v>
      </c>
      <c r="Q55" s="99">
        <f t="shared" si="11"/>
        <v>300</v>
      </c>
      <c r="R55" s="99" t="s">
        <v>90</v>
      </c>
      <c r="S55" s="99" t="s">
        <v>91</v>
      </c>
      <c r="T55" s="99" t="s">
        <v>91</v>
      </c>
      <c r="U55" s="99" t="s">
        <v>881</v>
      </c>
      <c r="V55" s="99" t="s">
        <v>897</v>
      </c>
      <c r="W55" s="99"/>
      <c r="X55" s="99"/>
      <c r="Y55" s="99"/>
      <c r="Z55" s="99"/>
      <c r="AA55" s="99">
        <v>5</v>
      </c>
      <c r="AB55" s="99"/>
      <c r="AC55" s="197">
        <f t="shared" si="9"/>
        <v>5</v>
      </c>
      <c r="AD55" s="99">
        <v>5</v>
      </c>
      <c r="AE55" s="99"/>
      <c r="AF55" s="99"/>
      <c r="AG55" s="99">
        <f t="shared" si="10"/>
        <v>5</v>
      </c>
      <c r="AH55" s="99"/>
      <c r="AI55" s="99">
        <v>5</v>
      </c>
      <c r="AJ55" s="99"/>
      <c r="AK55" s="99"/>
      <c r="AL55" s="99"/>
      <c r="AM55" s="99">
        <f t="shared" si="6"/>
        <v>5</v>
      </c>
      <c r="AN55" s="99" t="s">
        <v>883</v>
      </c>
      <c r="AO55" s="99">
        <v>3</v>
      </c>
      <c r="AP55" s="99"/>
    </row>
    <row r="56" spans="1:42" ht="39" customHeight="1" x14ac:dyDescent="0.25">
      <c r="A56" s="99">
        <v>1686</v>
      </c>
      <c r="B56" s="197" t="s">
        <v>1314</v>
      </c>
      <c r="C56" s="239">
        <v>102709000</v>
      </c>
      <c r="D56" s="99">
        <v>2011526392</v>
      </c>
      <c r="E56" s="99"/>
      <c r="F56" s="197" t="str">
        <f>VLOOKUP(D56,'rà soát ĐK'!B49:C499,2,0)</f>
        <v>PB04090029035</v>
      </c>
      <c r="G56" s="99" t="s">
        <v>2236</v>
      </c>
      <c r="H56" s="99" t="str">
        <f>VLOOKUP(C56,'[1]Bến Cát'!$E$4:$F$177,2,0)</f>
        <v>11.225416975317053, 106.62249173639752</v>
      </c>
      <c r="I56" s="239">
        <v>1.1225416975317E+16</v>
      </c>
      <c r="J56" s="239">
        <v>1.06622491736397E+16</v>
      </c>
      <c r="K56" s="197" t="s">
        <v>1315</v>
      </c>
      <c r="L56" s="197" t="s">
        <v>878</v>
      </c>
      <c r="M56" s="197" t="s">
        <v>1317</v>
      </c>
      <c r="N56" s="99" t="s">
        <v>891</v>
      </c>
      <c r="O56" s="99"/>
      <c r="P56" s="99">
        <v>680</v>
      </c>
      <c r="Q56" s="99">
        <f t="shared" si="11"/>
        <v>680</v>
      </c>
      <c r="R56" s="99" t="s">
        <v>91</v>
      </c>
      <c r="S56" s="99" t="s">
        <v>90</v>
      </c>
      <c r="T56" s="99" t="s">
        <v>91</v>
      </c>
      <c r="U56" s="99" t="s">
        <v>881</v>
      </c>
      <c r="V56" s="99" t="s">
        <v>897</v>
      </c>
      <c r="W56" s="99"/>
      <c r="X56" s="99"/>
      <c r="Y56" s="99"/>
      <c r="Z56" s="99"/>
      <c r="AA56" s="99">
        <v>18</v>
      </c>
      <c r="AB56" s="99"/>
      <c r="AC56" s="197">
        <f t="shared" si="9"/>
        <v>18</v>
      </c>
      <c r="AD56" s="99">
        <v>18</v>
      </c>
      <c r="AE56" s="99"/>
      <c r="AF56" s="99"/>
      <c r="AG56" s="99">
        <f t="shared" si="10"/>
        <v>18</v>
      </c>
      <c r="AH56" s="99"/>
      <c r="AI56" s="99">
        <v>18</v>
      </c>
      <c r="AJ56" s="99"/>
      <c r="AK56" s="99"/>
      <c r="AL56" s="99"/>
      <c r="AM56" s="99">
        <f t="shared" si="6"/>
        <v>18</v>
      </c>
      <c r="AN56" s="99" t="s">
        <v>883</v>
      </c>
      <c r="AO56" s="99">
        <v>2</v>
      </c>
      <c r="AP56" s="99"/>
    </row>
    <row r="57" spans="1:42" ht="39" customHeight="1" x14ac:dyDescent="0.25">
      <c r="A57" s="99">
        <v>1687</v>
      </c>
      <c r="B57" s="197" t="s">
        <v>1322</v>
      </c>
      <c r="C57" s="239">
        <v>102710000</v>
      </c>
      <c r="D57" s="99">
        <v>2011581182</v>
      </c>
      <c r="E57" s="99"/>
      <c r="F57" s="197" t="str">
        <f>VLOOKUP(D57,'rà soát ĐK'!B50:C500,2,0)</f>
        <v>PB04090032545</v>
      </c>
      <c r="G57" s="99" t="s">
        <v>2240</v>
      </c>
      <c r="H57" s="99" t="str">
        <f>VLOOKUP(C57,'[1]Bến Cát'!$E$4:$F$177,2,0)</f>
        <v>11.22390560107937, 106.62245550842843</v>
      </c>
      <c r="I57" s="239">
        <v>1122390560107930</v>
      </c>
      <c r="J57" s="239">
        <v>1.06622455508428E+16</v>
      </c>
      <c r="K57" s="197" t="s">
        <v>1323</v>
      </c>
      <c r="L57" s="197" t="s">
        <v>878</v>
      </c>
      <c r="M57" s="197" t="s">
        <v>1325</v>
      </c>
      <c r="N57" s="99" t="s">
        <v>891</v>
      </c>
      <c r="O57" s="99"/>
      <c r="P57" s="99">
        <v>840</v>
      </c>
      <c r="Q57" s="99">
        <f t="shared" si="11"/>
        <v>840</v>
      </c>
      <c r="R57" s="99" t="s">
        <v>91</v>
      </c>
      <c r="S57" s="99" t="s">
        <v>90</v>
      </c>
      <c r="T57" s="99" t="s">
        <v>91</v>
      </c>
      <c r="U57" s="99" t="s">
        <v>881</v>
      </c>
      <c r="V57" s="99" t="s">
        <v>897</v>
      </c>
      <c r="W57" s="99"/>
      <c r="X57" s="99"/>
      <c r="Y57" s="99"/>
      <c r="Z57" s="99"/>
      <c r="AA57" s="99">
        <v>23</v>
      </c>
      <c r="AB57" s="99"/>
      <c r="AC57" s="197">
        <f t="shared" si="9"/>
        <v>23</v>
      </c>
      <c r="AD57" s="99">
        <v>23</v>
      </c>
      <c r="AE57" s="99"/>
      <c r="AF57" s="99"/>
      <c r="AG57" s="99">
        <f t="shared" si="10"/>
        <v>23</v>
      </c>
      <c r="AH57" s="99"/>
      <c r="AI57" s="99">
        <v>23</v>
      </c>
      <c r="AJ57" s="99"/>
      <c r="AK57" s="99"/>
      <c r="AL57" s="99"/>
      <c r="AM57" s="99">
        <f t="shared" si="6"/>
        <v>23</v>
      </c>
      <c r="AN57" s="99" t="s">
        <v>883</v>
      </c>
      <c r="AO57" s="99">
        <v>3</v>
      </c>
      <c r="AP57" s="99"/>
    </row>
    <row r="58" spans="1:42" ht="39" customHeight="1" x14ac:dyDescent="0.25">
      <c r="A58" s="99">
        <v>1688</v>
      </c>
      <c r="B58" s="197" t="s">
        <v>1592</v>
      </c>
      <c r="C58" s="239">
        <v>103310000</v>
      </c>
      <c r="D58" s="99">
        <v>21090156</v>
      </c>
      <c r="E58" s="99"/>
      <c r="F58" s="197" t="str">
        <f>VLOOKUP(D58,'rà soát ĐK'!B51:C501,2,0)</f>
        <v>PB04090024939</v>
      </c>
      <c r="G58" s="99" t="s">
        <v>2253</v>
      </c>
      <c r="H58" s="99" t="str">
        <f>VLOOKUP(C58,'[1]Bến Cát'!$E$4:$F$177,2,0)</f>
        <v>11.227651676051519, 106.61857374436903</v>
      </c>
      <c r="I58" s="239">
        <v>1.12276516760515E+16</v>
      </c>
      <c r="J58" s="239">
        <v>1.06618573744369E+16</v>
      </c>
      <c r="K58" s="197" t="s">
        <v>1595</v>
      </c>
      <c r="L58" s="197" t="s">
        <v>878</v>
      </c>
      <c r="M58" s="197" t="s">
        <v>1596</v>
      </c>
      <c r="N58" s="99" t="s">
        <v>911</v>
      </c>
      <c r="O58" s="99"/>
      <c r="P58" s="99">
        <v>380</v>
      </c>
      <c r="Q58" s="99">
        <f t="shared" si="11"/>
        <v>380</v>
      </c>
      <c r="R58" s="99" t="s">
        <v>90</v>
      </c>
      <c r="S58" s="99" t="s">
        <v>91</v>
      </c>
      <c r="T58" s="99" t="s">
        <v>91</v>
      </c>
      <c r="U58" s="99" t="s">
        <v>881</v>
      </c>
      <c r="V58" s="99" t="s">
        <v>897</v>
      </c>
      <c r="W58" s="99"/>
      <c r="X58" s="99"/>
      <c r="Y58" s="99">
        <v>10</v>
      </c>
      <c r="Z58" s="99"/>
      <c r="AA58" s="99"/>
      <c r="AB58" s="99"/>
      <c r="AC58" s="197">
        <f t="shared" si="9"/>
        <v>10</v>
      </c>
      <c r="AD58" s="99">
        <v>10</v>
      </c>
      <c r="AE58" s="99"/>
      <c r="AF58" s="99"/>
      <c r="AG58" s="99">
        <f t="shared" si="10"/>
        <v>10</v>
      </c>
      <c r="AH58" s="99"/>
      <c r="AI58" s="99">
        <v>10</v>
      </c>
      <c r="AJ58" s="99"/>
      <c r="AK58" s="99"/>
      <c r="AL58" s="99"/>
      <c r="AM58" s="99">
        <f t="shared" si="6"/>
        <v>10</v>
      </c>
      <c r="AN58" s="99" t="s">
        <v>883</v>
      </c>
      <c r="AO58" s="99">
        <v>2</v>
      </c>
      <c r="AP58" s="99"/>
    </row>
    <row r="59" spans="1:42" ht="39" customHeight="1" x14ac:dyDescent="0.25">
      <c r="A59" s="99">
        <v>1688</v>
      </c>
      <c r="B59" s="197" t="s">
        <v>1600</v>
      </c>
      <c r="C59" s="239">
        <v>103311000</v>
      </c>
      <c r="D59" s="99">
        <v>21110047199</v>
      </c>
      <c r="E59" s="99"/>
      <c r="F59" s="197" t="e">
        <f>VLOOKUP(D59,'rà soát ĐK'!B52:C502,2,0)</f>
        <v>#N/A</v>
      </c>
      <c r="G59" s="99"/>
      <c r="H59" s="99" t="str">
        <f>VLOOKUP(C59,'[1]Bến Cát'!$E$4:$F$177,2,0)</f>
        <v>11.231844351090732, 106.61854740906254</v>
      </c>
      <c r="I59" s="239">
        <v>1.12318443510907E+16</v>
      </c>
      <c r="J59" s="239">
        <v>1.06618547409062E+16</v>
      </c>
      <c r="K59" s="197" t="s">
        <v>1595</v>
      </c>
      <c r="L59" s="197" t="s">
        <v>878</v>
      </c>
      <c r="M59" s="197" t="s">
        <v>1603</v>
      </c>
      <c r="N59" s="99" t="s">
        <v>891</v>
      </c>
      <c r="O59" s="99"/>
      <c r="P59" s="99">
        <v>140</v>
      </c>
      <c r="Q59" s="99">
        <f t="shared" si="11"/>
        <v>140</v>
      </c>
      <c r="R59" s="99" t="s">
        <v>91</v>
      </c>
      <c r="S59" s="99" t="s">
        <v>90</v>
      </c>
      <c r="T59" s="99" t="s">
        <v>91</v>
      </c>
      <c r="U59" s="99" t="s">
        <v>881</v>
      </c>
      <c r="V59" s="99" t="s">
        <v>882</v>
      </c>
      <c r="W59" s="99"/>
      <c r="X59" s="99"/>
      <c r="Y59" s="99">
        <v>4</v>
      </c>
      <c r="Z59" s="99"/>
      <c r="AA59" s="99"/>
      <c r="AB59" s="99"/>
      <c r="AC59" s="197">
        <f t="shared" si="9"/>
        <v>4</v>
      </c>
      <c r="AD59" s="99">
        <v>4</v>
      </c>
      <c r="AE59" s="99"/>
      <c r="AF59" s="99"/>
      <c r="AG59" s="99">
        <f t="shared" si="10"/>
        <v>4</v>
      </c>
      <c r="AH59" s="99"/>
      <c r="AI59" s="99">
        <v>4</v>
      </c>
      <c r="AJ59" s="99"/>
      <c r="AK59" s="99"/>
      <c r="AL59" s="99"/>
      <c r="AM59" s="99">
        <f t="shared" si="6"/>
        <v>4</v>
      </c>
      <c r="AN59" s="99" t="s">
        <v>883</v>
      </c>
      <c r="AO59" s="99">
        <v>3</v>
      </c>
      <c r="AP59" s="99"/>
    </row>
    <row r="60" spans="1:42" ht="39" customHeight="1" x14ac:dyDescent="0.25">
      <c r="A60" s="99">
        <v>1689</v>
      </c>
      <c r="B60" s="197" t="s">
        <v>1616</v>
      </c>
      <c r="C60" s="239">
        <v>102714000</v>
      </c>
      <c r="D60" s="99">
        <v>21080714</v>
      </c>
      <c r="E60" s="99"/>
      <c r="F60" s="197" t="str">
        <f>VLOOKUP(D60,'rà soát ĐK'!B53:C503,2,0)</f>
        <v>PB04090024941</v>
      </c>
      <c r="G60" s="99" t="s">
        <v>2256</v>
      </c>
      <c r="H60" s="99" t="str">
        <f>VLOOKUP(C60,'[1]Bến Cát'!$E$4:$F$177,2,0)</f>
        <v>11.222939468922949, 106.61890206943545</v>
      </c>
      <c r="I60" s="239">
        <v>1.12229394689229E+16</v>
      </c>
      <c r="J60" s="239">
        <v>1.06618902069435E+16</v>
      </c>
      <c r="K60" s="197" t="s">
        <v>1617</v>
      </c>
      <c r="L60" s="197" t="s">
        <v>878</v>
      </c>
      <c r="M60" s="197" t="s">
        <v>1619</v>
      </c>
      <c r="N60" s="99" t="s">
        <v>891</v>
      </c>
      <c r="O60" s="99"/>
      <c r="P60" s="99">
        <v>700</v>
      </c>
      <c r="Q60" s="99">
        <f t="shared" si="11"/>
        <v>700</v>
      </c>
      <c r="R60" s="99" t="s">
        <v>91</v>
      </c>
      <c r="S60" s="99" t="s">
        <v>90</v>
      </c>
      <c r="T60" s="99" t="s">
        <v>91</v>
      </c>
      <c r="U60" s="99" t="s">
        <v>881</v>
      </c>
      <c r="V60" s="99" t="s">
        <v>897</v>
      </c>
      <c r="W60" s="99"/>
      <c r="X60" s="99"/>
      <c r="Y60" s="99">
        <v>9</v>
      </c>
      <c r="Z60" s="99"/>
      <c r="AA60" s="99"/>
      <c r="AB60" s="99"/>
      <c r="AC60" s="197">
        <f t="shared" si="9"/>
        <v>9</v>
      </c>
      <c r="AD60" s="99">
        <v>9</v>
      </c>
      <c r="AE60" s="99"/>
      <c r="AF60" s="99"/>
      <c r="AG60" s="99">
        <f t="shared" si="10"/>
        <v>9</v>
      </c>
      <c r="AH60" s="99"/>
      <c r="AI60" s="99">
        <v>9</v>
      </c>
      <c r="AJ60" s="99"/>
      <c r="AK60" s="99"/>
      <c r="AL60" s="99"/>
      <c r="AM60" s="99">
        <f t="shared" si="6"/>
        <v>9</v>
      </c>
      <c r="AN60" s="99" t="s">
        <v>883</v>
      </c>
      <c r="AO60" s="99">
        <v>3</v>
      </c>
      <c r="AP60" s="99"/>
    </row>
    <row r="61" spans="1:42" ht="39" customHeight="1" x14ac:dyDescent="0.25">
      <c r="A61" s="99">
        <v>1690</v>
      </c>
      <c r="B61" s="197" t="s">
        <v>1620</v>
      </c>
      <c r="C61" s="239">
        <v>102715000</v>
      </c>
      <c r="D61" s="99">
        <v>21088028</v>
      </c>
      <c r="E61" s="99"/>
      <c r="F61" s="197" t="str">
        <f>VLOOKUP(D61,'rà soát ĐK'!B54:C504,2,0)</f>
        <v>PB04090024942</v>
      </c>
      <c r="G61" s="99" t="s">
        <v>2260</v>
      </c>
      <c r="H61" s="99" t="str">
        <f>VLOOKUP(C61,'[1]Bến Cát'!$E$4:$F$177,2,0)</f>
        <v>11.221985203582387, 106.61850303242397</v>
      </c>
      <c r="I61" s="239">
        <v>1.12219852035823E+16</v>
      </c>
      <c r="J61" s="239">
        <v>1.06618503032423E+16</v>
      </c>
      <c r="K61" s="197" t="s">
        <v>1621</v>
      </c>
      <c r="L61" s="197" t="s">
        <v>878</v>
      </c>
      <c r="M61" s="197" t="s">
        <v>1623</v>
      </c>
      <c r="N61" s="99" t="s">
        <v>969</v>
      </c>
      <c r="O61" s="99"/>
      <c r="P61" s="99">
        <v>960</v>
      </c>
      <c r="Q61" s="99">
        <f t="shared" si="11"/>
        <v>960</v>
      </c>
      <c r="R61" s="99" t="s">
        <v>91</v>
      </c>
      <c r="S61" s="99" t="s">
        <v>90</v>
      </c>
      <c r="T61" s="99" t="s">
        <v>91</v>
      </c>
      <c r="U61" s="99" t="s">
        <v>881</v>
      </c>
      <c r="V61" s="99" t="s">
        <v>897</v>
      </c>
      <c r="W61" s="99"/>
      <c r="X61" s="99"/>
      <c r="Y61" s="99">
        <v>15</v>
      </c>
      <c r="Z61" s="99"/>
      <c r="AA61" s="99">
        <v>3</v>
      </c>
      <c r="AB61" s="99"/>
      <c r="AC61" s="197">
        <f t="shared" si="9"/>
        <v>18</v>
      </c>
      <c r="AD61" s="99">
        <v>18</v>
      </c>
      <c r="AE61" s="99"/>
      <c r="AF61" s="99"/>
      <c r="AG61" s="99">
        <f t="shared" si="10"/>
        <v>18</v>
      </c>
      <c r="AH61" s="99"/>
      <c r="AI61" s="99">
        <v>18</v>
      </c>
      <c r="AJ61" s="99"/>
      <c r="AK61" s="99"/>
      <c r="AL61" s="99"/>
      <c r="AM61" s="99">
        <f t="shared" si="6"/>
        <v>18</v>
      </c>
      <c r="AN61" s="99" t="s">
        <v>883</v>
      </c>
      <c r="AO61" s="99">
        <v>3</v>
      </c>
      <c r="AP61" s="99"/>
    </row>
    <row r="62" spans="1:42" ht="39" customHeight="1" x14ac:dyDescent="0.25">
      <c r="A62" s="99">
        <v>1691</v>
      </c>
      <c r="B62" s="197" t="s">
        <v>1604</v>
      </c>
      <c r="C62" s="239">
        <v>102711000</v>
      </c>
      <c r="D62" s="99">
        <v>211100047098</v>
      </c>
      <c r="E62" s="99"/>
      <c r="F62" s="197" t="str">
        <f>VLOOKUP(D62,'rà soát ĐK'!B55:C505,2,0)</f>
        <v>PB04090024940</v>
      </c>
      <c r="G62" s="99" t="s">
        <v>2263</v>
      </c>
      <c r="H62" s="99" t="str">
        <f>VLOOKUP(C62,'[1]Bến Cát'!$E$4:$F$177,2,0)</f>
        <v>11.229727235731652, 106.61638354316342</v>
      </c>
      <c r="I62" s="239">
        <v>1.12297272357316E+16</v>
      </c>
      <c r="J62" s="239">
        <v>1.06616383543163E+16</v>
      </c>
      <c r="K62" s="197" t="s">
        <v>1607</v>
      </c>
      <c r="L62" s="197" t="s">
        <v>878</v>
      </c>
      <c r="M62" s="197" t="s">
        <v>1608</v>
      </c>
      <c r="N62" s="99" t="s">
        <v>969</v>
      </c>
      <c r="O62" s="99"/>
      <c r="P62" s="99">
        <v>440</v>
      </c>
      <c r="Q62" s="99">
        <f t="shared" si="11"/>
        <v>440</v>
      </c>
      <c r="R62" s="99" t="s">
        <v>91</v>
      </c>
      <c r="S62" s="99" t="s">
        <v>90</v>
      </c>
      <c r="T62" s="99" t="s">
        <v>91</v>
      </c>
      <c r="U62" s="99" t="s">
        <v>881</v>
      </c>
      <c r="V62" s="99" t="s">
        <v>897</v>
      </c>
      <c r="W62" s="99"/>
      <c r="X62" s="99"/>
      <c r="Y62" s="99">
        <v>12</v>
      </c>
      <c r="Z62" s="99"/>
      <c r="AA62" s="99"/>
      <c r="AB62" s="99"/>
      <c r="AC62" s="197">
        <f t="shared" si="9"/>
        <v>12</v>
      </c>
      <c r="AD62" s="99">
        <v>12</v>
      </c>
      <c r="AE62" s="99"/>
      <c r="AF62" s="99"/>
      <c r="AG62" s="99">
        <f t="shared" si="10"/>
        <v>12</v>
      </c>
      <c r="AH62" s="99"/>
      <c r="AI62" s="99">
        <v>12</v>
      </c>
      <c r="AJ62" s="99"/>
      <c r="AK62" s="99"/>
      <c r="AL62" s="99"/>
      <c r="AM62" s="99">
        <f t="shared" si="6"/>
        <v>12</v>
      </c>
      <c r="AN62" s="99" t="s">
        <v>883</v>
      </c>
      <c r="AO62" s="99">
        <v>3</v>
      </c>
      <c r="AP62" s="99"/>
    </row>
    <row r="63" spans="1:42" ht="39" customHeight="1" x14ac:dyDescent="0.25">
      <c r="A63" s="99">
        <v>1691</v>
      </c>
      <c r="B63" s="197" t="s">
        <v>1609</v>
      </c>
      <c r="C63" s="239">
        <v>102712000</v>
      </c>
      <c r="D63" s="99">
        <v>211100047094</v>
      </c>
      <c r="E63" s="99"/>
      <c r="F63" s="197" t="str">
        <f>VLOOKUP(D63,'rà soát ĐK'!B56:C506,2,0)</f>
        <v>PB04090024944</v>
      </c>
      <c r="G63" s="99" t="s">
        <v>2268</v>
      </c>
      <c r="H63" s="99" t="str">
        <f>VLOOKUP(C63,'[1]Bến Cát'!$E$4:$F$177,2,0)</f>
        <v>11.231053478848585, 106.61675292062773</v>
      </c>
      <c r="I63" s="239">
        <v>1.12310534788485E+16</v>
      </c>
      <c r="J63" s="239">
        <v>1.06616752920627E+16</v>
      </c>
      <c r="K63" s="197" t="s">
        <v>1607</v>
      </c>
      <c r="L63" s="197" t="s">
        <v>878</v>
      </c>
      <c r="M63" s="197" t="s">
        <v>1378</v>
      </c>
      <c r="N63" s="99" t="s">
        <v>880</v>
      </c>
      <c r="O63" s="99"/>
      <c r="P63" s="99">
        <v>160</v>
      </c>
      <c r="Q63" s="99">
        <f t="shared" si="11"/>
        <v>160</v>
      </c>
      <c r="R63" s="99" t="s">
        <v>91</v>
      </c>
      <c r="S63" s="99" t="s">
        <v>90</v>
      </c>
      <c r="T63" s="99" t="s">
        <v>91</v>
      </c>
      <c r="U63" s="99" t="s">
        <v>881</v>
      </c>
      <c r="V63" s="99" t="s">
        <v>882</v>
      </c>
      <c r="W63" s="99"/>
      <c r="X63" s="99"/>
      <c r="Y63" s="99">
        <v>3</v>
      </c>
      <c r="Z63" s="99"/>
      <c r="AA63" s="99">
        <v>1</v>
      </c>
      <c r="AB63" s="99"/>
      <c r="AC63" s="197">
        <f t="shared" si="9"/>
        <v>4</v>
      </c>
      <c r="AD63" s="99">
        <v>4</v>
      </c>
      <c r="AE63" s="99"/>
      <c r="AF63" s="99"/>
      <c r="AG63" s="99">
        <f t="shared" si="10"/>
        <v>4</v>
      </c>
      <c r="AH63" s="99"/>
      <c r="AI63" s="99">
        <v>4</v>
      </c>
      <c r="AJ63" s="99"/>
      <c r="AK63" s="99"/>
      <c r="AL63" s="99"/>
      <c r="AM63" s="99">
        <f t="shared" si="6"/>
        <v>4</v>
      </c>
      <c r="AN63" s="99" t="s">
        <v>883</v>
      </c>
      <c r="AO63" s="99">
        <v>3</v>
      </c>
      <c r="AP63" s="99"/>
    </row>
    <row r="64" spans="1:42" ht="39" customHeight="1" x14ac:dyDescent="0.25">
      <c r="A64" s="99">
        <v>1692</v>
      </c>
      <c r="B64" s="197" t="s">
        <v>1612</v>
      </c>
      <c r="C64" s="239">
        <v>102713000</v>
      </c>
      <c r="D64" s="99">
        <v>211100272564</v>
      </c>
      <c r="E64" s="99"/>
      <c r="F64" s="197" t="str">
        <f>VLOOKUP(D64,'rà soát ĐK'!B57:C507,2,0)</f>
        <v>PB04090029036</v>
      </c>
      <c r="G64" s="99" t="s">
        <v>2265</v>
      </c>
      <c r="H64" s="99" t="str">
        <f>VLOOKUP(C64,'[1]Bến Cát'!$E$4:$F$177,2,0)</f>
        <v>11.230938041676673, 106.61614310650617</v>
      </c>
      <c r="I64" s="239">
        <v>1.12309380416766E+16</v>
      </c>
      <c r="J64" s="239">
        <v>1.06616143106506E+16</v>
      </c>
      <c r="K64" s="197" t="s">
        <v>1613</v>
      </c>
      <c r="L64" s="197" t="s">
        <v>878</v>
      </c>
      <c r="M64" s="197" t="s">
        <v>1615</v>
      </c>
      <c r="N64" s="99" t="s">
        <v>891</v>
      </c>
      <c r="O64" s="99"/>
      <c r="P64" s="99">
        <v>400</v>
      </c>
      <c r="Q64" s="99">
        <f t="shared" si="11"/>
        <v>400</v>
      </c>
      <c r="R64" s="99" t="s">
        <v>91</v>
      </c>
      <c r="S64" s="99" t="s">
        <v>90</v>
      </c>
      <c r="T64" s="99" t="s">
        <v>91</v>
      </c>
      <c r="U64" s="99" t="s">
        <v>881</v>
      </c>
      <c r="V64" s="99" t="s">
        <v>897</v>
      </c>
      <c r="W64" s="99"/>
      <c r="X64" s="99"/>
      <c r="Y64" s="99"/>
      <c r="Z64" s="99"/>
      <c r="AA64" s="99">
        <v>10</v>
      </c>
      <c r="AB64" s="99"/>
      <c r="AC64" s="197">
        <f t="shared" si="9"/>
        <v>10</v>
      </c>
      <c r="AD64" s="99">
        <v>10</v>
      </c>
      <c r="AE64" s="99"/>
      <c r="AF64" s="99"/>
      <c r="AG64" s="99">
        <f t="shared" si="10"/>
        <v>10</v>
      </c>
      <c r="AH64" s="99"/>
      <c r="AI64" s="99">
        <v>10</v>
      </c>
      <c r="AJ64" s="99"/>
      <c r="AK64" s="99"/>
      <c r="AL64" s="99"/>
      <c r="AM64" s="99">
        <f t="shared" si="6"/>
        <v>10</v>
      </c>
      <c r="AN64" s="99" t="s">
        <v>883</v>
      </c>
      <c r="AO64" s="99">
        <v>3</v>
      </c>
      <c r="AP64" s="99"/>
    </row>
    <row r="65" spans="1:42" ht="39" customHeight="1" x14ac:dyDescent="0.25">
      <c r="A65" s="99">
        <v>1694</v>
      </c>
      <c r="B65" s="197" t="s">
        <v>916</v>
      </c>
      <c r="C65" s="239">
        <v>102055000</v>
      </c>
      <c r="D65" s="99">
        <v>2211000315336</v>
      </c>
      <c r="E65" s="99"/>
      <c r="F65" s="197" t="e">
        <f>VLOOKUP(D65,'rà soát ĐK'!B58:C508,2,0)</f>
        <v>#N/A</v>
      </c>
      <c r="G65" s="99"/>
      <c r="H65" s="99" t="str">
        <f>VLOOKUP(C65,'[1]Bến Cát'!$E$4:$F$177,2,0)</f>
        <v>11.17869460788163, 106.6278175306701</v>
      </c>
      <c r="I65" s="239">
        <v>1117869460788160</v>
      </c>
      <c r="J65" s="239">
        <v>1066278175306700</v>
      </c>
      <c r="K65" s="197" t="s">
        <v>919</v>
      </c>
      <c r="L65" s="197" t="s">
        <v>878</v>
      </c>
      <c r="M65" s="197" t="s">
        <v>920</v>
      </c>
      <c r="N65" s="99" t="s">
        <v>891</v>
      </c>
      <c r="O65" s="99"/>
      <c r="P65" s="99">
        <v>560</v>
      </c>
      <c r="Q65" s="99">
        <f t="shared" si="11"/>
        <v>560</v>
      </c>
      <c r="R65" s="99" t="s">
        <v>90</v>
      </c>
      <c r="S65" s="99" t="s">
        <v>91</v>
      </c>
      <c r="T65" s="99" t="s">
        <v>91</v>
      </c>
      <c r="U65" s="99" t="s">
        <v>881</v>
      </c>
      <c r="V65" s="99" t="s">
        <v>897</v>
      </c>
      <c r="W65" s="99"/>
      <c r="X65" s="99"/>
      <c r="Y65" s="99"/>
      <c r="Z65" s="99"/>
      <c r="AA65" s="99">
        <v>14</v>
      </c>
      <c r="AB65" s="99"/>
      <c r="AC65" s="197">
        <f t="shared" si="9"/>
        <v>14</v>
      </c>
      <c r="AD65" s="99">
        <v>14</v>
      </c>
      <c r="AE65" s="99"/>
      <c r="AF65" s="99"/>
      <c r="AG65" s="99">
        <f t="shared" si="10"/>
        <v>14</v>
      </c>
      <c r="AH65" s="99"/>
      <c r="AI65" s="99">
        <v>14</v>
      </c>
      <c r="AJ65" s="99"/>
      <c r="AK65" s="99"/>
      <c r="AL65" s="99"/>
      <c r="AM65" s="99">
        <f t="shared" si="6"/>
        <v>14</v>
      </c>
      <c r="AN65" s="99" t="s">
        <v>883</v>
      </c>
      <c r="AO65" s="99">
        <v>3</v>
      </c>
      <c r="AP65" s="99"/>
    </row>
    <row r="66" spans="1:42" ht="39" customHeight="1" x14ac:dyDescent="0.25">
      <c r="A66" s="99">
        <v>1694</v>
      </c>
      <c r="B66" s="197" t="s">
        <v>927</v>
      </c>
      <c r="C66" s="239">
        <v>102056000</v>
      </c>
      <c r="D66" s="99">
        <v>22408046</v>
      </c>
      <c r="E66" s="99"/>
      <c r="F66" s="197" t="str">
        <f>VLOOKUP(D66,'rà soát ĐK'!B59:C509,2,0)</f>
        <v>PB04090029037</v>
      </c>
      <c r="G66" s="99" t="s">
        <v>2164</v>
      </c>
      <c r="H66" s="99" t="str">
        <f>VLOOKUP(C66,'[1]Bến Cát'!$E$4:$F$177,2,0)</f>
        <v>11.176811580781596, 106.62125025586383</v>
      </c>
      <c r="I66" s="239">
        <v>1.11768115807815E+16</v>
      </c>
      <c r="J66" s="239">
        <v>1.06621250255863E+16</v>
      </c>
      <c r="K66" s="197" t="s">
        <v>919</v>
      </c>
      <c r="L66" s="197" t="s">
        <v>878</v>
      </c>
      <c r="M66" s="197" t="s">
        <v>930</v>
      </c>
      <c r="N66" s="99" t="s">
        <v>911</v>
      </c>
      <c r="O66" s="99"/>
      <c r="P66" s="99">
        <v>1200</v>
      </c>
      <c r="Q66" s="99">
        <f t="shared" si="11"/>
        <v>1200</v>
      </c>
      <c r="R66" s="99" t="s">
        <v>91</v>
      </c>
      <c r="S66" s="99" t="s">
        <v>90</v>
      </c>
      <c r="T66" s="99" t="s">
        <v>91</v>
      </c>
      <c r="U66" s="99" t="s">
        <v>881</v>
      </c>
      <c r="V66" s="99" t="s">
        <v>882</v>
      </c>
      <c r="W66" s="99"/>
      <c r="X66" s="99"/>
      <c r="Y66" s="99"/>
      <c r="Z66" s="99"/>
      <c r="AA66" s="99">
        <v>33</v>
      </c>
      <c r="AB66" s="99"/>
      <c r="AC66" s="197">
        <f t="shared" si="9"/>
        <v>33</v>
      </c>
      <c r="AD66" s="99">
        <v>33</v>
      </c>
      <c r="AE66" s="99"/>
      <c r="AF66" s="99"/>
      <c r="AG66" s="99">
        <f t="shared" si="10"/>
        <v>33</v>
      </c>
      <c r="AH66" s="99"/>
      <c r="AI66" s="99">
        <v>33</v>
      </c>
      <c r="AJ66" s="99"/>
      <c r="AK66" s="99"/>
      <c r="AL66" s="99"/>
      <c r="AM66" s="99">
        <f t="shared" si="6"/>
        <v>33</v>
      </c>
      <c r="AN66" s="99" t="s">
        <v>883</v>
      </c>
      <c r="AO66" s="99">
        <v>3</v>
      </c>
      <c r="AP66" s="99"/>
    </row>
    <row r="67" spans="1:42" ht="39" customHeight="1" x14ac:dyDescent="0.25">
      <c r="A67" s="99">
        <v>1695</v>
      </c>
      <c r="B67" s="197" t="s">
        <v>1138</v>
      </c>
      <c r="C67" s="239">
        <v>100949000</v>
      </c>
      <c r="D67" s="99">
        <v>21058636</v>
      </c>
      <c r="E67" s="99"/>
      <c r="F67" s="197" t="str">
        <f>VLOOKUP(D67,'rà soát ĐK'!B60:C510,2,0)</f>
        <v>PB04090037428</v>
      </c>
      <c r="G67" s="99" t="s">
        <v>2102</v>
      </c>
      <c r="H67" s="99" t="str">
        <f>VLOOKUP(C67,'[1]Bến Cát'!$E$4:$F$177,2,0)</f>
        <v>11.180862478412852, 106.61945084309234</v>
      </c>
      <c r="I67" s="239">
        <v>1.11808624784128E+16</v>
      </c>
      <c r="J67" s="239">
        <v>1.06619450843092E+16</v>
      </c>
      <c r="K67" s="197" t="s">
        <v>1139</v>
      </c>
      <c r="L67" s="197" t="s">
        <v>878</v>
      </c>
      <c r="M67" s="197" t="s">
        <v>1141</v>
      </c>
      <c r="N67" s="99" t="s">
        <v>880</v>
      </c>
      <c r="O67" s="99"/>
      <c r="P67" s="99">
        <v>480</v>
      </c>
      <c r="Q67" s="99">
        <f t="shared" si="11"/>
        <v>480</v>
      </c>
      <c r="R67" s="99" t="s">
        <v>91</v>
      </c>
      <c r="S67" s="99" t="s">
        <v>90</v>
      </c>
      <c r="T67" s="99" t="s">
        <v>91</v>
      </c>
      <c r="U67" s="99" t="s">
        <v>881</v>
      </c>
      <c r="V67" s="99" t="s">
        <v>897</v>
      </c>
      <c r="W67" s="99"/>
      <c r="X67" s="99"/>
      <c r="Y67" s="99"/>
      <c r="Z67" s="99"/>
      <c r="AA67" s="99">
        <v>12</v>
      </c>
      <c r="AB67" s="99"/>
      <c r="AC67" s="197">
        <f t="shared" si="9"/>
        <v>12</v>
      </c>
      <c r="AD67" s="99">
        <v>12</v>
      </c>
      <c r="AE67" s="99"/>
      <c r="AF67" s="99"/>
      <c r="AG67" s="99">
        <f t="shared" si="10"/>
        <v>12</v>
      </c>
      <c r="AH67" s="99"/>
      <c r="AI67" s="99">
        <v>12</v>
      </c>
      <c r="AJ67" s="99"/>
      <c r="AK67" s="99"/>
      <c r="AL67" s="99"/>
      <c r="AM67" s="99">
        <f t="shared" si="6"/>
        <v>12</v>
      </c>
      <c r="AN67" s="99" t="s">
        <v>883</v>
      </c>
      <c r="AO67" s="99">
        <v>3</v>
      </c>
      <c r="AP67" s="99"/>
    </row>
    <row r="68" spans="1:42" ht="39" customHeight="1" x14ac:dyDescent="0.25">
      <c r="A68" s="99">
        <v>1696</v>
      </c>
      <c r="B68" s="197" t="s">
        <v>1130</v>
      </c>
      <c r="C68" s="239">
        <v>100948000</v>
      </c>
      <c r="D68" s="99">
        <v>25114326</v>
      </c>
      <c r="E68" s="99"/>
      <c r="F68" s="197" t="str">
        <f>VLOOKUP(D68,'rà soát ĐK'!B61:C511,2,0)</f>
        <v>PE19000001517</v>
      </c>
      <c r="G68" s="99" t="s">
        <v>2115</v>
      </c>
      <c r="H68" s="99" t="str">
        <f>VLOOKUP(C68,'[1]Bến Cát'!$E$4:$F$177,2,0)</f>
        <v>11.181478294490885, 106.62015002821889</v>
      </c>
      <c r="I68" s="239">
        <v>1.11814782944908E+16</v>
      </c>
      <c r="J68" s="239">
        <v>1.06620150028218E+16</v>
      </c>
      <c r="K68" s="197" t="s">
        <v>1131</v>
      </c>
      <c r="L68" s="197" t="s">
        <v>878</v>
      </c>
      <c r="M68" s="197" t="s">
        <v>1133</v>
      </c>
      <c r="N68" s="99" t="s">
        <v>880</v>
      </c>
      <c r="O68" s="99"/>
      <c r="P68" s="99">
        <v>320</v>
      </c>
      <c r="Q68" s="99">
        <f t="shared" si="11"/>
        <v>320</v>
      </c>
      <c r="R68" s="99" t="s">
        <v>90</v>
      </c>
      <c r="S68" s="99" t="s">
        <v>91</v>
      </c>
      <c r="T68" s="99" t="s">
        <v>91</v>
      </c>
      <c r="U68" s="99" t="s">
        <v>881</v>
      </c>
      <c r="V68" s="99" t="s">
        <v>882</v>
      </c>
      <c r="W68" s="99"/>
      <c r="X68" s="99"/>
      <c r="Y68" s="99"/>
      <c r="Z68" s="99"/>
      <c r="AA68" s="99">
        <v>8</v>
      </c>
      <c r="AB68" s="99"/>
      <c r="AC68" s="197">
        <f t="shared" si="9"/>
        <v>8</v>
      </c>
      <c r="AD68" s="99">
        <v>8</v>
      </c>
      <c r="AE68" s="99"/>
      <c r="AF68" s="99"/>
      <c r="AG68" s="99">
        <f t="shared" si="10"/>
        <v>8</v>
      </c>
      <c r="AH68" s="99"/>
      <c r="AI68" s="99">
        <v>8</v>
      </c>
      <c r="AJ68" s="99"/>
      <c r="AK68" s="99"/>
      <c r="AL68" s="99"/>
      <c r="AM68" s="99">
        <f t="shared" si="6"/>
        <v>8</v>
      </c>
      <c r="AN68" s="99" t="s">
        <v>883</v>
      </c>
      <c r="AO68" s="99">
        <v>3</v>
      </c>
      <c r="AP68" s="99"/>
    </row>
    <row r="69" spans="1:42" ht="39" customHeight="1" x14ac:dyDescent="0.25">
      <c r="A69" s="99">
        <v>1697</v>
      </c>
      <c r="B69" s="197" t="s">
        <v>1121</v>
      </c>
      <c r="C69" s="239" t="s">
        <v>1123</v>
      </c>
      <c r="D69" s="99">
        <v>1511289146</v>
      </c>
      <c r="E69" s="99"/>
      <c r="F69" s="197" t="str">
        <f>VLOOKUP(D69,'rà soát ĐK'!B62:C512,2,0)</f>
        <v>PB04090037426</v>
      </c>
      <c r="G69" s="99" t="s">
        <v>2106</v>
      </c>
      <c r="H69" s="99" t="s">
        <v>1625</v>
      </c>
      <c r="I69" s="239">
        <v>1.11841126877937E+16</v>
      </c>
      <c r="J69" s="239">
        <v>1.06621611662563E+16</v>
      </c>
      <c r="K69" s="197" t="s">
        <v>1122</v>
      </c>
      <c r="L69" s="197" t="s">
        <v>878</v>
      </c>
      <c r="M69" s="197" t="s">
        <v>1125</v>
      </c>
      <c r="N69" s="99" t="s">
        <v>880</v>
      </c>
      <c r="O69" s="99"/>
      <c r="P69" s="99">
        <v>600</v>
      </c>
      <c r="Q69" s="99">
        <f t="shared" si="11"/>
        <v>600</v>
      </c>
      <c r="R69" s="99" t="s">
        <v>90</v>
      </c>
      <c r="S69" s="99" t="s">
        <v>91</v>
      </c>
      <c r="T69" s="99" t="s">
        <v>91</v>
      </c>
      <c r="U69" s="99" t="s">
        <v>881</v>
      </c>
      <c r="V69" s="99" t="s">
        <v>897</v>
      </c>
      <c r="W69" s="99"/>
      <c r="X69" s="99"/>
      <c r="Y69" s="99"/>
      <c r="Z69" s="99"/>
      <c r="AA69" s="99">
        <v>17</v>
      </c>
      <c r="AB69" s="99"/>
      <c r="AC69" s="197">
        <f t="shared" si="9"/>
        <v>17</v>
      </c>
      <c r="AD69" s="99">
        <v>16</v>
      </c>
      <c r="AE69" s="99"/>
      <c r="AF69" s="99"/>
      <c r="AG69" s="99">
        <f t="shared" si="10"/>
        <v>16</v>
      </c>
      <c r="AH69" s="99"/>
      <c r="AI69" s="99">
        <v>17</v>
      </c>
      <c r="AJ69" s="99"/>
      <c r="AK69" s="99"/>
      <c r="AL69" s="99"/>
      <c r="AM69" s="99">
        <f t="shared" si="6"/>
        <v>17</v>
      </c>
      <c r="AN69" s="99" t="s">
        <v>883</v>
      </c>
      <c r="AO69" s="99">
        <v>3</v>
      </c>
      <c r="AP69" s="99"/>
    </row>
    <row r="70" spans="1:42" ht="39" customHeight="1" x14ac:dyDescent="0.25">
      <c r="A70" s="99">
        <v>1699</v>
      </c>
      <c r="B70" s="197" t="s">
        <v>1113</v>
      </c>
      <c r="C70" s="239">
        <v>100946000</v>
      </c>
      <c r="D70" s="99">
        <v>1611266905</v>
      </c>
      <c r="E70" s="99"/>
      <c r="F70" s="197" t="str">
        <f>VLOOKUP(D70,'rà soát ĐK'!B63:C513,2,0)</f>
        <v>PB04090037423</v>
      </c>
      <c r="G70" s="99" t="s">
        <v>2155</v>
      </c>
      <c r="H70" s="99" t="str">
        <f>VLOOKUP(C70,'[1]Bến Cát'!$E$4:$F$177,2,0)</f>
        <v>11.184723241798816, 106.62390803409622</v>
      </c>
      <c r="I70" s="239">
        <v>1.11847232417988E+16</v>
      </c>
      <c r="J70" s="239">
        <v>1.06623908034096E+16</v>
      </c>
      <c r="K70" s="197" t="s">
        <v>1114</v>
      </c>
      <c r="L70" s="197" t="s">
        <v>878</v>
      </c>
      <c r="M70" s="197" t="s">
        <v>1116</v>
      </c>
      <c r="N70" s="99" t="s">
        <v>880</v>
      </c>
      <c r="O70" s="99"/>
      <c r="P70" s="99">
        <v>1080</v>
      </c>
      <c r="Q70" s="99">
        <f t="shared" si="11"/>
        <v>1080</v>
      </c>
      <c r="R70" s="99" t="s">
        <v>91</v>
      </c>
      <c r="S70" s="99" t="s">
        <v>90</v>
      </c>
      <c r="T70" s="99" t="s">
        <v>91</v>
      </c>
      <c r="U70" s="99" t="s">
        <v>881</v>
      </c>
      <c r="V70" s="99" t="s">
        <v>897</v>
      </c>
      <c r="W70" s="99"/>
      <c r="X70" s="99"/>
      <c r="Y70" s="99"/>
      <c r="Z70" s="99"/>
      <c r="AA70" s="99">
        <v>27</v>
      </c>
      <c r="AB70" s="99"/>
      <c r="AC70" s="197">
        <f t="shared" si="9"/>
        <v>27</v>
      </c>
      <c r="AD70" s="99">
        <v>27</v>
      </c>
      <c r="AE70" s="99"/>
      <c r="AF70" s="99"/>
      <c r="AG70" s="99">
        <f t="shared" si="10"/>
        <v>27</v>
      </c>
      <c r="AH70" s="99"/>
      <c r="AI70" s="99">
        <v>27</v>
      </c>
      <c r="AJ70" s="99"/>
      <c r="AK70" s="99"/>
      <c r="AL70" s="99"/>
      <c r="AM70" s="99">
        <f t="shared" si="6"/>
        <v>27</v>
      </c>
      <c r="AN70" s="99" t="s">
        <v>883</v>
      </c>
      <c r="AO70" s="99">
        <v>3</v>
      </c>
      <c r="AP70" s="99"/>
    </row>
    <row r="71" spans="1:42" ht="39" customHeight="1" x14ac:dyDescent="0.25">
      <c r="A71" s="99">
        <v>1700</v>
      </c>
      <c r="B71" s="197" t="s">
        <v>1020</v>
      </c>
      <c r="C71" s="239">
        <v>102064000</v>
      </c>
      <c r="D71" s="99">
        <v>1511290191</v>
      </c>
      <c r="E71" s="99"/>
      <c r="F71" s="197" t="str">
        <f>VLOOKUP(D71,'rà soát ĐK'!B64:C514,2,0)</f>
        <v>PB04090032549</v>
      </c>
      <c r="G71" s="99" t="s">
        <v>2152</v>
      </c>
      <c r="H71" s="99" t="str">
        <f>VLOOKUP(C71,'[1]Bến Cát'!$E$4:$F$177,2,0)</f>
        <v>11.184791635733395, 106.6239862301753</v>
      </c>
      <c r="I71" s="239">
        <v>1.11847916357333E+16</v>
      </c>
      <c r="J71" s="239">
        <v>1066239862301750</v>
      </c>
      <c r="K71" s="197" t="s">
        <v>1023</v>
      </c>
      <c r="L71" s="197" t="s">
        <v>878</v>
      </c>
      <c r="M71" s="197" t="s">
        <v>1024</v>
      </c>
      <c r="N71" s="99" t="s">
        <v>880</v>
      </c>
      <c r="O71" s="99"/>
      <c r="P71" s="99">
        <v>400</v>
      </c>
      <c r="Q71" s="99">
        <f t="shared" si="11"/>
        <v>400</v>
      </c>
      <c r="R71" s="99" t="s">
        <v>90</v>
      </c>
      <c r="S71" s="99" t="s">
        <v>91</v>
      </c>
      <c r="T71" s="99" t="s">
        <v>91</v>
      </c>
      <c r="U71" s="99" t="s">
        <v>881</v>
      </c>
      <c r="V71" s="99" t="s">
        <v>897</v>
      </c>
      <c r="W71" s="99"/>
      <c r="X71" s="99"/>
      <c r="Y71" s="99"/>
      <c r="Z71" s="99"/>
      <c r="AA71" s="99">
        <v>11</v>
      </c>
      <c r="AB71" s="99"/>
      <c r="AC71" s="197">
        <f t="shared" si="9"/>
        <v>11</v>
      </c>
      <c r="AD71" s="99">
        <v>11</v>
      </c>
      <c r="AE71" s="99"/>
      <c r="AF71" s="99"/>
      <c r="AG71" s="99">
        <f t="shared" si="10"/>
        <v>11</v>
      </c>
      <c r="AH71" s="99"/>
      <c r="AI71" s="99">
        <v>11</v>
      </c>
      <c r="AJ71" s="99"/>
      <c r="AK71" s="99"/>
      <c r="AL71" s="99"/>
      <c r="AM71" s="99">
        <f t="shared" si="6"/>
        <v>11</v>
      </c>
      <c r="AN71" s="99" t="s">
        <v>883</v>
      </c>
      <c r="AO71" s="99">
        <v>3</v>
      </c>
      <c r="AP71" s="99"/>
    </row>
    <row r="72" spans="1:42" ht="39" customHeight="1" x14ac:dyDescent="0.25">
      <c r="A72" s="99">
        <v>1700</v>
      </c>
      <c r="B72" s="197" t="s">
        <v>1054</v>
      </c>
      <c r="C72" s="239">
        <v>102067000</v>
      </c>
      <c r="D72" s="99">
        <v>1511288265</v>
      </c>
      <c r="E72" s="99"/>
      <c r="F72" s="197" t="str">
        <f>VLOOKUP(D72,'rà soát ĐK'!B65:C515,2,0)</f>
        <v>PB04090032550</v>
      </c>
      <c r="G72" s="99" t="s">
        <v>2139</v>
      </c>
      <c r="H72" s="99" t="s">
        <v>1624</v>
      </c>
      <c r="I72" s="239">
        <v>1.11908497890203E+16</v>
      </c>
      <c r="J72" s="239">
        <v>1.06628488416472E+16</v>
      </c>
      <c r="K72" s="197" t="s">
        <v>1023</v>
      </c>
      <c r="L72" s="197" t="s">
        <v>878</v>
      </c>
      <c r="M72" s="197" t="s">
        <v>1057</v>
      </c>
      <c r="N72" s="99" t="s">
        <v>891</v>
      </c>
      <c r="O72" s="99"/>
      <c r="P72" s="99">
        <v>600</v>
      </c>
      <c r="Q72" s="99">
        <f t="shared" si="11"/>
        <v>600</v>
      </c>
      <c r="R72" s="99" t="s">
        <v>91</v>
      </c>
      <c r="S72" s="99" t="s">
        <v>90</v>
      </c>
      <c r="T72" s="99" t="s">
        <v>91</v>
      </c>
      <c r="U72" s="99" t="s">
        <v>881</v>
      </c>
      <c r="V72" s="99" t="s">
        <v>882</v>
      </c>
      <c r="W72" s="99"/>
      <c r="X72" s="99"/>
      <c r="Y72" s="99"/>
      <c r="Z72" s="99"/>
      <c r="AA72" s="99">
        <v>16</v>
      </c>
      <c r="AB72" s="99"/>
      <c r="AC72" s="197">
        <f t="shared" si="9"/>
        <v>16</v>
      </c>
      <c r="AD72" s="99">
        <v>16</v>
      </c>
      <c r="AE72" s="99"/>
      <c r="AF72" s="99"/>
      <c r="AG72" s="99">
        <f t="shared" si="10"/>
        <v>16</v>
      </c>
      <c r="AH72" s="99"/>
      <c r="AI72" s="99">
        <v>16</v>
      </c>
      <c r="AJ72" s="99"/>
      <c r="AK72" s="99"/>
      <c r="AL72" s="99"/>
      <c r="AM72" s="99">
        <f t="shared" si="6"/>
        <v>16</v>
      </c>
      <c r="AN72" s="99" t="s">
        <v>883</v>
      </c>
      <c r="AO72" s="99">
        <v>3</v>
      </c>
      <c r="AP72" s="99"/>
    </row>
    <row r="73" spans="1:42" ht="39" customHeight="1" x14ac:dyDescent="0.25">
      <c r="A73" s="99">
        <v>1700</v>
      </c>
      <c r="B73" s="197" t="s">
        <v>1067</v>
      </c>
      <c r="C73" s="239">
        <v>102068000</v>
      </c>
      <c r="D73" s="99">
        <v>1511230139</v>
      </c>
      <c r="E73" s="99"/>
      <c r="F73" s="197" t="str">
        <f>VLOOKUP(D73,'rà soát ĐK'!B66:C516,2,0)</f>
        <v>PB04090032551</v>
      </c>
      <c r="G73" s="99" t="s">
        <v>2168</v>
      </c>
      <c r="H73" s="99" t="str">
        <f>VLOOKUP(C73,'[1]Bến Cát'!$E$4:$F$177,2,0)</f>
        <v>11.192900390217979, 106.63041645271332</v>
      </c>
      <c r="I73" s="239">
        <v>1.11929003902179E+16</v>
      </c>
      <c r="J73" s="239">
        <v>1.06630416452713E+16</v>
      </c>
      <c r="K73" s="197" t="s">
        <v>1023</v>
      </c>
      <c r="L73" s="197" t="s">
        <v>878</v>
      </c>
      <c r="M73" s="197" t="s">
        <v>1070</v>
      </c>
      <c r="N73" s="99" t="s">
        <v>891</v>
      </c>
      <c r="O73" s="99"/>
      <c r="P73" s="99">
        <v>680</v>
      </c>
      <c r="Q73" s="99">
        <f t="shared" si="11"/>
        <v>680</v>
      </c>
      <c r="R73" s="99" t="s">
        <v>90</v>
      </c>
      <c r="S73" s="99" t="s">
        <v>91</v>
      </c>
      <c r="T73" s="99" t="s">
        <v>91</v>
      </c>
      <c r="U73" s="99" t="s">
        <v>881</v>
      </c>
      <c r="V73" s="99" t="s">
        <v>882</v>
      </c>
      <c r="W73" s="99"/>
      <c r="X73" s="99"/>
      <c r="Y73" s="99"/>
      <c r="Z73" s="99"/>
      <c r="AA73" s="99">
        <v>17</v>
      </c>
      <c r="AB73" s="99"/>
      <c r="AC73" s="197">
        <f t="shared" ref="AC73:AC104" si="12">SUM(W73:AB73)</f>
        <v>17</v>
      </c>
      <c r="AD73" s="99">
        <v>17</v>
      </c>
      <c r="AE73" s="99"/>
      <c r="AF73" s="99"/>
      <c r="AG73" s="99">
        <f t="shared" ref="AG73:AG104" si="13">SUM(AD73:AF73)</f>
        <v>17</v>
      </c>
      <c r="AH73" s="99"/>
      <c r="AI73" s="99">
        <v>17</v>
      </c>
      <c r="AJ73" s="99"/>
      <c r="AK73" s="99"/>
      <c r="AL73" s="99"/>
      <c r="AM73" s="99">
        <f t="shared" ref="AM73:AM136" si="14">SUM(AH73:AL73)</f>
        <v>17</v>
      </c>
      <c r="AN73" s="99" t="s">
        <v>883</v>
      </c>
      <c r="AO73" s="99">
        <v>3</v>
      </c>
      <c r="AP73" s="99"/>
    </row>
    <row r="74" spans="1:42" ht="39" customHeight="1" x14ac:dyDescent="0.25">
      <c r="A74" s="99">
        <v>1701</v>
      </c>
      <c r="B74" s="197" t="s">
        <v>1109</v>
      </c>
      <c r="C74" s="239">
        <v>102071000</v>
      </c>
      <c r="D74" s="99">
        <v>221100065680</v>
      </c>
      <c r="E74" s="99"/>
      <c r="F74" s="197" t="str">
        <f>VLOOKUP(D74,'rà soát ĐK'!B67:C517,2,0)</f>
        <v>PB04090037425</v>
      </c>
      <c r="G74" s="99" t="s">
        <v>2111</v>
      </c>
      <c r="H74" s="99" t="str">
        <f>VLOOKUP(C74,'[1]Bến Cát'!$E$4:$F$177,2,0)</f>
        <v>11.184099933653002, 106.62437546331435</v>
      </c>
      <c r="I74" s="239">
        <v>1.1184099933653E+16</v>
      </c>
      <c r="J74" s="239">
        <v>1.06624375463314E+16</v>
      </c>
      <c r="K74" s="197" t="s">
        <v>1110</v>
      </c>
      <c r="L74" s="197" t="s">
        <v>878</v>
      </c>
      <c r="M74" s="197" t="s">
        <v>1112</v>
      </c>
      <c r="N74" s="99" t="s">
        <v>891</v>
      </c>
      <c r="O74" s="99"/>
      <c r="P74" s="99">
        <v>160</v>
      </c>
      <c r="Q74" s="99">
        <f t="shared" si="11"/>
        <v>160</v>
      </c>
      <c r="R74" s="99" t="s">
        <v>90</v>
      </c>
      <c r="S74" s="99" t="s">
        <v>91</v>
      </c>
      <c r="T74" s="99" t="s">
        <v>91</v>
      </c>
      <c r="U74" s="99" t="s">
        <v>881</v>
      </c>
      <c r="V74" s="99" t="s">
        <v>897</v>
      </c>
      <c r="W74" s="99"/>
      <c r="X74" s="99"/>
      <c r="Y74" s="99"/>
      <c r="Z74" s="99"/>
      <c r="AA74" s="99">
        <v>6</v>
      </c>
      <c r="AB74" s="99"/>
      <c r="AC74" s="197">
        <f t="shared" si="12"/>
        <v>6</v>
      </c>
      <c r="AD74" s="99">
        <v>6</v>
      </c>
      <c r="AE74" s="99"/>
      <c r="AF74" s="99"/>
      <c r="AG74" s="99">
        <f t="shared" si="13"/>
        <v>6</v>
      </c>
      <c r="AH74" s="99"/>
      <c r="AI74" s="99">
        <v>6</v>
      </c>
      <c r="AJ74" s="99"/>
      <c r="AK74" s="99"/>
      <c r="AL74" s="99"/>
      <c r="AM74" s="99">
        <f t="shared" si="14"/>
        <v>6</v>
      </c>
      <c r="AN74" s="99" t="s">
        <v>883</v>
      </c>
      <c r="AO74" s="99">
        <v>3</v>
      </c>
      <c r="AP74" s="99"/>
    </row>
    <row r="75" spans="1:42" ht="39" customHeight="1" x14ac:dyDescent="0.25">
      <c r="A75" s="99">
        <v>1702</v>
      </c>
      <c r="B75" s="197" t="s">
        <v>1025</v>
      </c>
      <c r="C75" s="239">
        <v>102065000</v>
      </c>
      <c r="D75" s="99">
        <v>1511289244</v>
      </c>
      <c r="E75" s="99"/>
      <c r="F75" s="197" t="str">
        <f>VLOOKUP(D75,'rà soát ĐK'!B68:C518,2,0)</f>
        <v>PB04090032547</v>
      </c>
      <c r="G75" s="99" t="s">
        <v>2108</v>
      </c>
      <c r="H75" s="99" t="str">
        <f>VLOOKUP(C75,'[1]Bến Cát'!$E$4:$F$177,2,0)</f>
        <v>11.184408873124928, 106.62454690093392</v>
      </c>
      <c r="I75" s="239">
        <v>1.11844088731249E+16</v>
      </c>
      <c r="J75" s="239">
        <v>1.06624546900933E+16</v>
      </c>
      <c r="K75" s="197" t="s">
        <v>1028</v>
      </c>
      <c r="L75" s="197" t="s">
        <v>878</v>
      </c>
      <c r="M75" s="197" t="s">
        <v>1029</v>
      </c>
      <c r="N75" s="99" t="s">
        <v>880</v>
      </c>
      <c r="O75" s="99"/>
      <c r="P75" s="99">
        <v>850</v>
      </c>
      <c r="Q75" s="99">
        <f t="shared" si="11"/>
        <v>850</v>
      </c>
      <c r="R75" s="99" t="s">
        <v>90</v>
      </c>
      <c r="S75" s="99" t="s">
        <v>91</v>
      </c>
      <c r="T75" s="99" t="s">
        <v>91</v>
      </c>
      <c r="U75" s="99" t="s">
        <v>881</v>
      </c>
      <c r="V75" s="99" t="s">
        <v>897</v>
      </c>
      <c r="W75" s="99"/>
      <c r="X75" s="99"/>
      <c r="Y75" s="99"/>
      <c r="Z75" s="99"/>
      <c r="AA75" s="99">
        <v>20</v>
      </c>
      <c r="AB75" s="99"/>
      <c r="AC75" s="197">
        <f t="shared" si="12"/>
        <v>20</v>
      </c>
      <c r="AD75" s="99">
        <v>20</v>
      </c>
      <c r="AE75" s="99"/>
      <c r="AF75" s="99"/>
      <c r="AG75" s="99">
        <f t="shared" si="13"/>
        <v>20</v>
      </c>
      <c r="AH75" s="99"/>
      <c r="AI75" s="99">
        <v>20</v>
      </c>
      <c r="AJ75" s="99"/>
      <c r="AK75" s="99"/>
      <c r="AL75" s="99"/>
      <c r="AM75" s="99">
        <f t="shared" si="14"/>
        <v>20</v>
      </c>
      <c r="AN75" s="99" t="s">
        <v>883</v>
      </c>
      <c r="AO75" s="99">
        <v>3</v>
      </c>
      <c r="AP75" s="99"/>
    </row>
    <row r="76" spans="1:42" ht="39" customHeight="1" x14ac:dyDescent="0.25">
      <c r="A76" s="99">
        <v>1702</v>
      </c>
      <c r="B76" s="197" t="s">
        <v>1038</v>
      </c>
      <c r="C76" s="239">
        <v>102066000</v>
      </c>
      <c r="D76" s="99">
        <v>1511225111</v>
      </c>
      <c r="E76" s="99"/>
      <c r="F76" s="197" t="str">
        <f>VLOOKUP(D76,'rà soát ĐK'!B69:C519,2,0)</f>
        <v>PB04090032548</v>
      </c>
      <c r="G76" s="99" t="s">
        <v>2142</v>
      </c>
      <c r="H76" s="99" t="str">
        <f>VLOOKUP(C76,'[1]Bến Cát'!$E$4:$F$177,2,0)</f>
        <v>11.191414203792698, 106.63021916784415</v>
      </c>
      <c r="I76" s="239">
        <v>1.11914142037926E+16</v>
      </c>
      <c r="J76" s="239">
        <v>1.06630219167844E+16</v>
      </c>
      <c r="K76" s="197" t="s">
        <v>1028</v>
      </c>
      <c r="L76" s="197" t="s">
        <v>878</v>
      </c>
      <c r="M76" s="197" t="s">
        <v>1041</v>
      </c>
      <c r="N76" s="99" t="s">
        <v>891</v>
      </c>
      <c r="O76" s="99"/>
      <c r="P76" s="99">
        <v>540</v>
      </c>
      <c r="Q76" s="99">
        <f t="shared" si="11"/>
        <v>540</v>
      </c>
      <c r="R76" s="99" t="s">
        <v>90</v>
      </c>
      <c r="S76" s="99" t="s">
        <v>91</v>
      </c>
      <c r="T76" s="99" t="s">
        <v>91</v>
      </c>
      <c r="U76" s="99" t="s">
        <v>881</v>
      </c>
      <c r="V76" s="99" t="s">
        <v>882</v>
      </c>
      <c r="W76" s="99"/>
      <c r="X76" s="99"/>
      <c r="Y76" s="99"/>
      <c r="Z76" s="99"/>
      <c r="AA76" s="99">
        <v>13</v>
      </c>
      <c r="AB76" s="99"/>
      <c r="AC76" s="197">
        <f t="shared" si="12"/>
        <v>13</v>
      </c>
      <c r="AD76" s="99">
        <v>13</v>
      </c>
      <c r="AE76" s="99"/>
      <c r="AF76" s="99"/>
      <c r="AG76" s="99">
        <f t="shared" si="13"/>
        <v>13</v>
      </c>
      <c r="AH76" s="99"/>
      <c r="AI76" s="99">
        <v>13</v>
      </c>
      <c r="AJ76" s="99"/>
      <c r="AK76" s="99"/>
      <c r="AL76" s="99"/>
      <c r="AM76" s="99">
        <f t="shared" si="14"/>
        <v>13</v>
      </c>
      <c r="AN76" s="99" t="s">
        <v>883</v>
      </c>
      <c r="AO76" s="99">
        <v>3</v>
      </c>
      <c r="AP76" s="99"/>
    </row>
    <row r="77" spans="1:42" ht="39" customHeight="1" x14ac:dyDescent="0.25">
      <c r="A77" s="99">
        <v>1704</v>
      </c>
      <c r="B77" s="197" t="s">
        <v>1087</v>
      </c>
      <c r="C77" s="239">
        <v>102069000</v>
      </c>
      <c r="D77" s="99">
        <v>221100365149</v>
      </c>
      <c r="E77" s="99"/>
      <c r="F77" s="197" t="str">
        <f>VLOOKUP(D77,'rà soát ĐK'!B70:C520,2,0)</f>
        <v>PB04090027207</v>
      </c>
      <c r="G77" s="99" t="s">
        <v>2136</v>
      </c>
      <c r="H77" s="99" t="str">
        <f>VLOOKUP(C77,'[1]Bến Cát'!$E$4:$F$177,2,0)</f>
        <v>11.18304788541824, 106.62576983256025</v>
      </c>
      <c r="I77" s="239">
        <v>1118304788541820</v>
      </c>
      <c r="J77" s="239">
        <v>1.0662576983256E+16</v>
      </c>
      <c r="K77" s="197" t="s">
        <v>1090</v>
      </c>
      <c r="L77" s="197" t="s">
        <v>878</v>
      </c>
      <c r="M77" s="197" t="s">
        <v>1091</v>
      </c>
      <c r="N77" s="99" t="s">
        <v>926</v>
      </c>
      <c r="O77" s="99"/>
      <c r="P77" s="99">
        <v>945</v>
      </c>
      <c r="Q77" s="99">
        <f t="shared" si="11"/>
        <v>945</v>
      </c>
      <c r="R77" s="99" t="s">
        <v>91</v>
      </c>
      <c r="S77" s="99" t="s">
        <v>90</v>
      </c>
      <c r="T77" s="99" t="s">
        <v>91</v>
      </c>
      <c r="U77" s="99" t="s">
        <v>881</v>
      </c>
      <c r="V77" s="99" t="s">
        <v>897</v>
      </c>
      <c r="W77" s="99"/>
      <c r="X77" s="99"/>
      <c r="Y77" s="99"/>
      <c r="Z77" s="99"/>
      <c r="AA77" s="99">
        <v>15</v>
      </c>
      <c r="AB77" s="99"/>
      <c r="AC77" s="197">
        <f t="shared" si="12"/>
        <v>15</v>
      </c>
      <c r="AD77" s="99">
        <v>15</v>
      </c>
      <c r="AE77" s="99"/>
      <c r="AF77" s="99"/>
      <c r="AG77" s="99">
        <f t="shared" si="13"/>
        <v>15</v>
      </c>
      <c r="AH77" s="99"/>
      <c r="AI77" s="99">
        <v>15</v>
      </c>
      <c r="AJ77" s="99"/>
      <c r="AK77" s="99"/>
      <c r="AL77" s="99"/>
      <c r="AM77" s="99">
        <f t="shared" si="14"/>
        <v>15</v>
      </c>
      <c r="AN77" s="99" t="s">
        <v>883</v>
      </c>
      <c r="AO77" s="99">
        <v>3</v>
      </c>
      <c r="AP77" s="99"/>
    </row>
    <row r="78" spans="1:42" ht="39" customHeight="1" x14ac:dyDescent="0.25">
      <c r="A78" s="99">
        <v>1704</v>
      </c>
      <c r="B78" s="197" t="s">
        <v>1096</v>
      </c>
      <c r="C78" s="239">
        <v>102070000</v>
      </c>
      <c r="D78" s="99">
        <v>22408471</v>
      </c>
      <c r="E78" s="99"/>
      <c r="F78" s="197" t="str">
        <f>VLOOKUP(D78,'rà soát ĐK'!B71:C521,2,0)</f>
        <v>PB04090032694</v>
      </c>
      <c r="G78" s="99" t="s">
        <v>2161</v>
      </c>
      <c r="H78" s="99" t="str">
        <f>VLOOKUP(C78,'[1]Bến Cát'!$E$4:$F$177,2,0)</f>
        <v>11.17678433440675, 106.62094545971433</v>
      </c>
      <c r="I78" s="239">
        <v>1117678433440670</v>
      </c>
      <c r="J78" s="239">
        <v>1.06620945459714E+16</v>
      </c>
      <c r="K78" s="197" t="s">
        <v>1090</v>
      </c>
      <c r="L78" s="197" t="s">
        <v>878</v>
      </c>
      <c r="M78" s="197" t="s">
        <v>1099</v>
      </c>
      <c r="N78" s="99" t="s">
        <v>880</v>
      </c>
      <c r="O78" s="99"/>
      <c r="P78" s="99">
        <v>320</v>
      </c>
      <c r="Q78" s="99">
        <f t="shared" si="11"/>
        <v>320</v>
      </c>
      <c r="R78" s="99" t="s">
        <v>91</v>
      </c>
      <c r="S78" s="99" t="s">
        <v>90</v>
      </c>
      <c r="T78" s="99" t="s">
        <v>91</v>
      </c>
      <c r="U78" s="99" t="s">
        <v>881</v>
      </c>
      <c r="V78" s="99" t="s">
        <v>882</v>
      </c>
      <c r="W78" s="99"/>
      <c r="X78" s="99"/>
      <c r="Y78" s="99"/>
      <c r="Z78" s="99"/>
      <c r="AA78" s="99">
        <v>5</v>
      </c>
      <c r="AB78" s="99"/>
      <c r="AC78" s="197">
        <f t="shared" si="12"/>
        <v>5</v>
      </c>
      <c r="AD78" s="99">
        <v>5</v>
      </c>
      <c r="AE78" s="99"/>
      <c r="AF78" s="99"/>
      <c r="AG78" s="99">
        <f t="shared" si="13"/>
        <v>5</v>
      </c>
      <c r="AH78" s="99"/>
      <c r="AI78" s="99">
        <v>5</v>
      </c>
      <c r="AJ78" s="99"/>
      <c r="AK78" s="99"/>
      <c r="AL78" s="99"/>
      <c r="AM78" s="99">
        <f t="shared" si="14"/>
        <v>5</v>
      </c>
      <c r="AN78" s="99" t="s">
        <v>883</v>
      </c>
      <c r="AO78" s="99">
        <v>3</v>
      </c>
      <c r="AP78" s="99"/>
    </row>
    <row r="79" spans="1:42" ht="39" customHeight="1" x14ac:dyDescent="0.25">
      <c r="A79" s="99">
        <v>1705</v>
      </c>
      <c r="B79" s="197" t="s">
        <v>1012</v>
      </c>
      <c r="C79" s="239">
        <v>102063000</v>
      </c>
      <c r="D79" s="99">
        <v>221100365329</v>
      </c>
      <c r="E79" s="99"/>
      <c r="F79" s="197" t="str">
        <f>VLOOKUP(D79,'rà soát ĐK'!B72:C522,2,0)</f>
        <v>PB04090029039</v>
      </c>
      <c r="G79" s="99" t="s">
        <v>2132</v>
      </c>
      <c r="H79" s="99" t="str">
        <f>VLOOKUP(C79,'[1]Bến Cát'!$E$4:$F$177,2,0)</f>
        <v>11.18673276802226, 106.62830232107365</v>
      </c>
      <c r="I79" s="239">
        <v>1118673276802220</v>
      </c>
      <c r="J79" s="239">
        <v>1.06628302321073E+16</v>
      </c>
      <c r="K79" s="197" t="s">
        <v>1013</v>
      </c>
      <c r="L79" s="197" t="s">
        <v>878</v>
      </c>
      <c r="M79" s="197" t="s">
        <v>1015</v>
      </c>
      <c r="N79" s="99" t="s">
        <v>926</v>
      </c>
      <c r="O79" s="99"/>
      <c r="P79" s="99">
        <v>1215</v>
      </c>
      <c r="Q79" s="99">
        <f t="shared" si="11"/>
        <v>1215</v>
      </c>
      <c r="R79" s="99" t="s">
        <v>90</v>
      </c>
      <c r="S79" s="99" t="s">
        <v>91</v>
      </c>
      <c r="T79" s="99" t="s">
        <v>91</v>
      </c>
      <c r="U79" s="99" t="s">
        <v>881</v>
      </c>
      <c r="V79" s="99" t="s">
        <v>882</v>
      </c>
      <c r="W79" s="99"/>
      <c r="X79" s="99"/>
      <c r="Y79" s="99"/>
      <c r="Z79" s="99"/>
      <c r="AA79" s="99">
        <v>31</v>
      </c>
      <c r="AB79" s="99"/>
      <c r="AC79" s="197">
        <f t="shared" si="12"/>
        <v>31</v>
      </c>
      <c r="AD79" s="99">
        <v>31</v>
      </c>
      <c r="AE79" s="99"/>
      <c r="AF79" s="99"/>
      <c r="AG79" s="99">
        <f t="shared" si="13"/>
        <v>31</v>
      </c>
      <c r="AH79" s="99"/>
      <c r="AI79" s="99">
        <v>31</v>
      </c>
      <c r="AJ79" s="99"/>
      <c r="AK79" s="99"/>
      <c r="AL79" s="99"/>
      <c r="AM79" s="99">
        <f t="shared" si="14"/>
        <v>31</v>
      </c>
      <c r="AN79" s="99" t="s">
        <v>883</v>
      </c>
      <c r="AO79" s="99">
        <v>3</v>
      </c>
      <c r="AP79" s="99"/>
    </row>
    <row r="80" spans="1:42" ht="39" customHeight="1" x14ac:dyDescent="0.25">
      <c r="A80" s="99">
        <v>1706</v>
      </c>
      <c r="B80" s="197" t="s">
        <v>902</v>
      </c>
      <c r="C80" s="239">
        <v>102053000</v>
      </c>
      <c r="D80" s="99">
        <v>251200039414</v>
      </c>
      <c r="E80" s="99"/>
      <c r="F80" s="197" t="str">
        <f>VLOOKUP(D80,'rà soát ĐK'!B73:C523,2,0)</f>
        <v>PE19000001520</v>
      </c>
      <c r="G80" s="99" t="s">
        <v>2212</v>
      </c>
      <c r="H80" s="99" t="str">
        <f>VLOOKUP(C80,'[1]Bến Cát'!$E$4:$F$177,2,0)</f>
        <v>11.179095260067124, 106.62389276244438</v>
      </c>
      <c r="I80" s="239">
        <v>1.11790952600671E+16</v>
      </c>
      <c r="J80" s="239">
        <v>1.06623892762444E+16</v>
      </c>
      <c r="K80" s="197" t="s">
        <v>903</v>
      </c>
      <c r="L80" s="197" t="s">
        <v>878</v>
      </c>
      <c r="M80" s="197" t="s">
        <v>905</v>
      </c>
      <c r="N80" s="99" t="s">
        <v>891</v>
      </c>
      <c r="O80" s="99"/>
      <c r="P80" s="99">
        <v>840</v>
      </c>
      <c r="Q80" s="99">
        <f t="shared" si="11"/>
        <v>840</v>
      </c>
      <c r="R80" s="99" t="s">
        <v>90</v>
      </c>
      <c r="S80" s="99" t="s">
        <v>91</v>
      </c>
      <c r="T80" s="99" t="s">
        <v>91</v>
      </c>
      <c r="U80" s="99" t="s">
        <v>881</v>
      </c>
      <c r="V80" s="99" t="s">
        <v>882</v>
      </c>
      <c r="W80" s="99"/>
      <c r="X80" s="99"/>
      <c r="Y80" s="99"/>
      <c r="Z80" s="99"/>
      <c r="AA80" s="99">
        <v>12</v>
      </c>
      <c r="AB80" s="99"/>
      <c r="AC80" s="197">
        <f t="shared" si="12"/>
        <v>12</v>
      </c>
      <c r="AD80" s="99">
        <v>12</v>
      </c>
      <c r="AE80" s="99"/>
      <c r="AF80" s="99"/>
      <c r="AG80" s="99">
        <f t="shared" si="13"/>
        <v>12</v>
      </c>
      <c r="AH80" s="99"/>
      <c r="AI80" s="99">
        <v>12</v>
      </c>
      <c r="AJ80" s="99"/>
      <c r="AK80" s="99"/>
      <c r="AL80" s="99"/>
      <c r="AM80" s="99">
        <f t="shared" si="14"/>
        <v>12</v>
      </c>
      <c r="AN80" s="99" t="s">
        <v>883</v>
      </c>
      <c r="AO80" s="99">
        <v>3</v>
      </c>
      <c r="AP80" s="99"/>
    </row>
    <row r="81" spans="1:42" ht="39" customHeight="1" x14ac:dyDescent="0.25">
      <c r="A81" s="99">
        <v>1707</v>
      </c>
      <c r="B81" s="197" t="s">
        <v>990</v>
      </c>
      <c r="C81" s="239">
        <v>102061000</v>
      </c>
      <c r="D81" s="99">
        <v>251200039417</v>
      </c>
      <c r="E81" s="99"/>
      <c r="F81" s="197" t="str">
        <f>VLOOKUP(D81,'rà soát ĐK'!B74:C524,2,0)</f>
        <v>PE19000001516</v>
      </c>
      <c r="G81" s="99" t="s">
        <v>2210</v>
      </c>
      <c r="H81" s="99" t="str">
        <f>VLOOKUP(C81,'[1]Bến Cát'!$E$4:$F$177,2,0)</f>
        <v>11.182484457741387, 106.62715112197783</v>
      </c>
      <c r="I81" s="239">
        <v>1.11824844577413E+16</v>
      </c>
      <c r="J81" s="239">
        <v>1.06627151121977E+16</v>
      </c>
      <c r="K81" s="197" t="s">
        <v>993</v>
      </c>
      <c r="L81" s="197" t="s">
        <v>878</v>
      </c>
      <c r="M81" s="197" t="s">
        <v>994</v>
      </c>
      <c r="N81" s="99" t="s">
        <v>880</v>
      </c>
      <c r="O81" s="99"/>
      <c r="P81" s="99">
        <v>480</v>
      </c>
      <c r="Q81" s="99">
        <f t="shared" si="11"/>
        <v>480</v>
      </c>
      <c r="R81" s="99" t="s">
        <v>90</v>
      </c>
      <c r="S81" s="99" t="s">
        <v>91</v>
      </c>
      <c r="T81" s="99" t="s">
        <v>91</v>
      </c>
      <c r="U81" s="99" t="s">
        <v>881</v>
      </c>
      <c r="V81" s="99" t="s">
        <v>897</v>
      </c>
      <c r="W81" s="99"/>
      <c r="X81" s="99"/>
      <c r="Y81" s="99"/>
      <c r="Z81" s="99"/>
      <c r="AA81" s="99">
        <v>9</v>
      </c>
      <c r="AB81" s="99"/>
      <c r="AC81" s="197">
        <f t="shared" si="12"/>
        <v>9</v>
      </c>
      <c r="AD81" s="99">
        <v>9</v>
      </c>
      <c r="AE81" s="99"/>
      <c r="AF81" s="99"/>
      <c r="AG81" s="99">
        <f t="shared" si="13"/>
        <v>9</v>
      </c>
      <c r="AH81" s="99"/>
      <c r="AI81" s="99">
        <v>9</v>
      </c>
      <c r="AJ81" s="99"/>
      <c r="AK81" s="99"/>
      <c r="AL81" s="99"/>
      <c r="AM81" s="99">
        <f t="shared" si="14"/>
        <v>9</v>
      </c>
      <c r="AN81" s="99" t="s">
        <v>883</v>
      </c>
      <c r="AO81" s="99">
        <v>3</v>
      </c>
      <c r="AP81" s="99"/>
    </row>
    <row r="82" spans="1:42" ht="39" customHeight="1" x14ac:dyDescent="0.25">
      <c r="A82" s="99">
        <v>1707</v>
      </c>
      <c r="B82" s="197" t="s">
        <v>1008</v>
      </c>
      <c r="C82" s="239">
        <v>102062000</v>
      </c>
      <c r="D82" s="99">
        <v>251200039421</v>
      </c>
      <c r="E82" s="99"/>
      <c r="F82" s="197" t="str">
        <f>VLOOKUP(D82,'rà soát ĐK'!B75:C525,2,0)</f>
        <v>PE19000001524</v>
      </c>
      <c r="G82" s="99" t="s">
        <v>2113</v>
      </c>
      <c r="H82" s="99" t="str">
        <f>VLOOKUP(C82,'[1]Bến Cát'!$E$4:$F$177,2,0)</f>
        <v>11.18838528387074, 106.63109407297449</v>
      </c>
      <c r="I82" s="239">
        <v>1118838528387070</v>
      </c>
      <c r="J82" s="239">
        <v>1.06631094072974E+16</v>
      </c>
      <c r="K82" s="197" t="s">
        <v>993</v>
      </c>
      <c r="L82" s="197" t="s">
        <v>878</v>
      </c>
      <c r="M82" s="197" t="s">
        <v>1011</v>
      </c>
      <c r="N82" s="99" t="s">
        <v>880</v>
      </c>
      <c r="O82" s="99"/>
      <c r="P82" s="99">
        <v>1040</v>
      </c>
      <c r="Q82" s="99">
        <f t="shared" si="11"/>
        <v>1040</v>
      </c>
      <c r="R82" s="99" t="s">
        <v>90</v>
      </c>
      <c r="S82" s="99" t="s">
        <v>91</v>
      </c>
      <c r="T82" s="99" t="s">
        <v>91</v>
      </c>
      <c r="U82" s="99" t="s">
        <v>881</v>
      </c>
      <c r="V82" s="99" t="s">
        <v>882</v>
      </c>
      <c r="W82" s="99"/>
      <c r="X82" s="99"/>
      <c r="Y82" s="99"/>
      <c r="Z82" s="99"/>
      <c r="AA82" s="99">
        <v>14</v>
      </c>
      <c r="AB82" s="99"/>
      <c r="AC82" s="197">
        <f t="shared" si="12"/>
        <v>14</v>
      </c>
      <c r="AD82" s="99">
        <v>14</v>
      </c>
      <c r="AE82" s="99"/>
      <c r="AF82" s="99"/>
      <c r="AG82" s="99">
        <f t="shared" si="13"/>
        <v>14</v>
      </c>
      <c r="AH82" s="99"/>
      <c r="AI82" s="99">
        <v>14</v>
      </c>
      <c r="AJ82" s="99"/>
      <c r="AK82" s="99"/>
      <c r="AL82" s="99"/>
      <c r="AM82" s="99">
        <f t="shared" si="14"/>
        <v>14</v>
      </c>
      <c r="AN82" s="99" t="s">
        <v>883</v>
      </c>
      <c r="AO82" s="99">
        <v>3</v>
      </c>
      <c r="AP82" s="99"/>
    </row>
    <row r="83" spans="1:42" ht="39" customHeight="1" x14ac:dyDescent="0.25">
      <c r="A83" s="99">
        <v>1708</v>
      </c>
      <c r="B83" s="197" t="s">
        <v>893</v>
      </c>
      <c r="C83" s="239">
        <v>102052000</v>
      </c>
      <c r="D83" s="99">
        <v>21001201</v>
      </c>
      <c r="E83" s="99"/>
      <c r="F83" s="197" t="e">
        <f>VLOOKUP(D83,'rà soát ĐK'!B76:C526,2,0)</f>
        <v>#N/A</v>
      </c>
      <c r="G83" s="99"/>
      <c r="H83" s="99" t="str">
        <f>VLOOKUP(C83,'[1]Bến Cát'!$E$4:$F$177,2,0)</f>
        <v>11.183175321419446, 106.62606501263701</v>
      </c>
      <c r="I83" s="239">
        <v>1.11831753214194E+16</v>
      </c>
      <c r="J83" s="239">
        <v>1.06626065012637E+16</v>
      </c>
      <c r="K83" s="197" t="s">
        <v>894</v>
      </c>
      <c r="L83" s="197" t="s">
        <v>878</v>
      </c>
      <c r="M83" s="197" t="s">
        <v>896</v>
      </c>
      <c r="N83" s="99" t="s">
        <v>880</v>
      </c>
      <c r="O83" s="99"/>
      <c r="P83" s="99">
        <v>400</v>
      </c>
      <c r="Q83" s="99">
        <f t="shared" si="11"/>
        <v>400</v>
      </c>
      <c r="R83" s="99" t="s">
        <v>91</v>
      </c>
      <c r="S83" s="99" t="s">
        <v>90</v>
      </c>
      <c r="T83" s="99" t="s">
        <v>91</v>
      </c>
      <c r="U83" s="99" t="s">
        <v>881</v>
      </c>
      <c r="V83" s="99" t="s">
        <v>897</v>
      </c>
      <c r="W83" s="99"/>
      <c r="X83" s="99"/>
      <c r="Y83" s="99"/>
      <c r="Z83" s="99"/>
      <c r="AA83" s="99">
        <v>10</v>
      </c>
      <c r="AB83" s="99"/>
      <c r="AC83" s="197">
        <f t="shared" si="12"/>
        <v>10</v>
      </c>
      <c r="AD83" s="99">
        <v>10</v>
      </c>
      <c r="AE83" s="99"/>
      <c r="AF83" s="99"/>
      <c r="AG83" s="99">
        <f t="shared" si="13"/>
        <v>10</v>
      </c>
      <c r="AH83" s="99"/>
      <c r="AI83" s="99">
        <v>10</v>
      </c>
      <c r="AJ83" s="99"/>
      <c r="AK83" s="99"/>
      <c r="AL83" s="99"/>
      <c r="AM83" s="99">
        <f t="shared" si="14"/>
        <v>10</v>
      </c>
      <c r="AN83" s="99" t="s">
        <v>883</v>
      </c>
      <c r="AO83" s="99">
        <v>3</v>
      </c>
      <c r="AP83" s="99"/>
    </row>
    <row r="84" spans="1:42" ht="39" customHeight="1" x14ac:dyDescent="0.25">
      <c r="A84" s="99">
        <v>1709</v>
      </c>
      <c r="B84" s="197" t="s">
        <v>944</v>
      </c>
      <c r="C84" s="239">
        <v>102057000</v>
      </c>
      <c r="D84" s="99">
        <v>221100336691</v>
      </c>
      <c r="E84" s="99"/>
      <c r="F84" s="197" t="str">
        <f>VLOOKUP(D84,'rà soát ĐK'!B77:C527,2,0)</f>
        <v>PB04090027206</v>
      </c>
      <c r="G84" s="99" t="s">
        <v>2217</v>
      </c>
      <c r="H84" s="99" t="str">
        <f>VLOOKUP(C84,'[1]Bến Cát'!$E$4:$F$177,2,0)</f>
        <v>11.181500476818995, 106.62970151846514</v>
      </c>
      <c r="I84" s="239">
        <v>1.11815004768189E+16</v>
      </c>
      <c r="J84" s="239">
        <v>1.06629701518465E+16</v>
      </c>
      <c r="K84" s="197" t="s">
        <v>947</v>
      </c>
      <c r="L84" s="197" t="s">
        <v>878</v>
      </c>
      <c r="M84" s="197" t="s">
        <v>948</v>
      </c>
      <c r="N84" s="99" t="s">
        <v>891</v>
      </c>
      <c r="O84" s="99"/>
      <c r="P84" s="99">
        <v>560</v>
      </c>
      <c r="Q84" s="99">
        <f t="shared" si="11"/>
        <v>560</v>
      </c>
      <c r="R84" s="99" t="s">
        <v>91</v>
      </c>
      <c r="S84" s="99" t="s">
        <v>90</v>
      </c>
      <c r="T84" s="99" t="s">
        <v>91</v>
      </c>
      <c r="U84" s="99" t="s">
        <v>881</v>
      </c>
      <c r="V84" s="99" t="s">
        <v>882</v>
      </c>
      <c r="W84" s="99"/>
      <c r="X84" s="99"/>
      <c r="Y84" s="99"/>
      <c r="Z84" s="99"/>
      <c r="AA84" s="99">
        <v>12</v>
      </c>
      <c r="AB84" s="99"/>
      <c r="AC84" s="197">
        <f t="shared" si="12"/>
        <v>12</v>
      </c>
      <c r="AD84" s="99">
        <v>12</v>
      </c>
      <c r="AE84" s="99"/>
      <c r="AF84" s="99"/>
      <c r="AG84" s="99">
        <f t="shared" si="13"/>
        <v>12</v>
      </c>
      <c r="AH84" s="99"/>
      <c r="AI84" s="99">
        <v>12</v>
      </c>
      <c r="AJ84" s="99"/>
      <c r="AK84" s="99"/>
      <c r="AL84" s="99"/>
      <c r="AM84" s="99">
        <f t="shared" si="14"/>
        <v>12</v>
      </c>
      <c r="AN84" s="99" t="s">
        <v>883</v>
      </c>
      <c r="AO84" s="99">
        <v>2</v>
      </c>
      <c r="AP84" s="99"/>
    </row>
    <row r="85" spans="1:42" ht="39" customHeight="1" x14ac:dyDescent="0.25">
      <c r="A85" s="99">
        <v>1709</v>
      </c>
      <c r="B85" s="197" t="s">
        <v>957</v>
      </c>
      <c r="C85" s="239">
        <v>102058000</v>
      </c>
      <c r="D85" s="99">
        <v>221100315825</v>
      </c>
      <c r="E85" s="99"/>
      <c r="F85" s="197" t="str">
        <f>VLOOKUP(D85,'rà soát ĐK'!B78:C528,2,0)</f>
        <v>PB04090027208</v>
      </c>
      <c r="G85" s="99" t="s">
        <v>2179</v>
      </c>
      <c r="H85" s="99" t="str">
        <f>VLOOKUP(C85,'[1]Bến Cát'!$E$4:$F$177,2,0)</f>
        <v>11.186277845514855, 106.64187243189245</v>
      </c>
      <c r="I85" s="239">
        <v>1.11862778455148E+16</v>
      </c>
      <c r="J85" s="239">
        <v>1.06641872431892E+16</v>
      </c>
      <c r="K85" s="197" t="s">
        <v>947</v>
      </c>
      <c r="L85" s="197" t="s">
        <v>878</v>
      </c>
      <c r="M85" s="197" t="s">
        <v>960</v>
      </c>
      <c r="N85" s="99" t="s">
        <v>891</v>
      </c>
      <c r="O85" s="99"/>
      <c r="P85" s="99">
        <v>935</v>
      </c>
      <c r="Q85" s="99">
        <f t="shared" si="11"/>
        <v>935</v>
      </c>
      <c r="R85" s="99" t="s">
        <v>91</v>
      </c>
      <c r="S85" s="99" t="s">
        <v>90</v>
      </c>
      <c r="T85" s="99" t="s">
        <v>91</v>
      </c>
      <c r="U85" s="99" t="s">
        <v>881</v>
      </c>
      <c r="V85" s="99" t="s">
        <v>882</v>
      </c>
      <c r="W85" s="99"/>
      <c r="X85" s="99"/>
      <c r="Y85" s="99"/>
      <c r="Z85" s="99"/>
      <c r="AA85" s="99">
        <v>18</v>
      </c>
      <c r="AB85" s="99"/>
      <c r="AC85" s="197">
        <f t="shared" si="12"/>
        <v>18</v>
      </c>
      <c r="AD85" s="99">
        <v>18</v>
      </c>
      <c r="AE85" s="99"/>
      <c r="AF85" s="99"/>
      <c r="AG85" s="99">
        <f t="shared" si="13"/>
        <v>18</v>
      </c>
      <c r="AH85" s="99"/>
      <c r="AI85" s="99">
        <v>18</v>
      </c>
      <c r="AJ85" s="99"/>
      <c r="AK85" s="99"/>
      <c r="AL85" s="99"/>
      <c r="AM85" s="99">
        <f t="shared" si="14"/>
        <v>18</v>
      </c>
      <c r="AN85" s="99" t="s">
        <v>883</v>
      </c>
      <c r="AO85" s="99">
        <v>2</v>
      </c>
      <c r="AP85" s="99"/>
    </row>
    <row r="86" spans="1:42" ht="39" customHeight="1" x14ac:dyDescent="0.25">
      <c r="A86" s="99">
        <v>1709</v>
      </c>
      <c r="B86" s="197" t="s">
        <v>970</v>
      </c>
      <c r="C86" s="239">
        <v>102059000</v>
      </c>
      <c r="D86" s="99">
        <v>221200041156</v>
      </c>
      <c r="E86" s="99"/>
      <c r="F86" s="197" t="str">
        <f>VLOOKUP(D86,'rà soát ĐK'!B79:C529,2,0)</f>
        <v>PB04090027211</v>
      </c>
      <c r="G86" s="99" t="s">
        <v>2173</v>
      </c>
      <c r="H86" s="99" t="str">
        <f>VLOOKUP(C86,'[1]Bến Cát'!$E$4:$F$177,2,0)</f>
        <v>11.19066872315915, 106.64794286024285</v>
      </c>
      <c r="I86" s="239">
        <v>1119066872315910</v>
      </c>
      <c r="J86" s="239">
        <v>1.06647942860242E+16</v>
      </c>
      <c r="K86" s="197" t="s">
        <v>947</v>
      </c>
      <c r="L86" s="197" t="s">
        <v>878</v>
      </c>
      <c r="M86" s="197" t="s">
        <v>973</v>
      </c>
      <c r="N86" s="99" t="s">
        <v>891</v>
      </c>
      <c r="O86" s="99"/>
      <c r="P86" s="99">
        <v>850</v>
      </c>
      <c r="Q86" s="99">
        <f t="shared" si="11"/>
        <v>850</v>
      </c>
      <c r="R86" s="99" t="s">
        <v>91</v>
      </c>
      <c r="S86" s="99" t="s">
        <v>90</v>
      </c>
      <c r="T86" s="99" t="s">
        <v>91</v>
      </c>
      <c r="U86" s="99" t="s">
        <v>881</v>
      </c>
      <c r="V86" s="99" t="s">
        <v>897</v>
      </c>
      <c r="W86" s="99"/>
      <c r="X86" s="99"/>
      <c r="Y86" s="99"/>
      <c r="Z86" s="99"/>
      <c r="AA86" s="99">
        <v>17</v>
      </c>
      <c r="AB86" s="99"/>
      <c r="AC86" s="197">
        <f t="shared" si="12"/>
        <v>17</v>
      </c>
      <c r="AD86" s="99">
        <v>17</v>
      </c>
      <c r="AE86" s="99"/>
      <c r="AF86" s="99"/>
      <c r="AG86" s="99">
        <f t="shared" si="13"/>
        <v>17</v>
      </c>
      <c r="AH86" s="99"/>
      <c r="AI86" s="99">
        <v>17</v>
      </c>
      <c r="AJ86" s="99"/>
      <c r="AK86" s="99"/>
      <c r="AL86" s="99"/>
      <c r="AM86" s="99">
        <f t="shared" si="14"/>
        <v>17</v>
      </c>
      <c r="AN86" s="99" t="s">
        <v>883</v>
      </c>
      <c r="AO86" s="99">
        <v>2</v>
      </c>
      <c r="AP86" s="99"/>
    </row>
    <row r="87" spans="1:42" ht="39" customHeight="1" x14ac:dyDescent="0.25">
      <c r="A87" s="99">
        <v>1710</v>
      </c>
      <c r="B87" s="197" t="s">
        <v>875</v>
      </c>
      <c r="C87" s="239">
        <v>102407000</v>
      </c>
      <c r="D87" s="99">
        <v>1611598810</v>
      </c>
      <c r="E87" s="99"/>
      <c r="F87" s="197" t="str">
        <f>VLOOKUP(D87,'rà soát ĐK'!B80:C530,2,0)</f>
        <v>PB04090037424</v>
      </c>
      <c r="G87" s="99" t="s">
        <v>2222</v>
      </c>
      <c r="H87" s="99" t="str">
        <f>VLOOKUP(C87,'[1]Bến Cát'!$E$4:$F$177,2,0)</f>
        <v>11.179202522906118, 106.63190998342895</v>
      </c>
      <c r="I87" s="239">
        <v>1.11792025229061E+16</v>
      </c>
      <c r="J87" s="239">
        <v>1.06631909983428E+16</v>
      </c>
      <c r="K87" s="197" t="s">
        <v>876</v>
      </c>
      <c r="L87" s="197" t="s">
        <v>878</v>
      </c>
      <c r="M87" s="197" t="s">
        <v>879</v>
      </c>
      <c r="N87" s="99" t="s">
        <v>880</v>
      </c>
      <c r="O87" s="99"/>
      <c r="P87" s="99">
        <v>180</v>
      </c>
      <c r="Q87" s="99">
        <f t="shared" si="11"/>
        <v>180</v>
      </c>
      <c r="R87" s="99" t="s">
        <v>90</v>
      </c>
      <c r="S87" s="99" t="s">
        <v>91</v>
      </c>
      <c r="T87" s="99" t="s">
        <v>91</v>
      </c>
      <c r="U87" s="99" t="s">
        <v>881</v>
      </c>
      <c r="V87" s="99" t="s">
        <v>882</v>
      </c>
      <c r="W87" s="99"/>
      <c r="X87" s="99"/>
      <c r="Y87" s="99"/>
      <c r="Z87" s="99"/>
      <c r="AA87" s="99">
        <v>6</v>
      </c>
      <c r="AB87" s="99"/>
      <c r="AC87" s="197">
        <f t="shared" si="12"/>
        <v>6</v>
      </c>
      <c r="AD87" s="99">
        <v>6</v>
      </c>
      <c r="AE87" s="99"/>
      <c r="AF87" s="99"/>
      <c r="AG87" s="99">
        <f t="shared" si="13"/>
        <v>6</v>
      </c>
      <c r="AH87" s="99"/>
      <c r="AI87" s="99">
        <v>6</v>
      </c>
      <c r="AJ87" s="99"/>
      <c r="AK87" s="99"/>
      <c r="AL87" s="99"/>
      <c r="AM87" s="99">
        <f t="shared" si="14"/>
        <v>6</v>
      </c>
      <c r="AN87" s="99" t="s">
        <v>883</v>
      </c>
      <c r="AO87" s="99">
        <v>3</v>
      </c>
      <c r="AP87" s="99"/>
    </row>
    <row r="88" spans="1:42" ht="39" customHeight="1" x14ac:dyDescent="0.25">
      <c r="A88" s="99">
        <v>1711</v>
      </c>
      <c r="B88" s="197" t="s">
        <v>982</v>
      </c>
      <c r="C88" s="239">
        <v>102060000</v>
      </c>
      <c r="D88" s="99">
        <v>221100316103</v>
      </c>
      <c r="E88" s="99"/>
      <c r="F88" s="197" t="str">
        <f>VLOOKUP(D88,'rà soát ĐK'!B81:C531,2,0)</f>
        <v>PB04090037429</v>
      </c>
      <c r="G88" s="99" t="s">
        <v>2166</v>
      </c>
      <c r="H88" s="99" t="str">
        <f>VLOOKUP(C88,'[1]Bến Cát'!$E$4:$F$177,2,0)</f>
        <v>11.191838198440674, 106.64259462865893</v>
      </c>
      <c r="I88" s="239">
        <v>1.11918381984406E+16</v>
      </c>
      <c r="J88" s="239">
        <v>1.06642594628658E+16</v>
      </c>
      <c r="K88" s="197" t="s">
        <v>983</v>
      </c>
      <c r="L88" s="197" t="s">
        <v>878</v>
      </c>
      <c r="M88" s="197" t="s">
        <v>985</v>
      </c>
      <c r="N88" s="99" t="s">
        <v>880</v>
      </c>
      <c r="O88" s="99"/>
      <c r="P88" s="99">
        <v>520</v>
      </c>
      <c r="Q88" s="99">
        <f t="shared" si="11"/>
        <v>520</v>
      </c>
      <c r="R88" s="99" t="s">
        <v>90</v>
      </c>
      <c r="S88" s="99" t="s">
        <v>91</v>
      </c>
      <c r="T88" s="99" t="s">
        <v>91</v>
      </c>
      <c r="U88" s="99" t="s">
        <v>881</v>
      </c>
      <c r="V88" s="99" t="s">
        <v>897</v>
      </c>
      <c r="W88" s="99"/>
      <c r="X88" s="99"/>
      <c r="Y88" s="99"/>
      <c r="Z88" s="99"/>
      <c r="AA88" s="99">
        <v>14</v>
      </c>
      <c r="AB88" s="99"/>
      <c r="AC88" s="197">
        <f t="shared" si="12"/>
        <v>14</v>
      </c>
      <c r="AD88" s="99">
        <v>14</v>
      </c>
      <c r="AE88" s="99"/>
      <c r="AF88" s="99"/>
      <c r="AG88" s="99">
        <f t="shared" si="13"/>
        <v>14</v>
      </c>
      <c r="AH88" s="99"/>
      <c r="AI88" s="99">
        <v>14</v>
      </c>
      <c r="AJ88" s="99"/>
      <c r="AK88" s="99"/>
      <c r="AL88" s="99"/>
      <c r="AM88" s="99">
        <f t="shared" si="14"/>
        <v>14</v>
      </c>
      <c r="AN88" s="99" t="s">
        <v>883</v>
      </c>
      <c r="AO88" s="99">
        <v>3</v>
      </c>
      <c r="AP88" s="99"/>
    </row>
    <row r="89" spans="1:42" ht="39" customHeight="1" x14ac:dyDescent="0.25">
      <c r="A89" s="99">
        <v>1712</v>
      </c>
      <c r="B89" s="197" t="s">
        <v>1146</v>
      </c>
      <c r="C89" s="239">
        <v>100950000</v>
      </c>
      <c r="D89" s="99">
        <v>1511289930</v>
      </c>
      <c r="E89" s="99"/>
      <c r="F89" s="197" t="str">
        <f>VLOOKUP(D89,'rà soát ĐK'!B82:C532,2,0)</f>
        <v>PB04090037430</v>
      </c>
      <c r="G89" s="99" t="s">
        <v>2147</v>
      </c>
      <c r="H89" s="99" t="str">
        <f>VLOOKUP(C89,'[1]Bến Cát'!$E$4:$F$177,2,0)</f>
        <v>11.188549287507353, 106.62487921019995</v>
      </c>
      <c r="I89" s="239">
        <v>1.11885492875073E+16</v>
      </c>
      <c r="J89" s="239">
        <v>1.06624879210199E+16</v>
      </c>
      <c r="K89" s="197" t="s">
        <v>1149</v>
      </c>
      <c r="L89" s="197" t="s">
        <v>878</v>
      </c>
      <c r="M89" s="197" t="s">
        <v>1150</v>
      </c>
      <c r="N89" s="99" t="s">
        <v>969</v>
      </c>
      <c r="O89" s="99"/>
      <c r="P89" s="99">
        <v>720</v>
      </c>
      <c r="Q89" s="99">
        <f t="shared" si="11"/>
        <v>720</v>
      </c>
      <c r="R89" s="99" t="s">
        <v>90</v>
      </c>
      <c r="S89" s="99" t="s">
        <v>91</v>
      </c>
      <c r="T89" s="99" t="s">
        <v>91</v>
      </c>
      <c r="U89" s="99" t="s">
        <v>881</v>
      </c>
      <c r="V89" s="99" t="s">
        <v>897</v>
      </c>
      <c r="W89" s="99"/>
      <c r="X89" s="99"/>
      <c r="Y89" s="99"/>
      <c r="Z89" s="99"/>
      <c r="AA89" s="99">
        <v>23</v>
      </c>
      <c r="AB89" s="99"/>
      <c r="AC89" s="197">
        <f t="shared" si="12"/>
        <v>23</v>
      </c>
      <c r="AD89" s="99">
        <v>23</v>
      </c>
      <c r="AE89" s="99"/>
      <c r="AF89" s="99"/>
      <c r="AG89" s="99">
        <f t="shared" si="13"/>
        <v>23</v>
      </c>
      <c r="AH89" s="99"/>
      <c r="AI89" s="99">
        <v>23</v>
      </c>
      <c r="AJ89" s="99"/>
      <c r="AK89" s="99"/>
      <c r="AL89" s="99"/>
      <c r="AM89" s="99">
        <f t="shared" si="14"/>
        <v>23</v>
      </c>
      <c r="AN89" s="99" t="s">
        <v>883</v>
      </c>
      <c r="AO89" s="99">
        <v>3</v>
      </c>
      <c r="AP89" s="99"/>
    </row>
    <row r="90" spans="1:42" ht="39" customHeight="1" x14ac:dyDescent="0.25">
      <c r="A90" s="99">
        <v>1712</v>
      </c>
      <c r="B90" s="197" t="s">
        <v>1167</v>
      </c>
      <c r="C90" s="239">
        <v>100651000</v>
      </c>
      <c r="D90" s="99">
        <v>221100364610</v>
      </c>
      <c r="E90" s="99"/>
      <c r="F90" s="197" t="str">
        <f>VLOOKUP(D90,'rà soát ĐK'!B83:C533,2,0)</f>
        <v>PB04090037431</v>
      </c>
      <c r="G90" s="99" t="s">
        <v>2145</v>
      </c>
      <c r="H90" s="99" t="e">
        <f>VLOOKUP(C90,'[1]Bến Cát'!$E$4:$F$177,2,0)</f>
        <v>#N/A</v>
      </c>
      <c r="I90" s="197" t="e">
        <v>#N/A</v>
      </c>
      <c r="J90" s="197"/>
      <c r="K90" s="197" t="s">
        <v>1149</v>
      </c>
      <c r="L90" s="197" t="s">
        <v>878</v>
      </c>
      <c r="M90" s="197" t="s">
        <v>1170</v>
      </c>
      <c r="N90" s="99" t="s">
        <v>891</v>
      </c>
      <c r="O90" s="99"/>
      <c r="P90" s="99">
        <v>330</v>
      </c>
      <c r="Q90" s="99">
        <f t="shared" si="11"/>
        <v>330</v>
      </c>
      <c r="R90" s="99" t="s">
        <v>90</v>
      </c>
      <c r="S90" s="99" t="s">
        <v>91</v>
      </c>
      <c r="T90" s="99" t="s">
        <v>91</v>
      </c>
      <c r="U90" s="99" t="s">
        <v>881</v>
      </c>
      <c r="V90" s="99" t="s">
        <v>897</v>
      </c>
      <c r="W90" s="99"/>
      <c r="X90" s="99"/>
      <c r="Y90" s="99"/>
      <c r="Z90" s="99"/>
      <c r="AA90" s="99">
        <v>12</v>
      </c>
      <c r="AB90" s="99"/>
      <c r="AC90" s="197">
        <f t="shared" si="12"/>
        <v>12</v>
      </c>
      <c r="AD90" s="99">
        <v>12</v>
      </c>
      <c r="AE90" s="99"/>
      <c r="AF90" s="99"/>
      <c r="AG90" s="99">
        <f t="shared" si="13"/>
        <v>12</v>
      </c>
      <c r="AH90" s="99"/>
      <c r="AI90" s="99">
        <v>12</v>
      </c>
      <c r="AJ90" s="99"/>
      <c r="AK90" s="99"/>
      <c r="AL90" s="99"/>
      <c r="AM90" s="99">
        <f t="shared" si="14"/>
        <v>12</v>
      </c>
      <c r="AN90" s="99" t="s">
        <v>883</v>
      </c>
      <c r="AO90" s="99">
        <v>3</v>
      </c>
      <c r="AP90" s="99"/>
    </row>
    <row r="91" spans="1:42" ht="39" customHeight="1" x14ac:dyDescent="0.25">
      <c r="A91" s="99">
        <v>1712</v>
      </c>
      <c r="B91" s="197" t="s">
        <v>1175</v>
      </c>
      <c r="C91" s="239">
        <v>100952000</v>
      </c>
      <c r="D91" s="99">
        <v>2111000286009</v>
      </c>
      <c r="E91" s="99"/>
      <c r="F91" s="197" t="e">
        <f>VLOOKUP(D91,'rà soát ĐK'!B84:C534,2,0)</f>
        <v>#N/A</v>
      </c>
      <c r="G91" s="99"/>
      <c r="H91" s="99" t="str">
        <f>VLOOKUP(C91,'[1]Bến Cát'!$E$4:$F$177,2,0)</f>
        <v>11.194743865985078, 106.62940941651634</v>
      </c>
      <c r="I91" s="239">
        <v>1.1194743865985E+16</v>
      </c>
      <c r="J91" s="239">
        <v>1.06629409416516E+16</v>
      </c>
      <c r="K91" s="197" t="s">
        <v>1149</v>
      </c>
      <c r="L91" s="197" t="s">
        <v>878</v>
      </c>
      <c r="M91" s="197" t="s">
        <v>1178</v>
      </c>
      <c r="N91" s="99" t="s">
        <v>891</v>
      </c>
      <c r="O91" s="99"/>
      <c r="P91" s="99">
        <v>210</v>
      </c>
      <c r="Q91" s="99">
        <f t="shared" si="11"/>
        <v>210</v>
      </c>
      <c r="R91" s="99" t="s">
        <v>90</v>
      </c>
      <c r="S91" s="99" t="s">
        <v>91</v>
      </c>
      <c r="T91" s="99" t="s">
        <v>91</v>
      </c>
      <c r="U91" s="99" t="s">
        <v>881</v>
      </c>
      <c r="V91" s="99" t="s">
        <v>897</v>
      </c>
      <c r="W91" s="99"/>
      <c r="X91" s="99"/>
      <c r="Y91" s="99"/>
      <c r="Z91" s="99"/>
      <c r="AA91" s="99">
        <v>7</v>
      </c>
      <c r="AB91" s="99"/>
      <c r="AC91" s="197">
        <f t="shared" si="12"/>
        <v>7</v>
      </c>
      <c r="AD91" s="99">
        <v>7</v>
      </c>
      <c r="AE91" s="99"/>
      <c r="AF91" s="99"/>
      <c r="AG91" s="99">
        <f t="shared" si="13"/>
        <v>7</v>
      </c>
      <c r="AH91" s="99"/>
      <c r="AI91" s="99">
        <v>7</v>
      </c>
      <c r="AJ91" s="99"/>
      <c r="AK91" s="99"/>
      <c r="AL91" s="99"/>
      <c r="AM91" s="99">
        <f t="shared" si="14"/>
        <v>7</v>
      </c>
      <c r="AN91" s="99" t="s">
        <v>883</v>
      </c>
      <c r="AO91" s="99">
        <v>3</v>
      </c>
      <c r="AP91" s="99"/>
    </row>
    <row r="92" spans="1:42" ht="39" customHeight="1" x14ac:dyDescent="0.25">
      <c r="A92" s="99">
        <v>1713</v>
      </c>
      <c r="B92" s="197" t="s">
        <v>1016</v>
      </c>
      <c r="C92" s="239">
        <v>102155000</v>
      </c>
      <c r="D92" s="99" t="s">
        <v>1018</v>
      </c>
      <c r="E92" s="99"/>
      <c r="F92" s="197" t="s">
        <v>1018</v>
      </c>
      <c r="G92" s="99" t="s">
        <v>1018</v>
      </c>
      <c r="H92" s="99" t="str">
        <f>VLOOKUP(C92,'[1]Bến Cát'!$E$4:$F$177,2,0)</f>
        <v>11.150511296525957, 106.59954031848338</v>
      </c>
      <c r="I92" s="239">
        <v>1.11505112965259E+16</v>
      </c>
      <c r="J92" s="239">
        <v>1.06599540318483E+16</v>
      </c>
      <c r="K92" s="197" t="s">
        <v>1017</v>
      </c>
      <c r="L92" s="197" t="s">
        <v>878</v>
      </c>
      <c r="M92" s="197" t="s">
        <v>1019</v>
      </c>
      <c r="N92" s="99" t="s">
        <v>911</v>
      </c>
      <c r="O92" s="99"/>
      <c r="P92" s="99">
        <v>600</v>
      </c>
      <c r="Q92" s="99">
        <f t="shared" si="11"/>
        <v>600</v>
      </c>
      <c r="R92" s="99" t="s">
        <v>91</v>
      </c>
      <c r="S92" s="99" t="s">
        <v>90</v>
      </c>
      <c r="T92" s="99" t="s">
        <v>91</v>
      </c>
      <c r="U92" s="99" t="s">
        <v>881</v>
      </c>
      <c r="V92" s="99" t="s">
        <v>897</v>
      </c>
      <c r="W92" s="99"/>
      <c r="X92" s="99"/>
      <c r="Y92" s="99">
        <v>1</v>
      </c>
      <c r="Z92" s="99"/>
      <c r="AA92" s="99">
        <v>18</v>
      </c>
      <c r="AB92" s="99"/>
      <c r="AC92" s="197">
        <f t="shared" si="12"/>
        <v>19</v>
      </c>
      <c r="AD92" s="99">
        <v>18</v>
      </c>
      <c r="AE92" s="99"/>
      <c r="AF92" s="99"/>
      <c r="AG92" s="99">
        <f t="shared" si="13"/>
        <v>18</v>
      </c>
      <c r="AH92" s="99"/>
      <c r="AI92" s="99">
        <v>19</v>
      </c>
      <c r="AJ92" s="99"/>
      <c r="AK92" s="99"/>
      <c r="AL92" s="99"/>
      <c r="AM92" s="99">
        <f t="shared" si="14"/>
        <v>19</v>
      </c>
      <c r="AN92" s="99" t="s">
        <v>883</v>
      </c>
      <c r="AO92" s="99">
        <v>2</v>
      </c>
      <c r="AP92" s="99"/>
    </row>
    <row r="93" spans="1:42" ht="39" customHeight="1" x14ac:dyDescent="0.25">
      <c r="A93" s="99">
        <v>1716</v>
      </c>
      <c r="B93" s="197" t="s">
        <v>1034</v>
      </c>
      <c r="C93" s="239">
        <v>102477000</v>
      </c>
      <c r="D93" s="99" t="s">
        <v>1036</v>
      </c>
      <c r="E93" s="99"/>
      <c r="F93" s="197" t="s">
        <v>1036</v>
      </c>
      <c r="G93" s="99" t="s">
        <v>1036</v>
      </c>
      <c r="H93" s="99" t="str">
        <f>VLOOKUP(C93,'[1]Bến Cát'!$E$4:$F$177,2,0)</f>
        <v>11.1515782, 106.5995131</v>
      </c>
      <c r="I93" s="239">
        <v>111515782</v>
      </c>
      <c r="J93" s="239">
        <v>1065995131</v>
      </c>
      <c r="K93" s="197" t="s">
        <v>1035</v>
      </c>
      <c r="L93" s="197" t="s">
        <v>878</v>
      </c>
      <c r="M93" s="197" t="s">
        <v>1037</v>
      </c>
      <c r="N93" s="99" t="s">
        <v>880</v>
      </c>
      <c r="O93" s="99"/>
      <c r="P93" s="99">
        <v>90</v>
      </c>
      <c r="Q93" s="99">
        <f t="shared" si="11"/>
        <v>90</v>
      </c>
      <c r="R93" s="99" t="s">
        <v>91</v>
      </c>
      <c r="S93" s="99" t="s">
        <v>90</v>
      </c>
      <c r="T93" s="99" t="s">
        <v>91</v>
      </c>
      <c r="U93" s="99" t="s">
        <v>881</v>
      </c>
      <c r="V93" s="99" t="s">
        <v>897</v>
      </c>
      <c r="W93" s="99"/>
      <c r="X93" s="99"/>
      <c r="Y93" s="99"/>
      <c r="Z93" s="99"/>
      <c r="AA93" s="99">
        <v>3</v>
      </c>
      <c r="AB93" s="99"/>
      <c r="AC93" s="197">
        <f t="shared" si="12"/>
        <v>3</v>
      </c>
      <c r="AD93" s="99">
        <v>3</v>
      </c>
      <c r="AE93" s="99"/>
      <c r="AF93" s="99"/>
      <c r="AG93" s="99">
        <f t="shared" si="13"/>
        <v>3</v>
      </c>
      <c r="AH93" s="99"/>
      <c r="AI93" s="99">
        <v>3</v>
      </c>
      <c r="AJ93" s="99"/>
      <c r="AK93" s="99"/>
      <c r="AL93" s="99"/>
      <c r="AM93" s="99">
        <f t="shared" si="14"/>
        <v>3</v>
      </c>
      <c r="AN93" s="99" t="s">
        <v>883</v>
      </c>
      <c r="AO93" s="99">
        <v>3</v>
      </c>
      <c r="AP93" s="99"/>
    </row>
    <row r="94" spans="1:42" ht="39" customHeight="1" x14ac:dyDescent="0.25">
      <c r="A94" s="99">
        <v>1720</v>
      </c>
      <c r="B94" s="197" t="s">
        <v>953</v>
      </c>
      <c r="C94" s="239">
        <v>102733000</v>
      </c>
      <c r="D94" s="99">
        <v>241200012670</v>
      </c>
      <c r="E94" s="99"/>
      <c r="F94" s="197" t="e">
        <f>VLOOKUP(D94,'rà soát ĐK'!B87:C537,2,0)</f>
        <v>#N/A</v>
      </c>
      <c r="G94" s="99"/>
      <c r="H94" s="99" t="str">
        <f>VLOOKUP(C94,'[1]Bến Cát'!$E$4:$F$177,2,0)</f>
        <v>11.1526728, 106.6019373</v>
      </c>
      <c r="I94" s="239">
        <v>111526728</v>
      </c>
      <c r="J94" s="239">
        <v>1066019373</v>
      </c>
      <c r="K94" s="197" t="s">
        <v>954</v>
      </c>
      <c r="L94" s="197" t="s">
        <v>878</v>
      </c>
      <c r="M94" s="197" t="s">
        <v>956</v>
      </c>
      <c r="N94" s="99" t="s">
        <v>880</v>
      </c>
      <c r="O94" s="99"/>
      <c r="P94" s="99">
        <v>70</v>
      </c>
      <c r="Q94" s="99">
        <f t="shared" si="11"/>
        <v>70</v>
      </c>
      <c r="R94" s="99" t="s">
        <v>91</v>
      </c>
      <c r="S94" s="99" t="s">
        <v>90</v>
      </c>
      <c r="T94" s="99" t="s">
        <v>91</v>
      </c>
      <c r="U94" s="99" t="s">
        <v>881</v>
      </c>
      <c r="V94" s="99" t="s">
        <v>897</v>
      </c>
      <c r="W94" s="99"/>
      <c r="X94" s="99"/>
      <c r="Y94" s="99"/>
      <c r="Z94" s="99"/>
      <c r="AA94" s="99">
        <v>3</v>
      </c>
      <c r="AB94" s="99"/>
      <c r="AC94" s="197">
        <f t="shared" si="12"/>
        <v>3</v>
      </c>
      <c r="AD94" s="99">
        <v>3</v>
      </c>
      <c r="AE94" s="99"/>
      <c r="AF94" s="99"/>
      <c r="AG94" s="99">
        <f t="shared" si="13"/>
        <v>3</v>
      </c>
      <c r="AH94" s="99"/>
      <c r="AI94" s="99">
        <v>3</v>
      </c>
      <c r="AJ94" s="99"/>
      <c r="AK94" s="99"/>
      <c r="AL94" s="99"/>
      <c r="AM94" s="99">
        <f t="shared" si="14"/>
        <v>3</v>
      </c>
      <c r="AN94" s="99" t="s">
        <v>883</v>
      </c>
      <c r="AO94" s="99">
        <v>2</v>
      </c>
      <c r="AP94" s="99"/>
    </row>
    <row r="95" spans="1:42" ht="39" customHeight="1" x14ac:dyDescent="0.25">
      <c r="A95" s="99">
        <v>1721</v>
      </c>
      <c r="B95" s="197" t="s">
        <v>961</v>
      </c>
      <c r="C95" s="239">
        <v>102734000</v>
      </c>
      <c r="D95" s="99" t="s">
        <v>963</v>
      </c>
      <c r="E95" s="99"/>
      <c r="F95" s="197" t="s">
        <v>963</v>
      </c>
      <c r="G95" s="99" t="s">
        <v>963</v>
      </c>
      <c r="H95" s="99" t="str">
        <f>VLOOKUP(C95,'[1]Bến Cát'!$E$4:$F$177,2,0)</f>
        <v>11.1528836, 106.6024231</v>
      </c>
      <c r="I95" s="239">
        <v>111528836</v>
      </c>
      <c r="J95" s="239">
        <v>1066024231</v>
      </c>
      <c r="K95" s="197" t="s">
        <v>962</v>
      </c>
      <c r="L95" s="197" t="s">
        <v>878</v>
      </c>
      <c r="M95" s="197" t="s">
        <v>964</v>
      </c>
      <c r="N95" s="99" t="s">
        <v>880</v>
      </c>
      <c r="O95" s="99"/>
      <c r="P95" s="99">
        <v>75</v>
      </c>
      <c r="Q95" s="99">
        <f t="shared" si="11"/>
        <v>75</v>
      </c>
      <c r="R95" s="99" t="s">
        <v>91</v>
      </c>
      <c r="S95" s="99" t="s">
        <v>90</v>
      </c>
      <c r="T95" s="99" t="s">
        <v>91</v>
      </c>
      <c r="U95" s="99" t="s">
        <v>881</v>
      </c>
      <c r="V95" s="99" t="s">
        <v>882</v>
      </c>
      <c r="W95" s="99"/>
      <c r="X95" s="99"/>
      <c r="Y95" s="99"/>
      <c r="Z95" s="99"/>
      <c r="AA95" s="99">
        <v>4</v>
      </c>
      <c r="AB95" s="99"/>
      <c r="AC95" s="197">
        <f t="shared" si="12"/>
        <v>4</v>
      </c>
      <c r="AD95" s="99">
        <v>4</v>
      </c>
      <c r="AE95" s="99"/>
      <c r="AF95" s="99"/>
      <c r="AG95" s="99">
        <f t="shared" si="13"/>
        <v>4</v>
      </c>
      <c r="AH95" s="99"/>
      <c r="AI95" s="99">
        <v>4</v>
      </c>
      <c r="AJ95" s="99"/>
      <c r="AK95" s="99"/>
      <c r="AL95" s="99"/>
      <c r="AM95" s="99">
        <f t="shared" si="14"/>
        <v>4</v>
      </c>
      <c r="AN95" s="99" t="s">
        <v>883</v>
      </c>
      <c r="AO95" s="99">
        <v>3</v>
      </c>
      <c r="AP95" s="99"/>
    </row>
    <row r="96" spans="1:42" ht="39" customHeight="1" x14ac:dyDescent="0.25">
      <c r="A96" s="99">
        <v>1724</v>
      </c>
      <c r="B96" s="197" t="s">
        <v>898</v>
      </c>
      <c r="C96" s="239">
        <v>100885000</v>
      </c>
      <c r="D96" s="99">
        <v>241200030669</v>
      </c>
      <c r="E96" s="99"/>
      <c r="F96" s="197" t="e">
        <f>VLOOKUP(D96,'rà soát ĐK'!B89:C539,2,0)</f>
        <v>#N/A</v>
      </c>
      <c r="G96" s="99"/>
      <c r="H96" s="99" t="str">
        <f>VLOOKUP(C96,'[1]Bến Cát'!$E$4:$F$177,2,0)</f>
        <v>11.1501617, 106.6190767</v>
      </c>
      <c r="I96" s="239">
        <v>111501617</v>
      </c>
      <c r="J96" s="239">
        <v>1066190767</v>
      </c>
      <c r="K96" s="197" t="s">
        <v>899</v>
      </c>
      <c r="L96" s="197" t="s">
        <v>878</v>
      </c>
      <c r="M96" s="197" t="s">
        <v>901</v>
      </c>
      <c r="N96" s="99" t="s">
        <v>891</v>
      </c>
      <c r="O96" s="99"/>
      <c r="P96" s="99">
        <v>284</v>
      </c>
      <c r="Q96" s="99">
        <f t="shared" si="11"/>
        <v>284</v>
      </c>
      <c r="R96" s="99" t="s">
        <v>90</v>
      </c>
      <c r="S96" s="99" t="s">
        <v>91</v>
      </c>
      <c r="T96" s="99" t="s">
        <v>91</v>
      </c>
      <c r="U96" s="99" t="s">
        <v>881</v>
      </c>
      <c r="V96" s="99" t="s">
        <v>897</v>
      </c>
      <c r="W96" s="99"/>
      <c r="X96" s="99"/>
      <c r="Y96" s="99"/>
      <c r="Z96" s="99"/>
      <c r="AA96" s="99">
        <v>11</v>
      </c>
      <c r="AB96" s="99"/>
      <c r="AC96" s="197">
        <f t="shared" si="12"/>
        <v>11</v>
      </c>
      <c r="AD96" s="99">
        <v>11</v>
      </c>
      <c r="AE96" s="99"/>
      <c r="AF96" s="99"/>
      <c r="AG96" s="99">
        <f t="shared" si="13"/>
        <v>11</v>
      </c>
      <c r="AH96" s="99"/>
      <c r="AI96" s="99">
        <v>11</v>
      </c>
      <c r="AJ96" s="99"/>
      <c r="AK96" s="99"/>
      <c r="AL96" s="99"/>
      <c r="AM96" s="99">
        <f t="shared" si="14"/>
        <v>11</v>
      </c>
      <c r="AN96" s="99" t="s">
        <v>883</v>
      </c>
      <c r="AO96" s="99">
        <v>3</v>
      </c>
      <c r="AP96" s="99"/>
    </row>
    <row r="97" spans="1:42" ht="39" customHeight="1" x14ac:dyDescent="0.25">
      <c r="A97" s="99">
        <v>1726</v>
      </c>
      <c r="B97" s="197" t="s">
        <v>999</v>
      </c>
      <c r="C97" s="239">
        <v>102154000</v>
      </c>
      <c r="D97" s="99">
        <v>131138843</v>
      </c>
      <c r="E97" s="99"/>
      <c r="F97" s="197" t="e">
        <f>VLOOKUP(D97,'rà soát ĐK'!B90:C540,2,0)</f>
        <v>#N/A</v>
      </c>
      <c r="G97" s="99"/>
      <c r="H97" s="99" t="str">
        <f>VLOOKUP(C97,'[1]Bến Cát'!$E$4:$F$177,2,0)</f>
        <v>11.15425811982715, 106.61412073981683</v>
      </c>
      <c r="I97" s="239">
        <v>1115425811982710</v>
      </c>
      <c r="J97" s="239">
        <v>1.06614120739816E+16</v>
      </c>
      <c r="K97" s="197" t="s">
        <v>1000</v>
      </c>
      <c r="L97" s="197" t="s">
        <v>878</v>
      </c>
      <c r="M97" s="197" t="s">
        <v>1002</v>
      </c>
      <c r="N97" s="99" t="s">
        <v>911</v>
      </c>
      <c r="O97" s="99"/>
      <c r="P97" s="99">
        <v>640</v>
      </c>
      <c r="Q97" s="99">
        <f t="shared" si="11"/>
        <v>640</v>
      </c>
      <c r="R97" s="99" t="s">
        <v>91</v>
      </c>
      <c r="S97" s="99" t="s">
        <v>90</v>
      </c>
      <c r="T97" s="99" t="s">
        <v>91</v>
      </c>
      <c r="U97" s="99" t="s">
        <v>881</v>
      </c>
      <c r="V97" s="99" t="s">
        <v>882</v>
      </c>
      <c r="W97" s="99"/>
      <c r="X97" s="99"/>
      <c r="Y97" s="99"/>
      <c r="Z97" s="99"/>
      <c r="AA97" s="99">
        <v>19</v>
      </c>
      <c r="AB97" s="99"/>
      <c r="AC97" s="197">
        <f t="shared" si="12"/>
        <v>19</v>
      </c>
      <c r="AD97" s="99">
        <v>19</v>
      </c>
      <c r="AE97" s="99"/>
      <c r="AF97" s="99"/>
      <c r="AG97" s="99">
        <f t="shared" si="13"/>
        <v>19</v>
      </c>
      <c r="AH97" s="99"/>
      <c r="AI97" s="99">
        <v>19</v>
      </c>
      <c r="AJ97" s="99"/>
      <c r="AK97" s="99"/>
      <c r="AL97" s="99"/>
      <c r="AM97" s="99">
        <f t="shared" si="14"/>
        <v>19</v>
      </c>
      <c r="AN97" s="99" t="s">
        <v>883</v>
      </c>
      <c r="AO97" s="99">
        <v>3</v>
      </c>
      <c r="AP97" s="99"/>
    </row>
    <row r="98" spans="1:42" ht="39" customHeight="1" x14ac:dyDescent="0.25">
      <c r="A98" s="99">
        <v>1729</v>
      </c>
      <c r="B98" s="197" t="s">
        <v>1071</v>
      </c>
      <c r="C98" s="239">
        <v>102160000</v>
      </c>
      <c r="D98" s="99">
        <v>1511084599</v>
      </c>
      <c r="E98" s="99"/>
      <c r="F98" s="197" t="str">
        <f>VLOOKUP(D98,'rà soát ĐK'!B91:C541,2,0)</f>
        <v>PB04040086058</v>
      </c>
      <c r="G98" s="99" t="s">
        <v>1969</v>
      </c>
      <c r="H98" s="99" t="str">
        <f>VLOOKUP(C98,'[1]Bến Cát'!$E$4:$F$177,2,0)</f>
        <v>11.159274179144479, 106.59477740468068</v>
      </c>
      <c r="I98" s="239">
        <v>1.11592741791444E+16</v>
      </c>
      <c r="J98" s="239">
        <v>1.0659477740468E+16</v>
      </c>
      <c r="K98" s="197" t="s">
        <v>1072</v>
      </c>
      <c r="L98" s="197" t="s">
        <v>878</v>
      </c>
      <c r="M98" s="197" t="s">
        <v>1074</v>
      </c>
      <c r="N98" s="99" t="s">
        <v>880</v>
      </c>
      <c r="O98" s="99"/>
      <c r="P98" s="99">
        <v>120</v>
      </c>
      <c r="Q98" s="99">
        <f t="shared" si="11"/>
        <v>120</v>
      </c>
      <c r="R98" s="99" t="s">
        <v>91</v>
      </c>
      <c r="S98" s="99" t="s">
        <v>90</v>
      </c>
      <c r="T98" s="99" t="s">
        <v>91</v>
      </c>
      <c r="U98" s="99" t="s">
        <v>881</v>
      </c>
      <c r="V98" s="99" t="s">
        <v>897</v>
      </c>
      <c r="W98" s="99"/>
      <c r="X98" s="99"/>
      <c r="Y98" s="99"/>
      <c r="Z98" s="99"/>
      <c r="AA98" s="99">
        <v>4</v>
      </c>
      <c r="AB98" s="99"/>
      <c r="AC98" s="197">
        <f t="shared" si="12"/>
        <v>4</v>
      </c>
      <c r="AD98" s="99">
        <v>4</v>
      </c>
      <c r="AE98" s="99"/>
      <c r="AF98" s="99"/>
      <c r="AG98" s="99">
        <f t="shared" si="13"/>
        <v>4</v>
      </c>
      <c r="AH98" s="99"/>
      <c r="AI98" s="99">
        <v>4</v>
      </c>
      <c r="AJ98" s="99"/>
      <c r="AK98" s="99"/>
      <c r="AL98" s="99"/>
      <c r="AM98" s="99">
        <f t="shared" si="14"/>
        <v>4</v>
      </c>
      <c r="AN98" s="99" t="s">
        <v>883</v>
      </c>
      <c r="AO98" s="99">
        <v>2</v>
      </c>
      <c r="AP98" s="99"/>
    </row>
    <row r="99" spans="1:42" ht="39" customHeight="1" x14ac:dyDescent="0.25">
      <c r="A99" s="99">
        <v>1732</v>
      </c>
      <c r="B99" s="197" t="s">
        <v>1334</v>
      </c>
      <c r="C99" s="239">
        <v>102232000</v>
      </c>
      <c r="D99" s="99" t="s">
        <v>1336</v>
      </c>
      <c r="E99" s="99"/>
      <c r="F99" s="197" t="s">
        <v>1336</v>
      </c>
      <c r="G99" s="99" t="s">
        <v>1336</v>
      </c>
      <c r="H99" s="99" t="str">
        <f>VLOOKUP(C99,'[1]Bến Cát'!$E$4:$F$177,2,0)</f>
        <v>11.1710443, 106.6013004</v>
      </c>
      <c r="I99" s="239">
        <v>111710443</v>
      </c>
      <c r="J99" s="239">
        <v>1066013004</v>
      </c>
      <c r="K99" s="197" t="s">
        <v>1335</v>
      </c>
      <c r="L99" s="197" t="s">
        <v>878</v>
      </c>
      <c r="M99" s="197" t="s">
        <v>1337</v>
      </c>
      <c r="N99" s="99" t="s">
        <v>891</v>
      </c>
      <c r="O99" s="99"/>
      <c r="P99" s="99">
        <v>540</v>
      </c>
      <c r="Q99" s="99">
        <f t="shared" si="11"/>
        <v>540</v>
      </c>
      <c r="R99" s="99" t="s">
        <v>91</v>
      </c>
      <c r="S99" s="99" t="s">
        <v>90</v>
      </c>
      <c r="T99" s="99" t="s">
        <v>91</v>
      </c>
      <c r="U99" s="99" t="s">
        <v>881</v>
      </c>
      <c r="V99" s="99" t="s">
        <v>882</v>
      </c>
      <c r="W99" s="99"/>
      <c r="X99" s="99"/>
      <c r="Y99" s="99"/>
      <c r="Z99" s="99"/>
      <c r="AA99" s="99">
        <v>19</v>
      </c>
      <c r="AB99" s="99"/>
      <c r="AC99" s="197">
        <f t="shared" si="12"/>
        <v>19</v>
      </c>
      <c r="AD99" s="99">
        <v>19</v>
      </c>
      <c r="AE99" s="99"/>
      <c r="AF99" s="99"/>
      <c r="AG99" s="99">
        <f t="shared" si="13"/>
        <v>19</v>
      </c>
      <c r="AH99" s="99"/>
      <c r="AI99" s="99">
        <v>19</v>
      </c>
      <c r="AJ99" s="99"/>
      <c r="AK99" s="99"/>
      <c r="AL99" s="99"/>
      <c r="AM99" s="99">
        <f t="shared" si="14"/>
        <v>19</v>
      </c>
      <c r="AN99" s="99" t="s">
        <v>883</v>
      </c>
      <c r="AO99" s="99">
        <v>3</v>
      </c>
      <c r="AP99" s="99"/>
    </row>
    <row r="100" spans="1:42" ht="39" customHeight="1" x14ac:dyDescent="0.25">
      <c r="A100" s="99">
        <v>1737</v>
      </c>
      <c r="B100" s="197" t="s">
        <v>1134</v>
      </c>
      <c r="C100" s="239">
        <v>102479000</v>
      </c>
      <c r="D100" s="99">
        <v>76712</v>
      </c>
      <c r="E100" s="99"/>
      <c r="F100" s="197" t="e">
        <f>VLOOKUP(D100,'rà soát ĐK'!B93:C543,2,0)</f>
        <v>#N/A</v>
      </c>
      <c r="G100" s="99"/>
      <c r="H100" s="99" t="str">
        <f>VLOOKUP(C100,'[1]Bến Cát'!$E$4:$F$177,2,0)</f>
        <v>11.1512873, 106.5904045</v>
      </c>
      <c r="I100" s="239">
        <v>111512873</v>
      </c>
      <c r="J100" s="239">
        <v>1065904045</v>
      </c>
      <c r="K100" s="197" t="s">
        <v>1135</v>
      </c>
      <c r="L100" s="197" t="s">
        <v>878</v>
      </c>
      <c r="M100" s="197" t="s">
        <v>1137</v>
      </c>
      <c r="N100" s="99" t="s">
        <v>880</v>
      </c>
      <c r="O100" s="99"/>
      <c r="P100" s="99">
        <v>60</v>
      </c>
      <c r="Q100" s="99">
        <f t="shared" si="11"/>
        <v>60</v>
      </c>
      <c r="R100" s="99" t="s">
        <v>91</v>
      </c>
      <c r="S100" s="99" t="s">
        <v>90</v>
      </c>
      <c r="T100" s="99" t="s">
        <v>91</v>
      </c>
      <c r="U100" s="99" t="s">
        <v>881</v>
      </c>
      <c r="V100" s="99" t="s">
        <v>897</v>
      </c>
      <c r="W100" s="99"/>
      <c r="X100" s="99"/>
      <c r="Y100" s="99"/>
      <c r="Z100" s="99"/>
      <c r="AA100" s="99">
        <v>3</v>
      </c>
      <c r="AB100" s="99"/>
      <c r="AC100" s="197">
        <f t="shared" si="12"/>
        <v>3</v>
      </c>
      <c r="AD100" s="99">
        <v>3</v>
      </c>
      <c r="AE100" s="99"/>
      <c r="AF100" s="99"/>
      <c r="AG100" s="99">
        <f t="shared" si="13"/>
        <v>3</v>
      </c>
      <c r="AH100" s="99"/>
      <c r="AI100" s="99">
        <v>3</v>
      </c>
      <c r="AJ100" s="99"/>
      <c r="AK100" s="99"/>
      <c r="AL100" s="99"/>
      <c r="AM100" s="99">
        <f t="shared" si="14"/>
        <v>3</v>
      </c>
      <c r="AN100" s="99" t="s">
        <v>883</v>
      </c>
      <c r="AO100" s="99">
        <v>2</v>
      </c>
      <c r="AP100" s="99"/>
    </row>
    <row r="101" spans="1:42" ht="39" customHeight="1" x14ac:dyDescent="0.25">
      <c r="A101" s="99">
        <v>1739</v>
      </c>
      <c r="B101" s="197" t="s">
        <v>1151</v>
      </c>
      <c r="C101" s="239">
        <v>102227000</v>
      </c>
      <c r="D101" s="99">
        <v>76710</v>
      </c>
      <c r="E101" s="99"/>
      <c r="F101" s="197" t="e">
        <f>VLOOKUP(D101,'rà soát ĐK'!B94:C544,2,0)</f>
        <v>#N/A</v>
      </c>
      <c r="G101" s="99"/>
      <c r="H101" s="99" t="str">
        <f>VLOOKUP(C101,'[1]Bến Cát'!$E$4:$F$177,2,0)</f>
        <v>11.1414537, 106.5940153</v>
      </c>
      <c r="I101" s="239">
        <v>111414537</v>
      </c>
      <c r="J101" s="239">
        <v>1065940153</v>
      </c>
      <c r="K101" s="197" t="s">
        <v>1152</v>
      </c>
      <c r="L101" s="197" t="s">
        <v>878</v>
      </c>
      <c r="M101" s="197" t="s">
        <v>1154</v>
      </c>
      <c r="N101" s="99" t="s">
        <v>891</v>
      </c>
      <c r="O101" s="99"/>
      <c r="P101" s="99">
        <v>650</v>
      </c>
      <c r="Q101" s="99">
        <f t="shared" si="11"/>
        <v>650</v>
      </c>
      <c r="R101" s="99" t="s">
        <v>91</v>
      </c>
      <c r="S101" s="99" t="s">
        <v>90</v>
      </c>
      <c r="T101" s="99" t="s">
        <v>91</v>
      </c>
      <c r="U101" s="99" t="s">
        <v>881</v>
      </c>
      <c r="V101" s="99" t="s">
        <v>897</v>
      </c>
      <c r="W101" s="99"/>
      <c r="X101" s="99"/>
      <c r="Y101" s="99"/>
      <c r="Z101" s="99"/>
      <c r="AA101" s="99">
        <v>19</v>
      </c>
      <c r="AB101" s="99"/>
      <c r="AC101" s="197">
        <f t="shared" si="12"/>
        <v>19</v>
      </c>
      <c r="AD101" s="99">
        <v>19</v>
      </c>
      <c r="AE101" s="99"/>
      <c r="AF101" s="99"/>
      <c r="AG101" s="99">
        <f t="shared" si="13"/>
        <v>19</v>
      </c>
      <c r="AH101" s="99"/>
      <c r="AI101" s="99">
        <v>19</v>
      </c>
      <c r="AJ101" s="99"/>
      <c r="AK101" s="99"/>
      <c r="AL101" s="99"/>
      <c r="AM101" s="99">
        <f t="shared" si="14"/>
        <v>19</v>
      </c>
      <c r="AN101" s="99" t="s">
        <v>883</v>
      </c>
      <c r="AO101" s="99">
        <v>2</v>
      </c>
      <c r="AP101" s="99"/>
    </row>
    <row r="102" spans="1:42" ht="39" customHeight="1" x14ac:dyDescent="0.25">
      <c r="A102" s="99">
        <v>1740</v>
      </c>
      <c r="B102" s="197" t="s">
        <v>1185</v>
      </c>
      <c r="C102" s="239">
        <v>102229000</v>
      </c>
      <c r="D102" s="99">
        <v>14009</v>
      </c>
      <c r="E102" s="99"/>
      <c r="F102" s="197" t="e">
        <f>VLOOKUP(D102,'rà soát ĐK'!B95:C545,2,0)</f>
        <v>#N/A</v>
      </c>
      <c r="G102" s="99"/>
      <c r="H102" s="99" t="str">
        <f>VLOOKUP(C102,'[1]Bến Cát'!$E$4:$F$177,2,0)</f>
        <v>11.1378854, 106.5998999</v>
      </c>
      <c r="I102" s="239">
        <v>111378854</v>
      </c>
      <c r="J102" s="239">
        <v>1065998999</v>
      </c>
      <c r="K102" s="197" t="s">
        <v>1186</v>
      </c>
      <c r="L102" s="197" t="s">
        <v>878</v>
      </c>
      <c r="M102" s="197" t="s">
        <v>1188</v>
      </c>
      <c r="N102" s="99" t="s">
        <v>891</v>
      </c>
      <c r="O102" s="99">
        <v>1600</v>
      </c>
      <c r="P102" s="99"/>
      <c r="Q102" s="99">
        <f t="shared" si="11"/>
        <v>1600</v>
      </c>
      <c r="R102" s="99" t="s">
        <v>91</v>
      </c>
      <c r="S102" s="99" t="s">
        <v>90</v>
      </c>
      <c r="T102" s="99" t="s">
        <v>91</v>
      </c>
      <c r="U102" s="99" t="s">
        <v>881</v>
      </c>
      <c r="V102" s="99" t="s">
        <v>897</v>
      </c>
      <c r="W102" s="99"/>
      <c r="X102" s="99"/>
      <c r="Y102" s="99"/>
      <c r="Z102" s="99"/>
      <c r="AA102" s="99">
        <v>40</v>
      </c>
      <c r="AB102" s="99"/>
      <c r="AC102" s="197">
        <f t="shared" si="12"/>
        <v>40</v>
      </c>
      <c r="AD102" s="99"/>
      <c r="AE102" s="99">
        <v>40</v>
      </c>
      <c r="AF102" s="99"/>
      <c r="AG102" s="99">
        <f t="shared" si="13"/>
        <v>40</v>
      </c>
      <c r="AH102" s="99">
        <v>40</v>
      </c>
      <c r="AI102" s="99"/>
      <c r="AJ102" s="99"/>
      <c r="AK102" s="99"/>
      <c r="AL102" s="99"/>
      <c r="AM102" s="99">
        <f t="shared" si="14"/>
        <v>40</v>
      </c>
      <c r="AN102" s="99" t="s">
        <v>943</v>
      </c>
      <c r="AO102" s="99">
        <v>3</v>
      </c>
      <c r="AP102" s="99"/>
    </row>
    <row r="103" spans="1:42" ht="39" customHeight="1" x14ac:dyDescent="0.25">
      <c r="A103" s="99">
        <v>1741</v>
      </c>
      <c r="B103" s="197" t="s">
        <v>1171</v>
      </c>
      <c r="C103" s="239">
        <v>102228000</v>
      </c>
      <c r="D103" s="99">
        <v>30819</v>
      </c>
      <c r="E103" s="99"/>
      <c r="F103" s="197" t="e">
        <f>VLOOKUP(D103,'rà soát ĐK'!B96:C546,2,0)</f>
        <v>#N/A</v>
      </c>
      <c r="G103" s="99"/>
      <c r="H103" s="99" t="str">
        <f>VLOOKUP(C103,'[1]Bến Cát'!$E$4:$F$177,2,0)</f>
        <v>11.1356813, 106.6026166</v>
      </c>
      <c r="I103" s="239">
        <v>111356813</v>
      </c>
      <c r="J103" s="239">
        <v>1066026166</v>
      </c>
      <c r="K103" s="197" t="s">
        <v>1172</v>
      </c>
      <c r="L103" s="197" t="s">
        <v>878</v>
      </c>
      <c r="M103" s="197" t="s">
        <v>1174</v>
      </c>
      <c r="N103" s="99" t="s">
        <v>880</v>
      </c>
      <c r="O103" s="99"/>
      <c r="P103" s="99">
        <v>400</v>
      </c>
      <c r="Q103" s="99">
        <f t="shared" si="11"/>
        <v>400</v>
      </c>
      <c r="R103" s="99" t="s">
        <v>91</v>
      </c>
      <c r="S103" s="99" t="s">
        <v>90</v>
      </c>
      <c r="T103" s="99" t="s">
        <v>91</v>
      </c>
      <c r="U103" s="99" t="s">
        <v>881</v>
      </c>
      <c r="V103" s="99" t="s">
        <v>897</v>
      </c>
      <c r="W103" s="99"/>
      <c r="X103" s="99"/>
      <c r="Y103" s="99"/>
      <c r="Z103" s="99"/>
      <c r="AA103" s="99">
        <v>10</v>
      </c>
      <c r="AB103" s="99"/>
      <c r="AC103" s="197">
        <f t="shared" si="12"/>
        <v>10</v>
      </c>
      <c r="AD103" s="99">
        <v>10</v>
      </c>
      <c r="AE103" s="99"/>
      <c r="AF103" s="99"/>
      <c r="AG103" s="99">
        <f t="shared" si="13"/>
        <v>10</v>
      </c>
      <c r="AH103" s="99"/>
      <c r="AI103" s="99">
        <v>10</v>
      </c>
      <c r="AJ103" s="99"/>
      <c r="AK103" s="99"/>
      <c r="AL103" s="99"/>
      <c r="AM103" s="99">
        <f t="shared" si="14"/>
        <v>10</v>
      </c>
      <c r="AN103" s="99" t="s">
        <v>883</v>
      </c>
      <c r="AO103" s="99">
        <v>3</v>
      </c>
      <c r="AP103" s="99"/>
    </row>
    <row r="104" spans="1:42" ht="39" customHeight="1" x14ac:dyDescent="0.25">
      <c r="A104" s="99">
        <v>1742</v>
      </c>
      <c r="B104" s="197" t="s">
        <v>1189</v>
      </c>
      <c r="C104" s="239">
        <v>102164000</v>
      </c>
      <c r="D104" s="99" t="s">
        <v>1191</v>
      </c>
      <c r="E104" s="99"/>
      <c r="F104" s="197" t="s">
        <v>1191</v>
      </c>
      <c r="G104" s="99" t="s">
        <v>1191</v>
      </c>
      <c r="H104" s="99" t="str">
        <f>VLOOKUP(C104,'[1]Bến Cát'!$E$4:$F$177,2,0)</f>
        <v>11.13459111538605, 106.60546835573082</v>
      </c>
      <c r="I104" s="239">
        <v>1113459111538600</v>
      </c>
      <c r="J104" s="239">
        <v>1.0660546835573E+16</v>
      </c>
      <c r="K104" s="197" t="s">
        <v>1190</v>
      </c>
      <c r="L104" s="197" t="s">
        <v>878</v>
      </c>
      <c r="M104" s="197" t="s">
        <v>1192</v>
      </c>
      <c r="N104" s="99" t="s">
        <v>911</v>
      </c>
      <c r="O104" s="99"/>
      <c r="P104" s="99">
        <v>450</v>
      </c>
      <c r="Q104" s="99">
        <f t="shared" si="11"/>
        <v>450</v>
      </c>
      <c r="R104" s="99" t="s">
        <v>91</v>
      </c>
      <c r="S104" s="99" t="s">
        <v>90</v>
      </c>
      <c r="T104" s="99" t="s">
        <v>91</v>
      </c>
      <c r="U104" s="99" t="s">
        <v>881</v>
      </c>
      <c r="V104" s="99" t="s">
        <v>897</v>
      </c>
      <c r="W104" s="99"/>
      <c r="X104" s="99"/>
      <c r="Y104" s="99"/>
      <c r="Z104" s="99"/>
      <c r="AA104" s="99">
        <v>11</v>
      </c>
      <c r="AB104" s="99"/>
      <c r="AC104" s="197">
        <f t="shared" si="12"/>
        <v>11</v>
      </c>
      <c r="AD104" s="99">
        <v>11</v>
      </c>
      <c r="AE104" s="99"/>
      <c r="AF104" s="99"/>
      <c r="AG104" s="99">
        <f t="shared" si="13"/>
        <v>11</v>
      </c>
      <c r="AH104" s="99"/>
      <c r="AI104" s="99">
        <v>11</v>
      </c>
      <c r="AJ104" s="99"/>
      <c r="AK104" s="99"/>
      <c r="AL104" s="99"/>
      <c r="AM104" s="99">
        <f t="shared" si="14"/>
        <v>11</v>
      </c>
      <c r="AN104" s="99" t="s">
        <v>883</v>
      </c>
      <c r="AO104" s="99">
        <v>2</v>
      </c>
      <c r="AP104" s="99"/>
    </row>
    <row r="105" spans="1:42" ht="39" customHeight="1" x14ac:dyDescent="0.25">
      <c r="A105" s="99">
        <v>1743</v>
      </c>
      <c r="B105" s="197" t="s">
        <v>1198</v>
      </c>
      <c r="C105" s="239">
        <v>102165000</v>
      </c>
      <c r="D105" s="99">
        <v>241200048007</v>
      </c>
      <c r="E105" s="99"/>
      <c r="F105" s="197" t="e">
        <f>VLOOKUP(D105,'rà soát ĐK'!B98:C548,2,0)</f>
        <v>#N/A</v>
      </c>
      <c r="G105" s="99"/>
      <c r="H105" s="99" t="str">
        <f>VLOOKUP(C105,'[1]Bến Cát'!$E$4:$F$177,2,0)</f>
        <v>11.135090015919635, 106.60511606558539</v>
      </c>
      <c r="I105" s="239">
        <v>1.11350900159196E+16</v>
      </c>
      <c r="J105" s="239">
        <v>1.06605116065585E+16</v>
      </c>
      <c r="K105" s="197" t="s">
        <v>1199</v>
      </c>
      <c r="L105" s="197" t="s">
        <v>878</v>
      </c>
      <c r="M105" s="197" t="s">
        <v>1201</v>
      </c>
      <c r="N105" s="99" t="s">
        <v>891</v>
      </c>
      <c r="O105" s="99"/>
      <c r="P105" s="99">
        <v>230</v>
      </c>
      <c r="Q105" s="99">
        <f t="shared" si="11"/>
        <v>230</v>
      </c>
      <c r="R105" s="99" t="s">
        <v>91</v>
      </c>
      <c r="S105" s="99" t="s">
        <v>90</v>
      </c>
      <c r="T105" s="99" t="s">
        <v>91</v>
      </c>
      <c r="U105" s="99" t="s">
        <v>881</v>
      </c>
      <c r="V105" s="99" t="s">
        <v>897</v>
      </c>
      <c r="W105" s="99"/>
      <c r="X105" s="99"/>
      <c r="Y105" s="99"/>
      <c r="Z105" s="99"/>
      <c r="AA105" s="99">
        <v>7</v>
      </c>
      <c r="AB105" s="99"/>
      <c r="AC105" s="197">
        <f t="shared" ref="AC105:AC136" si="15">SUM(W105:AB105)</f>
        <v>7</v>
      </c>
      <c r="AD105" s="99">
        <v>7</v>
      </c>
      <c r="AE105" s="99"/>
      <c r="AF105" s="99"/>
      <c r="AG105" s="99">
        <f t="shared" ref="AG105:AG136" si="16">SUM(AD105:AF105)</f>
        <v>7</v>
      </c>
      <c r="AH105" s="99"/>
      <c r="AI105" s="99">
        <v>7</v>
      </c>
      <c r="AJ105" s="99"/>
      <c r="AK105" s="99"/>
      <c r="AL105" s="99"/>
      <c r="AM105" s="99">
        <f t="shared" si="14"/>
        <v>7</v>
      </c>
      <c r="AN105" s="99" t="s">
        <v>883</v>
      </c>
      <c r="AO105" s="99">
        <v>2</v>
      </c>
      <c r="AP105" s="99"/>
    </row>
    <row r="106" spans="1:42" ht="39" customHeight="1" x14ac:dyDescent="0.25">
      <c r="A106" s="99">
        <v>1744</v>
      </c>
      <c r="B106" s="197" t="s">
        <v>1202</v>
      </c>
      <c r="C106" s="239">
        <v>102166000</v>
      </c>
      <c r="D106" s="99">
        <v>241200048378</v>
      </c>
      <c r="E106" s="99"/>
      <c r="F106" s="197" t="e">
        <f>VLOOKUP(D106,'rà soát ĐK'!B99:C549,2,0)</f>
        <v>#N/A</v>
      </c>
      <c r="G106" s="99"/>
      <c r="H106" s="99" t="str">
        <f>VLOOKUP(C106,'[1]Bến Cát'!$E$4:$F$177,2,0)</f>
        <v>11.136344137673486, 106.60485842383508</v>
      </c>
      <c r="I106" s="239">
        <v>1.11363441376734E+16</v>
      </c>
      <c r="J106" s="239">
        <v>1.06604858423835E+16</v>
      </c>
      <c r="K106" s="197" t="s">
        <v>1203</v>
      </c>
      <c r="L106" s="197" t="s">
        <v>878</v>
      </c>
      <c r="M106" s="197" t="s">
        <v>1201</v>
      </c>
      <c r="N106" s="99" t="s">
        <v>891</v>
      </c>
      <c r="O106" s="99"/>
      <c r="P106" s="99">
        <v>245</v>
      </c>
      <c r="Q106" s="99">
        <f t="shared" si="11"/>
        <v>245</v>
      </c>
      <c r="R106" s="99" t="s">
        <v>91</v>
      </c>
      <c r="S106" s="99" t="s">
        <v>90</v>
      </c>
      <c r="T106" s="99" t="s">
        <v>91</v>
      </c>
      <c r="U106" s="99" t="s">
        <v>881</v>
      </c>
      <c r="V106" s="99" t="s">
        <v>897</v>
      </c>
      <c r="W106" s="99"/>
      <c r="X106" s="99"/>
      <c r="Y106" s="99"/>
      <c r="Z106" s="99"/>
      <c r="AA106" s="99">
        <v>8</v>
      </c>
      <c r="AB106" s="99"/>
      <c r="AC106" s="197">
        <f t="shared" si="15"/>
        <v>8</v>
      </c>
      <c r="AD106" s="99">
        <v>8</v>
      </c>
      <c r="AE106" s="99"/>
      <c r="AF106" s="99"/>
      <c r="AG106" s="99">
        <f t="shared" si="16"/>
        <v>8</v>
      </c>
      <c r="AH106" s="99"/>
      <c r="AI106" s="99">
        <v>8</v>
      </c>
      <c r="AJ106" s="99"/>
      <c r="AK106" s="99"/>
      <c r="AL106" s="99"/>
      <c r="AM106" s="99">
        <f t="shared" si="14"/>
        <v>8</v>
      </c>
      <c r="AN106" s="99" t="s">
        <v>883</v>
      </c>
      <c r="AO106" s="99">
        <v>2</v>
      </c>
      <c r="AP106" s="99"/>
    </row>
    <row r="107" spans="1:42" ht="39" customHeight="1" x14ac:dyDescent="0.25">
      <c r="A107" s="99">
        <v>1745</v>
      </c>
      <c r="B107" s="197" t="s">
        <v>1209</v>
      </c>
      <c r="C107" s="239">
        <v>102617000</v>
      </c>
      <c r="D107" s="99">
        <v>1511031644</v>
      </c>
      <c r="E107" s="99"/>
      <c r="F107" s="197" t="e">
        <f>VLOOKUP(D107,'rà soát ĐK'!B100:C550,2,0)</f>
        <v>#N/A</v>
      </c>
      <c r="G107" s="99"/>
      <c r="H107" s="99" t="s">
        <v>1626</v>
      </c>
      <c r="I107" s="239">
        <v>111437386</v>
      </c>
      <c r="J107" s="239">
        <v>1065013043</v>
      </c>
      <c r="K107" s="197" t="s">
        <v>1210</v>
      </c>
      <c r="L107" s="197" t="s">
        <v>878</v>
      </c>
      <c r="M107" s="197" t="s">
        <v>1212</v>
      </c>
      <c r="N107" s="99" t="s">
        <v>891</v>
      </c>
      <c r="O107" s="99"/>
      <c r="P107" s="99">
        <v>210</v>
      </c>
      <c r="Q107" s="99">
        <f t="shared" si="11"/>
        <v>210</v>
      </c>
      <c r="R107" s="99" t="s">
        <v>91</v>
      </c>
      <c r="S107" s="99" t="s">
        <v>90</v>
      </c>
      <c r="T107" s="99" t="s">
        <v>91</v>
      </c>
      <c r="U107" s="99" t="s">
        <v>881</v>
      </c>
      <c r="V107" s="99" t="s">
        <v>897</v>
      </c>
      <c r="W107" s="99"/>
      <c r="X107" s="99"/>
      <c r="Y107" s="99"/>
      <c r="Z107" s="99"/>
      <c r="AA107" s="99">
        <v>7</v>
      </c>
      <c r="AB107" s="99"/>
      <c r="AC107" s="197">
        <f t="shared" si="15"/>
        <v>7</v>
      </c>
      <c r="AD107" s="99">
        <v>7</v>
      </c>
      <c r="AE107" s="99"/>
      <c r="AF107" s="99"/>
      <c r="AG107" s="99">
        <f t="shared" si="16"/>
        <v>7</v>
      </c>
      <c r="AH107" s="99"/>
      <c r="AI107" s="99">
        <v>7</v>
      </c>
      <c r="AJ107" s="99"/>
      <c r="AK107" s="99"/>
      <c r="AL107" s="99"/>
      <c r="AM107" s="99">
        <f t="shared" si="14"/>
        <v>7</v>
      </c>
      <c r="AN107" s="99" t="s">
        <v>883</v>
      </c>
      <c r="AO107" s="99">
        <v>2</v>
      </c>
      <c r="AP107" s="99"/>
    </row>
    <row r="108" spans="1:42" ht="39" customHeight="1" x14ac:dyDescent="0.25">
      <c r="A108" s="99">
        <v>1746</v>
      </c>
      <c r="B108" s="197" t="s">
        <v>1083</v>
      </c>
      <c r="C108" s="239">
        <v>102478000</v>
      </c>
      <c r="D108" s="99">
        <v>11790</v>
      </c>
      <c r="E108" s="99"/>
      <c r="F108" s="197" t="e">
        <f>VLOOKUP(D108,'rà soát ĐK'!B101:C551,2,0)</f>
        <v>#N/A</v>
      </c>
      <c r="G108" s="99"/>
      <c r="H108" s="99" t="str">
        <f>VLOOKUP(C108,'[1]Bến Cát'!$E$4:$F$177,2,0)</f>
        <v>11.1471271, 106.6307246</v>
      </c>
      <c r="I108" s="239">
        <v>111471271</v>
      </c>
      <c r="J108" s="239">
        <v>1066307246</v>
      </c>
      <c r="K108" s="197" t="s">
        <v>1084</v>
      </c>
      <c r="L108" s="197" t="s">
        <v>878</v>
      </c>
      <c r="M108" s="197" t="s">
        <v>1086</v>
      </c>
      <c r="N108" s="99" t="s">
        <v>880</v>
      </c>
      <c r="O108" s="99"/>
      <c r="P108" s="99">
        <v>280</v>
      </c>
      <c r="Q108" s="99">
        <f t="shared" si="11"/>
        <v>280</v>
      </c>
      <c r="R108" s="99" t="s">
        <v>91</v>
      </c>
      <c r="S108" s="99" t="s">
        <v>90</v>
      </c>
      <c r="T108" s="99" t="s">
        <v>91</v>
      </c>
      <c r="U108" s="99" t="s">
        <v>881</v>
      </c>
      <c r="V108" s="99" t="s">
        <v>882</v>
      </c>
      <c r="W108" s="99"/>
      <c r="X108" s="99"/>
      <c r="Y108" s="99"/>
      <c r="Z108" s="99"/>
      <c r="AA108" s="99">
        <v>8</v>
      </c>
      <c r="AB108" s="99"/>
      <c r="AC108" s="197">
        <f t="shared" si="15"/>
        <v>8</v>
      </c>
      <c r="AD108" s="99">
        <v>8</v>
      </c>
      <c r="AE108" s="99"/>
      <c r="AF108" s="99"/>
      <c r="AG108" s="99">
        <f t="shared" si="16"/>
        <v>8</v>
      </c>
      <c r="AH108" s="99"/>
      <c r="AI108" s="99">
        <v>8</v>
      </c>
      <c r="AJ108" s="99"/>
      <c r="AK108" s="99"/>
      <c r="AL108" s="99"/>
      <c r="AM108" s="99">
        <f t="shared" si="14"/>
        <v>8</v>
      </c>
      <c r="AN108" s="99" t="s">
        <v>883</v>
      </c>
      <c r="AO108" s="99">
        <v>3</v>
      </c>
      <c r="AP108" s="99"/>
    </row>
    <row r="109" spans="1:42" ht="39" customHeight="1" x14ac:dyDescent="0.25">
      <c r="A109" s="99">
        <v>1747</v>
      </c>
      <c r="B109" s="197" t="s">
        <v>931</v>
      </c>
      <c r="C109" s="239">
        <v>102149000</v>
      </c>
      <c r="D109" s="99">
        <v>24100012649</v>
      </c>
      <c r="E109" s="99"/>
      <c r="F109" s="197" t="e">
        <f>VLOOKUP(D109,'rà soát ĐK'!B102:C552,2,0)</f>
        <v>#N/A</v>
      </c>
      <c r="G109" s="99"/>
      <c r="H109" s="99" t="str">
        <f>VLOOKUP(C109,'[1]Bến Cát'!$E$4:$F$177,2,0)</f>
        <v>11.147914846961335, 106.62643690629307</v>
      </c>
      <c r="I109" s="239">
        <v>1.11479148469613E+16</v>
      </c>
      <c r="J109" s="239">
        <v>1.06626436906293E+16</v>
      </c>
      <c r="K109" s="197" t="s">
        <v>932</v>
      </c>
      <c r="L109" s="197" t="s">
        <v>878</v>
      </c>
      <c r="M109" s="197" t="s">
        <v>934</v>
      </c>
      <c r="N109" s="99" t="s">
        <v>880</v>
      </c>
      <c r="O109" s="99"/>
      <c r="P109" s="99">
        <v>240</v>
      </c>
      <c r="Q109" s="99">
        <f t="shared" si="11"/>
        <v>240</v>
      </c>
      <c r="R109" s="99" t="s">
        <v>91</v>
      </c>
      <c r="S109" s="99" t="s">
        <v>90</v>
      </c>
      <c r="T109" s="99" t="s">
        <v>91</v>
      </c>
      <c r="U109" s="99" t="s">
        <v>881</v>
      </c>
      <c r="V109" s="99" t="s">
        <v>882</v>
      </c>
      <c r="W109" s="99"/>
      <c r="X109" s="99"/>
      <c r="Y109" s="99"/>
      <c r="Z109" s="99"/>
      <c r="AA109" s="99">
        <v>6</v>
      </c>
      <c r="AB109" s="99"/>
      <c r="AC109" s="197">
        <f t="shared" si="15"/>
        <v>6</v>
      </c>
      <c r="AD109" s="99">
        <v>6</v>
      </c>
      <c r="AE109" s="99"/>
      <c r="AF109" s="99"/>
      <c r="AG109" s="99">
        <f t="shared" si="16"/>
        <v>6</v>
      </c>
      <c r="AH109" s="99"/>
      <c r="AI109" s="99">
        <v>6</v>
      </c>
      <c r="AJ109" s="99"/>
      <c r="AK109" s="99"/>
      <c r="AL109" s="99"/>
      <c r="AM109" s="99">
        <f t="shared" si="14"/>
        <v>6</v>
      </c>
      <c r="AN109" s="99" t="s">
        <v>883</v>
      </c>
      <c r="AO109" s="99">
        <v>2</v>
      </c>
      <c r="AP109" s="99"/>
    </row>
    <row r="110" spans="1:42" ht="39" customHeight="1" x14ac:dyDescent="0.25">
      <c r="A110" s="99">
        <v>1748</v>
      </c>
      <c r="B110" s="197" t="s">
        <v>949</v>
      </c>
      <c r="C110" s="239">
        <v>102151000</v>
      </c>
      <c r="D110" s="99">
        <v>241200013333</v>
      </c>
      <c r="E110" s="99"/>
      <c r="F110" s="197" t="e">
        <f>VLOOKUP(D110,'rà soát ĐK'!B103:C553,2,0)</f>
        <v>#N/A</v>
      </c>
      <c r="G110" s="99"/>
      <c r="H110" s="99" t="str">
        <f>VLOOKUP(C110,'[1]Bến Cát'!$E$4:$F$177,2,0)</f>
        <v>11.151437828690334, 106.62201321164352</v>
      </c>
      <c r="I110" s="239">
        <v>1.11514378286903E+16</v>
      </c>
      <c r="J110" s="239">
        <v>1.06622013211643E+16</v>
      </c>
      <c r="K110" s="197" t="s">
        <v>950</v>
      </c>
      <c r="L110" s="197" t="s">
        <v>878</v>
      </c>
      <c r="M110" s="197" t="s">
        <v>952</v>
      </c>
      <c r="N110" s="99" t="s">
        <v>891</v>
      </c>
      <c r="O110" s="99"/>
      <c r="P110" s="99">
        <v>685</v>
      </c>
      <c r="Q110" s="99">
        <f t="shared" si="11"/>
        <v>685</v>
      </c>
      <c r="R110" s="99" t="s">
        <v>91</v>
      </c>
      <c r="S110" s="99" t="s">
        <v>90</v>
      </c>
      <c r="T110" s="99" t="s">
        <v>91</v>
      </c>
      <c r="U110" s="99" t="s">
        <v>881</v>
      </c>
      <c r="V110" s="99" t="s">
        <v>897</v>
      </c>
      <c r="W110" s="99"/>
      <c r="X110" s="99"/>
      <c r="Y110" s="99">
        <v>17</v>
      </c>
      <c r="Z110" s="99"/>
      <c r="AA110" s="99"/>
      <c r="AB110" s="99"/>
      <c r="AC110" s="197">
        <f t="shared" si="15"/>
        <v>17</v>
      </c>
      <c r="AD110" s="99">
        <v>17</v>
      </c>
      <c r="AE110" s="99"/>
      <c r="AF110" s="99"/>
      <c r="AG110" s="99">
        <f t="shared" si="16"/>
        <v>17</v>
      </c>
      <c r="AH110" s="99"/>
      <c r="AI110" s="99">
        <v>17</v>
      </c>
      <c r="AJ110" s="99"/>
      <c r="AK110" s="99"/>
      <c r="AL110" s="99"/>
      <c r="AM110" s="99">
        <f t="shared" si="14"/>
        <v>17</v>
      </c>
      <c r="AN110" s="99" t="s">
        <v>883</v>
      </c>
      <c r="AO110" s="99">
        <v>3</v>
      </c>
      <c r="AP110" s="99"/>
    </row>
    <row r="111" spans="1:42" ht="39" customHeight="1" x14ac:dyDescent="0.25">
      <c r="A111" s="99">
        <v>1749</v>
      </c>
      <c r="B111" s="197" t="s">
        <v>974</v>
      </c>
      <c r="C111" s="239">
        <v>102152000</v>
      </c>
      <c r="D111" s="99">
        <v>231200037724</v>
      </c>
      <c r="E111" s="99"/>
      <c r="F111" s="197" t="e">
        <f>VLOOKUP(D111,'rà soát ĐK'!B104:C554,2,0)</f>
        <v>#N/A</v>
      </c>
      <c r="G111" s="99"/>
      <c r="H111" s="99" t="str">
        <f>VLOOKUP(C111,'[1]Bến Cát'!$E$4:$F$177,2,0)</f>
        <v>11.153224433791264, 106.61792472033443</v>
      </c>
      <c r="I111" s="239">
        <v>1.11532244337912E+16</v>
      </c>
      <c r="J111" s="239">
        <v>1.06617924720334E+16</v>
      </c>
      <c r="K111" s="197" t="s">
        <v>975</v>
      </c>
      <c r="L111" s="197" t="s">
        <v>878</v>
      </c>
      <c r="M111" s="197" t="s">
        <v>977</v>
      </c>
      <c r="N111" s="99" t="s">
        <v>891</v>
      </c>
      <c r="O111" s="99"/>
      <c r="P111" s="99">
        <v>400</v>
      </c>
      <c r="Q111" s="99">
        <f t="shared" si="11"/>
        <v>400</v>
      </c>
      <c r="R111" s="99" t="s">
        <v>91</v>
      </c>
      <c r="S111" s="99" t="s">
        <v>90</v>
      </c>
      <c r="T111" s="99" t="s">
        <v>91</v>
      </c>
      <c r="U111" s="99" t="s">
        <v>881</v>
      </c>
      <c r="V111" s="99" t="s">
        <v>882</v>
      </c>
      <c r="W111" s="99"/>
      <c r="X111" s="99"/>
      <c r="Y111" s="99"/>
      <c r="Z111" s="99"/>
      <c r="AA111" s="99">
        <v>10</v>
      </c>
      <c r="AB111" s="99"/>
      <c r="AC111" s="197">
        <f t="shared" si="15"/>
        <v>10</v>
      </c>
      <c r="AD111" s="99">
        <v>10</v>
      </c>
      <c r="AE111" s="99"/>
      <c r="AF111" s="99"/>
      <c r="AG111" s="99">
        <f t="shared" si="16"/>
        <v>10</v>
      </c>
      <c r="AH111" s="99"/>
      <c r="AI111" s="99">
        <v>10</v>
      </c>
      <c r="AJ111" s="99"/>
      <c r="AK111" s="99"/>
      <c r="AL111" s="99"/>
      <c r="AM111" s="99">
        <f t="shared" si="14"/>
        <v>10</v>
      </c>
      <c r="AN111" s="99" t="s">
        <v>883</v>
      </c>
      <c r="AO111" s="99">
        <v>2</v>
      </c>
      <c r="AP111" s="99"/>
    </row>
    <row r="112" spans="1:42" ht="39" customHeight="1" x14ac:dyDescent="0.25">
      <c r="A112" s="99">
        <v>1750</v>
      </c>
      <c r="B112" s="197" t="s">
        <v>912</v>
      </c>
      <c r="C112" s="239">
        <v>100886000</v>
      </c>
      <c r="D112" s="99">
        <v>211100268563</v>
      </c>
      <c r="E112" s="99"/>
      <c r="F112" s="197" t="e">
        <f>VLOOKUP(D112,'rà soát ĐK'!B105:C555,2,0)</f>
        <v>#N/A</v>
      </c>
      <c r="G112" s="99"/>
      <c r="H112" s="99" t="str">
        <f>VLOOKUP(C112,'[1]Bến Cát'!$E$4:$F$177,2,0)</f>
        <v>11.1531997, 106.6159232</v>
      </c>
      <c r="I112" s="239">
        <v>111531997</v>
      </c>
      <c r="J112" s="239">
        <v>1066159232</v>
      </c>
      <c r="K112" s="197" t="s">
        <v>913</v>
      </c>
      <c r="L112" s="197" t="s">
        <v>878</v>
      </c>
      <c r="M112" s="197" t="s">
        <v>915</v>
      </c>
      <c r="N112" s="99" t="s">
        <v>880</v>
      </c>
      <c r="O112" s="99"/>
      <c r="P112" s="99">
        <v>320</v>
      </c>
      <c r="Q112" s="99">
        <f t="shared" si="11"/>
        <v>320</v>
      </c>
      <c r="R112" s="99" t="s">
        <v>91</v>
      </c>
      <c r="S112" s="99" t="s">
        <v>90</v>
      </c>
      <c r="T112" s="99" t="s">
        <v>91</v>
      </c>
      <c r="U112" s="99" t="s">
        <v>881</v>
      </c>
      <c r="V112" s="99" t="s">
        <v>897</v>
      </c>
      <c r="W112" s="99"/>
      <c r="X112" s="99"/>
      <c r="Y112" s="99"/>
      <c r="Z112" s="99"/>
      <c r="AA112" s="99">
        <v>8</v>
      </c>
      <c r="AB112" s="99"/>
      <c r="AC112" s="197">
        <f t="shared" si="15"/>
        <v>8</v>
      </c>
      <c r="AD112" s="99">
        <v>8</v>
      </c>
      <c r="AE112" s="99"/>
      <c r="AF112" s="99"/>
      <c r="AG112" s="99">
        <f t="shared" si="16"/>
        <v>8</v>
      </c>
      <c r="AH112" s="99"/>
      <c r="AI112" s="99">
        <v>8</v>
      </c>
      <c r="AJ112" s="99"/>
      <c r="AK112" s="99"/>
      <c r="AL112" s="99"/>
      <c r="AM112" s="99">
        <f t="shared" si="14"/>
        <v>8</v>
      </c>
      <c r="AN112" s="99" t="s">
        <v>883</v>
      </c>
      <c r="AO112" s="99">
        <v>3</v>
      </c>
      <c r="AP112" s="99"/>
    </row>
    <row r="113" spans="1:42" ht="39" customHeight="1" x14ac:dyDescent="0.25">
      <c r="A113" s="99">
        <v>1751</v>
      </c>
      <c r="B113" s="197" t="s">
        <v>995</v>
      </c>
      <c r="C113" s="239">
        <v>102153000</v>
      </c>
      <c r="D113" s="99" t="s">
        <v>997</v>
      </c>
      <c r="E113" s="99"/>
      <c r="F113" s="197" t="s">
        <v>997</v>
      </c>
      <c r="G113" s="99" t="s">
        <v>997</v>
      </c>
      <c r="H113" s="99" t="str">
        <f>VLOOKUP(C113,'[1]Bến Cát'!$E$4:$F$177,2,0)</f>
        <v>11.15576358823094, 106.6124875673707</v>
      </c>
      <c r="I113" s="239">
        <v>1115576358823090</v>
      </c>
      <c r="J113" s="239">
        <v>1066124875673700</v>
      </c>
      <c r="K113" s="197" t="s">
        <v>996</v>
      </c>
      <c r="L113" s="197" t="s">
        <v>878</v>
      </c>
      <c r="M113" s="197" t="s">
        <v>998</v>
      </c>
      <c r="N113" s="99" t="s">
        <v>891</v>
      </c>
      <c r="O113" s="99"/>
      <c r="P113" s="99">
        <v>400</v>
      </c>
      <c r="Q113" s="99">
        <f t="shared" ref="Q113:Q176" si="17">SUM(O113:P113)</f>
        <v>400</v>
      </c>
      <c r="R113" s="99" t="s">
        <v>90</v>
      </c>
      <c r="S113" s="99" t="s">
        <v>91</v>
      </c>
      <c r="T113" s="99" t="s">
        <v>91</v>
      </c>
      <c r="U113" s="99" t="s">
        <v>881</v>
      </c>
      <c r="V113" s="99" t="s">
        <v>897</v>
      </c>
      <c r="W113" s="99"/>
      <c r="X113" s="99"/>
      <c r="Y113" s="99"/>
      <c r="Z113" s="99"/>
      <c r="AA113" s="99">
        <v>12</v>
      </c>
      <c r="AB113" s="99"/>
      <c r="AC113" s="197">
        <f t="shared" si="15"/>
        <v>12</v>
      </c>
      <c r="AD113" s="99">
        <v>12</v>
      </c>
      <c r="AE113" s="99"/>
      <c r="AF113" s="99"/>
      <c r="AG113" s="99">
        <f t="shared" si="16"/>
        <v>12</v>
      </c>
      <c r="AH113" s="99"/>
      <c r="AI113" s="99">
        <v>12</v>
      </c>
      <c r="AJ113" s="99"/>
      <c r="AK113" s="99"/>
      <c r="AL113" s="99"/>
      <c r="AM113" s="99">
        <f t="shared" si="14"/>
        <v>12</v>
      </c>
      <c r="AN113" s="99" t="s">
        <v>883</v>
      </c>
      <c r="AO113" s="99">
        <v>3</v>
      </c>
      <c r="AP113" s="99"/>
    </row>
    <row r="114" spans="1:42" ht="39" customHeight="1" x14ac:dyDescent="0.25">
      <c r="A114" s="99">
        <v>1752</v>
      </c>
      <c r="B114" s="197" t="s">
        <v>965</v>
      </c>
      <c r="C114" s="239">
        <v>100887000</v>
      </c>
      <c r="D114" s="99" t="s">
        <v>967</v>
      </c>
      <c r="E114" s="99"/>
      <c r="F114" s="197" t="s">
        <v>967</v>
      </c>
      <c r="G114" s="99" t="s">
        <v>967</v>
      </c>
      <c r="H114" s="99" t="str">
        <f>VLOOKUP(C114,'[1]Bến Cát'!$E$4:$F$177,2,0)</f>
        <v>11.1556583, 106.610485</v>
      </c>
      <c r="I114" s="239">
        <v>111556583</v>
      </c>
      <c r="J114" s="239">
        <v>106610485</v>
      </c>
      <c r="K114" s="197" t="s">
        <v>966</v>
      </c>
      <c r="L114" s="197" t="s">
        <v>878</v>
      </c>
      <c r="M114" s="197" t="s">
        <v>968</v>
      </c>
      <c r="N114" s="99" t="s">
        <v>969</v>
      </c>
      <c r="O114" s="99"/>
      <c r="P114" s="99">
        <v>555</v>
      </c>
      <c r="Q114" s="99">
        <f t="shared" si="17"/>
        <v>555</v>
      </c>
      <c r="R114" s="99" t="s">
        <v>91</v>
      </c>
      <c r="S114" s="99" t="s">
        <v>90</v>
      </c>
      <c r="T114" s="99" t="s">
        <v>91</v>
      </c>
      <c r="U114" s="99" t="s">
        <v>881</v>
      </c>
      <c r="V114" s="99" t="s">
        <v>897</v>
      </c>
      <c r="W114" s="99"/>
      <c r="X114" s="99"/>
      <c r="Y114" s="99"/>
      <c r="Z114" s="99"/>
      <c r="AA114" s="99">
        <v>17</v>
      </c>
      <c r="AB114" s="99"/>
      <c r="AC114" s="197">
        <f t="shared" si="15"/>
        <v>17</v>
      </c>
      <c r="AD114" s="99">
        <v>17</v>
      </c>
      <c r="AE114" s="99"/>
      <c r="AF114" s="99"/>
      <c r="AG114" s="99">
        <f t="shared" si="16"/>
        <v>17</v>
      </c>
      <c r="AH114" s="99"/>
      <c r="AI114" s="99">
        <v>17</v>
      </c>
      <c r="AJ114" s="99"/>
      <c r="AK114" s="99"/>
      <c r="AL114" s="99"/>
      <c r="AM114" s="99">
        <f t="shared" si="14"/>
        <v>17</v>
      </c>
      <c r="AN114" s="99" t="s">
        <v>883</v>
      </c>
      <c r="AO114" s="99">
        <v>2</v>
      </c>
      <c r="AP114" s="99"/>
    </row>
    <row r="115" spans="1:42" ht="39" customHeight="1" x14ac:dyDescent="0.25">
      <c r="A115" s="99">
        <v>1753</v>
      </c>
      <c r="B115" s="197" t="s">
        <v>986</v>
      </c>
      <c r="C115" s="239">
        <v>100888000</v>
      </c>
      <c r="D115" s="99" t="s">
        <v>988</v>
      </c>
      <c r="E115" s="99"/>
      <c r="F115" s="197" t="s">
        <v>988</v>
      </c>
      <c r="G115" s="99" t="s">
        <v>988</v>
      </c>
      <c r="H115" s="99" t="str">
        <f>VLOOKUP(C115,'[1]Bến Cát'!$E$4:$F$177,2,0)</f>
        <v>11.1553594, 106.6086122</v>
      </c>
      <c r="I115" s="239">
        <v>111553594</v>
      </c>
      <c r="J115" s="239">
        <v>1066086122</v>
      </c>
      <c r="K115" s="197" t="s">
        <v>987</v>
      </c>
      <c r="L115" s="197" t="s">
        <v>878</v>
      </c>
      <c r="M115" s="197" t="s">
        <v>989</v>
      </c>
      <c r="N115" s="99" t="s">
        <v>969</v>
      </c>
      <c r="O115" s="99"/>
      <c r="P115" s="99">
        <v>670</v>
      </c>
      <c r="Q115" s="99">
        <f t="shared" si="17"/>
        <v>670</v>
      </c>
      <c r="R115" s="99" t="s">
        <v>90</v>
      </c>
      <c r="S115" s="99" t="s">
        <v>91</v>
      </c>
      <c r="T115" s="99" t="s">
        <v>91</v>
      </c>
      <c r="U115" s="99" t="s">
        <v>881</v>
      </c>
      <c r="V115" s="99" t="s">
        <v>897</v>
      </c>
      <c r="W115" s="99"/>
      <c r="X115" s="99"/>
      <c r="Y115" s="99"/>
      <c r="Z115" s="99"/>
      <c r="AA115" s="99">
        <v>15</v>
      </c>
      <c r="AB115" s="99"/>
      <c r="AC115" s="197">
        <f t="shared" si="15"/>
        <v>15</v>
      </c>
      <c r="AD115" s="99">
        <v>15</v>
      </c>
      <c r="AE115" s="99"/>
      <c r="AF115" s="99"/>
      <c r="AG115" s="99">
        <f t="shared" si="16"/>
        <v>15</v>
      </c>
      <c r="AH115" s="99"/>
      <c r="AI115" s="99">
        <v>15</v>
      </c>
      <c r="AJ115" s="99"/>
      <c r="AK115" s="99"/>
      <c r="AL115" s="99"/>
      <c r="AM115" s="99">
        <f t="shared" si="14"/>
        <v>15</v>
      </c>
      <c r="AN115" s="99" t="s">
        <v>883</v>
      </c>
      <c r="AO115" s="99">
        <v>3</v>
      </c>
      <c r="AP115" s="99"/>
    </row>
    <row r="116" spans="1:42" ht="39" customHeight="1" x14ac:dyDescent="0.25">
      <c r="A116" s="99">
        <v>1754</v>
      </c>
      <c r="B116" s="197" t="s">
        <v>978</v>
      </c>
      <c r="C116" s="239">
        <v>102735000</v>
      </c>
      <c r="D116" s="99">
        <v>251200035212</v>
      </c>
      <c r="E116" s="99"/>
      <c r="F116" s="197" t="e">
        <f>VLOOKUP(D116,'rà soát ĐK'!B109:C559,2,0)</f>
        <v>#N/A</v>
      </c>
      <c r="G116" s="99"/>
      <c r="H116" s="99" t="str">
        <f>VLOOKUP(C116,'[1]Bến Cát'!$E$4:$F$177,2,0)</f>
        <v>11.1543737, 106.6039045</v>
      </c>
      <c r="I116" s="239">
        <v>111543737</v>
      </c>
      <c r="J116" s="239">
        <v>1066039045</v>
      </c>
      <c r="K116" s="197" t="s">
        <v>979</v>
      </c>
      <c r="L116" s="197" t="s">
        <v>878</v>
      </c>
      <c r="M116" s="197" t="s">
        <v>981</v>
      </c>
      <c r="N116" s="99" t="s">
        <v>891</v>
      </c>
      <c r="O116" s="99"/>
      <c r="P116" s="99">
        <v>325</v>
      </c>
      <c r="Q116" s="99">
        <f t="shared" si="17"/>
        <v>325</v>
      </c>
      <c r="R116" s="99" t="s">
        <v>90</v>
      </c>
      <c r="S116" s="99" t="s">
        <v>91</v>
      </c>
      <c r="T116" s="99" t="s">
        <v>91</v>
      </c>
      <c r="U116" s="99" t="s">
        <v>881</v>
      </c>
      <c r="V116" s="99" t="s">
        <v>897</v>
      </c>
      <c r="W116" s="99"/>
      <c r="X116" s="99"/>
      <c r="Y116" s="99"/>
      <c r="Z116" s="99"/>
      <c r="AA116" s="99">
        <v>10</v>
      </c>
      <c r="AB116" s="99"/>
      <c r="AC116" s="197">
        <f t="shared" si="15"/>
        <v>10</v>
      </c>
      <c r="AD116" s="99">
        <v>10</v>
      </c>
      <c r="AE116" s="99"/>
      <c r="AF116" s="99"/>
      <c r="AG116" s="99">
        <f t="shared" si="16"/>
        <v>10</v>
      </c>
      <c r="AH116" s="99"/>
      <c r="AI116" s="99">
        <v>10</v>
      </c>
      <c r="AJ116" s="99"/>
      <c r="AK116" s="99"/>
      <c r="AL116" s="99"/>
      <c r="AM116" s="99">
        <f t="shared" si="14"/>
        <v>10</v>
      </c>
      <c r="AN116" s="99" t="s">
        <v>883</v>
      </c>
      <c r="AO116" s="99">
        <v>3</v>
      </c>
      <c r="AP116" s="99"/>
    </row>
    <row r="117" spans="1:42" ht="39" customHeight="1" x14ac:dyDescent="0.25">
      <c r="A117" s="99">
        <v>1755</v>
      </c>
      <c r="B117" s="197" t="s">
        <v>1042</v>
      </c>
      <c r="C117" s="239">
        <v>102157000</v>
      </c>
      <c r="D117" s="99" t="s">
        <v>1044</v>
      </c>
      <c r="E117" s="99"/>
      <c r="F117" s="197" t="s">
        <v>1044</v>
      </c>
      <c r="G117" s="99" t="s">
        <v>1044</v>
      </c>
      <c r="H117" s="99" t="str">
        <f>VLOOKUP(C117,'[1]Bến Cát'!$E$4:$F$177,2,0)</f>
        <v>11.1549549, 106.597962</v>
      </c>
      <c r="I117" s="239">
        <v>111549549</v>
      </c>
      <c r="J117" s="239">
        <v>106597962</v>
      </c>
      <c r="K117" s="197" t="s">
        <v>1043</v>
      </c>
      <c r="L117" s="197" t="s">
        <v>878</v>
      </c>
      <c r="M117" s="197" t="s">
        <v>1045</v>
      </c>
      <c r="N117" s="99" t="s">
        <v>911</v>
      </c>
      <c r="O117" s="99"/>
      <c r="P117" s="99">
        <v>780</v>
      </c>
      <c r="Q117" s="99">
        <f t="shared" si="17"/>
        <v>780</v>
      </c>
      <c r="R117" s="99" t="s">
        <v>91</v>
      </c>
      <c r="S117" s="99" t="s">
        <v>90</v>
      </c>
      <c r="T117" s="99" t="s">
        <v>91</v>
      </c>
      <c r="U117" s="99" t="s">
        <v>881</v>
      </c>
      <c r="V117" s="99" t="s">
        <v>897</v>
      </c>
      <c r="W117" s="99"/>
      <c r="X117" s="99"/>
      <c r="Y117" s="99"/>
      <c r="Z117" s="99"/>
      <c r="AA117" s="99">
        <v>19</v>
      </c>
      <c r="AB117" s="99"/>
      <c r="AC117" s="197">
        <f t="shared" si="15"/>
        <v>19</v>
      </c>
      <c r="AD117" s="99">
        <v>19</v>
      </c>
      <c r="AE117" s="99"/>
      <c r="AF117" s="99"/>
      <c r="AG117" s="99">
        <f t="shared" si="16"/>
        <v>19</v>
      </c>
      <c r="AH117" s="99"/>
      <c r="AI117" s="99">
        <v>19</v>
      </c>
      <c r="AJ117" s="99"/>
      <c r="AK117" s="99"/>
      <c r="AL117" s="99"/>
      <c r="AM117" s="99">
        <f t="shared" si="14"/>
        <v>19</v>
      </c>
      <c r="AN117" s="99" t="s">
        <v>883</v>
      </c>
      <c r="AO117" s="99">
        <v>2</v>
      </c>
      <c r="AP117" s="99"/>
    </row>
    <row r="118" spans="1:42" ht="39" customHeight="1" x14ac:dyDescent="0.25">
      <c r="A118" s="99">
        <v>1756</v>
      </c>
      <c r="B118" s="197" t="s">
        <v>1046</v>
      </c>
      <c r="C118" s="239">
        <v>102158000</v>
      </c>
      <c r="D118" s="99" t="s">
        <v>1048</v>
      </c>
      <c r="E118" s="99"/>
      <c r="F118" s="197" t="s">
        <v>1048</v>
      </c>
      <c r="G118" s="99" t="s">
        <v>1048</v>
      </c>
      <c r="H118" s="99" t="str">
        <f>VLOOKUP(C118,'[1]Bến Cát'!$E$4:$F$177,2,0)</f>
        <v>11.1553468, 106.5947692</v>
      </c>
      <c r="I118" s="239">
        <v>111553468</v>
      </c>
      <c r="J118" s="239">
        <v>1065947692</v>
      </c>
      <c r="K118" s="197" t="s">
        <v>1047</v>
      </c>
      <c r="L118" s="197" t="s">
        <v>878</v>
      </c>
      <c r="M118" s="197" t="s">
        <v>1049</v>
      </c>
      <c r="N118" s="99" t="s">
        <v>911</v>
      </c>
      <c r="O118" s="99"/>
      <c r="P118" s="99">
        <v>175</v>
      </c>
      <c r="Q118" s="99">
        <f t="shared" si="17"/>
        <v>175</v>
      </c>
      <c r="R118" s="99" t="s">
        <v>91</v>
      </c>
      <c r="S118" s="99" t="s">
        <v>90</v>
      </c>
      <c r="T118" s="99" t="s">
        <v>91</v>
      </c>
      <c r="U118" s="99" t="s">
        <v>881</v>
      </c>
      <c r="V118" s="99" t="s">
        <v>897</v>
      </c>
      <c r="W118" s="99"/>
      <c r="X118" s="99"/>
      <c r="Y118" s="99"/>
      <c r="Z118" s="99"/>
      <c r="AA118" s="99">
        <v>6</v>
      </c>
      <c r="AB118" s="99"/>
      <c r="AC118" s="197">
        <f t="shared" si="15"/>
        <v>6</v>
      </c>
      <c r="AD118" s="99">
        <v>6</v>
      </c>
      <c r="AE118" s="99"/>
      <c r="AF118" s="99"/>
      <c r="AG118" s="99">
        <f t="shared" si="16"/>
        <v>6</v>
      </c>
      <c r="AH118" s="99"/>
      <c r="AI118" s="99">
        <v>6</v>
      </c>
      <c r="AJ118" s="99"/>
      <c r="AK118" s="99"/>
      <c r="AL118" s="99"/>
      <c r="AM118" s="99">
        <f t="shared" si="14"/>
        <v>6</v>
      </c>
      <c r="AN118" s="99" t="s">
        <v>883</v>
      </c>
      <c r="AO118" s="99">
        <v>2</v>
      </c>
      <c r="AP118" s="99"/>
    </row>
    <row r="119" spans="1:42" ht="39" customHeight="1" x14ac:dyDescent="0.25">
      <c r="A119" s="99">
        <v>1757</v>
      </c>
      <c r="B119" s="197" t="s">
        <v>1058</v>
      </c>
      <c r="C119" s="239">
        <v>102669000</v>
      </c>
      <c r="D119" s="99">
        <v>18110173535</v>
      </c>
      <c r="E119" s="99"/>
      <c r="F119" s="197" t="str">
        <f>VLOOKUP(D119,'rà soát ĐK'!B112:C562,2,0)</f>
        <v>PB04040076707</v>
      </c>
      <c r="G119" s="99" t="s">
        <v>1971</v>
      </c>
      <c r="H119" s="99" t="str">
        <f>VLOOKUP(C119,'[1]Bến Cát'!$E$4:$F$177,2,0)</f>
        <v>11.160015, 106.5958217</v>
      </c>
      <c r="I119" s="239">
        <v>11160015</v>
      </c>
      <c r="J119" s="239">
        <v>1065958217</v>
      </c>
      <c r="K119" s="197" t="s">
        <v>1059</v>
      </c>
      <c r="L119" s="197" t="s">
        <v>878</v>
      </c>
      <c r="M119" s="197" t="s">
        <v>1061</v>
      </c>
      <c r="N119" s="99" t="s">
        <v>880</v>
      </c>
      <c r="O119" s="99"/>
      <c r="P119" s="99">
        <v>100</v>
      </c>
      <c r="Q119" s="99">
        <f t="shared" si="17"/>
        <v>100</v>
      </c>
      <c r="R119" s="99" t="s">
        <v>91</v>
      </c>
      <c r="S119" s="99" t="s">
        <v>90</v>
      </c>
      <c r="T119" s="99" t="s">
        <v>91</v>
      </c>
      <c r="U119" s="99" t="s">
        <v>881</v>
      </c>
      <c r="V119" s="99" t="s">
        <v>882</v>
      </c>
      <c r="W119" s="99"/>
      <c r="X119" s="99"/>
      <c r="Y119" s="99"/>
      <c r="Z119" s="99"/>
      <c r="AA119" s="99">
        <v>4</v>
      </c>
      <c r="AB119" s="99"/>
      <c r="AC119" s="197">
        <f t="shared" si="15"/>
        <v>4</v>
      </c>
      <c r="AD119" s="99">
        <v>4</v>
      </c>
      <c r="AE119" s="99"/>
      <c r="AF119" s="99"/>
      <c r="AG119" s="99">
        <f t="shared" si="16"/>
        <v>4</v>
      </c>
      <c r="AH119" s="99"/>
      <c r="AI119" s="99">
        <v>4</v>
      </c>
      <c r="AJ119" s="99"/>
      <c r="AK119" s="99"/>
      <c r="AL119" s="99"/>
      <c r="AM119" s="99">
        <f t="shared" si="14"/>
        <v>4</v>
      </c>
      <c r="AN119" s="99" t="s">
        <v>883</v>
      </c>
      <c r="AO119" s="99">
        <v>2</v>
      </c>
      <c r="AP119" s="99"/>
    </row>
    <row r="120" spans="1:42" ht="39" customHeight="1" x14ac:dyDescent="0.25">
      <c r="A120" s="99">
        <v>1758</v>
      </c>
      <c r="B120" s="197" t="s">
        <v>1079</v>
      </c>
      <c r="C120" s="239">
        <v>102161000</v>
      </c>
      <c r="D120" s="99" t="s">
        <v>1081</v>
      </c>
      <c r="E120" s="99"/>
      <c r="F120" s="197" t="s">
        <v>1081</v>
      </c>
      <c r="G120" s="99" t="s">
        <v>1081</v>
      </c>
      <c r="H120" s="99" t="str">
        <f>VLOOKUP(C120,'[1]Bến Cát'!$E$4:$F$177,2,0)</f>
        <v>11.162507889309161, 106.60158038976043</v>
      </c>
      <c r="I120" s="239">
        <v>1.11625078893091E+16</v>
      </c>
      <c r="J120" s="239">
        <v>1.0660158038976E+16</v>
      </c>
      <c r="K120" s="197" t="s">
        <v>1080</v>
      </c>
      <c r="L120" s="197" t="s">
        <v>878</v>
      </c>
      <c r="M120" s="197" t="s">
        <v>1082</v>
      </c>
      <c r="N120" s="99" t="s">
        <v>880</v>
      </c>
      <c r="O120" s="99"/>
      <c r="P120" s="99">
        <v>240</v>
      </c>
      <c r="Q120" s="99">
        <f t="shared" si="17"/>
        <v>240</v>
      </c>
      <c r="R120" s="99" t="s">
        <v>90</v>
      </c>
      <c r="S120" s="99" t="s">
        <v>91</v>
      </c>
      <c r="T120" s="99" t="s">
        <v>91</v>
      </c>
      <c r="U120" s="99" t="s">
        <v>881</v>
      </c>
      <c r="V120" s="99" t="s">
        <v>897</v>
      </c>
      <c r="W120" s="99"/>
      <c r="X120" s="99"/>
      <c r="Y120" s="99"/>
      <c r="Z120" s="99"/>
      <c r="AA120" s="99">
        <v>7</v>
      </c>
      <c r="AB120" s="99"/>
      <c r="AC120" s="197">
        <f t="shared" si="15"/>
        <v>7</v>
      </c>
      <c r="AD120" s="99">
        <v>7</v>
      </c>
      <c r="AE120" s="99"/>
      <c r="AF120" s="99"/>
      <c r="AG120" s="99">
        <f t="shared" si="16"/>
        <v>7</v>
      </c>
      <c r="AH120" s="99"/>
      <c r="AI120" s="99">
        <v>7</v>
      </c>
      <c r="AJ120" s="99"/>
      <c r="AK120" s="99"/>
      <c r="AL120" s="99"/>
      <c r="AM120" s="99">
        <f t="shared" si="14"/>
        <v>7</v>
      </c>
      <c r="AN120" s="99" t="s">
        <v>883</v>
      </c>
      <c r="AO120" s="99">
        <v>3</v>
      </c>
      <c r="AP120" s="99"/>
    </row>
    <row r="121" spans="1:42" ht="39" customHeight="1" x14ac:dyDescent="0.25">
      <c r="A121" s="99">
        <v>1759</v>
      </c>
      <c r="B121" s="197" t="s">
        <v>1310</v>
      </c>
      <c r="C121" s="239">
        <v>100944000</v>
      </c>
      <c r="D121" s="99" t="s">
        <v>1312</v>
      </c>
      <c r="E121" s="99"/>
      <c r="F121" s="197" t="s">
        <v>1312</v>
      </c>
      <c r="G121" s="99" t="s">
        <v>1312</v>
      </c>
      <c r="H121" s="99" t="str">
        <f>VLOOKUP(C121,'[1]Bến Cát'!$E$4:$F$177,2,0)</f>
        <v>11.1633081, 106.6120112</v>
      </c>
      <c r="I121" s="239">
        <v>111633081</v>
      </c>
      <c r="J121" s="239">
        <v>1066120112</v>
      </c>
      <c r="K121" s="197" t="s">
        <v>1311</v>
      </c>
      <c r="L121" s="197" t="s">
        <v>878</v>
      </c>
      <c r="M121" s="197" t="s">
        <v>1313</v>
      </c>
      <c r="N121" s="99" t="s">
        <v>911</v>
      </c>
      <c r="O121" s="99"/>
      <c r="P121" s="99">
        <v>540</v>
      </c>
      <c r="Q121" s="99">
        <f t="shared" si="17"/>
        <v>540</v>
      </c>
      <c r="R121" s="99" t="s">
        <v>90</v>
      </c>
      <c r="S121" s="99" t="s">
        <v>91</v>
      </c>
      <c r="T121" s="99" t="s">
        <v>91</v>
      </c>
      <c r="U121" s="99" t="s">
        <v>881</v>
      </c>
      <c r="V121" s="99" t="s">
        <v>897</v>
      </c>
      <c r="W121" s="99"/>
      <c r="X121" s="99"/>
      <c r="Y121" s="99"/>
      <c r="Z121" s="99"/>
      <c r="AA121" s="99">
        <v>11</v>
      </c>
      <c r="AB121" s="99"/>
      <c r="AC121" s="197">
        <f t="shared" si="15"/>
        <v>11</v>
      </c>
      <c r="AD121" s="99">
        <v>11</v>
      </c>
      <c r="AE121" s="99"/>
      <c r="AF121" s="99"/>
      <c r="AG121" s="99">
        <f t="shared" si="16"/>
        <v>11</v>
      </c>
      <c r="AH121" s="99"/>
      <c r="AI121" s="99">
        <v>11</v>
      </c>
      <c r="AJ121" s="99"/>
      <c r="AK121" s="99"/>
      <c r="AL121" s="99"/>
      <c r="AM121" s="99">
        <f t="shared" si="14"/>
        <v>11</v>
      </c>
      <c r="AN121" s="99" t="s">
        <v>883</v>
      </c>
      <c r="AO121" s="99">
        <v>3</v>
      </c>
      <c r="AP121" s="99"/>
    </row>
    <row r="122" spans="1:42" ht="39" customHeight="1" x14ac:dyDescent="0.25">
      <c r="A122" s="99">
        <v>1760</v>
      </c>
      <c r="B122" s="197" t="s">
        <v>1276</v>
      </c>
      <c r="C122" s="239">
        <v>101273000</v>
      </c>
      <c r="D122" s="99">
        <v>241200025135</v>
      </c>
      <c r="E122" s="99"/>
      <c r="F122" s="197" t="str">
        <f>VLOOKUP(D122,'rà soát ĐK'!B115:C565,2,0)</f>
        <v>PB04040086057</v>
      </c>
      <c r="G122" s="99" t="s">
        <v>1986</v>
      </c>
      <c r="H122" s="99" t="str">
        <f>VLOOKUP(C122,'[1]Bến Cát'!$E$4:$F$177,2,0)</f>
        <v>11.1628317, 106.5984251</v>
      </c>
      <c r="I122" s="239">
        <v>111628317</v>
      </c>
      <c r="J122" s="239">
        <v>1065984251</v>
      </c>
      <c r="K122" s="197" t="s">
        <v>1277</v>
      </c>
      <c r="L122" s="197" t="s">
        <v>878</v>
      </c>
      <c r="M122" s="197" t="s">
        <v>1279</v>
      </c>
      <c r="N122" s="99" t="s">
        <v>891</v>
      </c>
      <c r="O122" s="99"/>
      <c r="P122" s="99">
        <v>240</v>
      </c>
      <c r="Q122" s="99">
        <f t="shared" si="17"/>
        <v>240</v>
      </c>
      <c r="R122" s="99" t="s">
        <v>91</v>
      </c>
      <c r="S122" s="99" t="s">
        <v>90</v>
      </c>
      <c r="T122" s="99" t="s">
        <v>91</v>
      </c>
      <c r="U122" s="99" t="s">
        <v>881</v>
      </c>
      <c r="V122" s="99" t="s">
        <v>897</v>
      </c>
      <c r="W122" s="99"/>
      <c r="X122" s="99"/>
      <c r="Y122" s="99"/>
      <c r="Z122" s="99"/>
      <c r="AA122" s="99">
        <v>8</v>
      </c>
      <c r="AB122" s="99"/>
      <c r="AC122" s="197">
        <f t="shared" si="15"/>
        <v>8</v>
      </c>
      <c r="AD122" s="99">
        <v>8</v>
      </c>
      <c r="AE122" s="99"/>
      <c r="AF122" s="99"/>
      <c r="AG122" s="99">
        <f t="shared" si="16"/>
        <v>8</v>
      </c>
      <c r="AH122" s="99"/>
      <c r="AI122" s="99">
        <v>8</v>
      </c>
      <c r="AJ122" s="99"/>
      <c r="AK122" s="99"/>
      <c r="AL122" s="99"/>
      <c r="AM122" s="99">
        <f t="shared" si="14"/>
        <v>8</v>
      </c>
      <c r="AN122" s="99" t="s">
        <v>883</v>
      </c>
      <c r="AO122" s="99">
        <v>2</v>
      </c>
      <c r="AP122" s="99"/>
    </row>
    <row r="123" spans="1:42" ht="39" customHeight="1" x14ac:dyDescent="0.25">
      <c r="A123" s="99">
        <v>1762</v>
      </c>
      <c r="B123" s="197" t="s">
        <v>935</v>
      </c>
      <c r="C123" s="239">
        <v>102150000</v>
      </c>
      <c r="D123" s="99">
        <v>18110058360</v>
      </c>
      <c r="E123" s="99"/>
      <c r="F123" s="197" t="e">
        <f>VLOOKUP(D123,'rà soát ĐK'!B116:C566,2,0)</f>
        <v>#N/A</v>
      </c>
      <c r="G123" s="99"/>
      <c r="H123" s="99" t="str">
        <f>VLOOKUP(C123,'[1]Bến Cát'!$E$4:$F$177,2,0)</f>
        <v>11.149057809097673, 106.62490764179853</v>
      </c>
      <c r="I123" s="239">
        <v>1.11490578090976E+16</v>
      </c>
      <c r="J123" s="239">
        <v>1.06624907641798E+16</v>
      </c>
      <c r="K123" s="197" t="s">
        <v>936</v>
      </c>
      <c r="L123" s="197" t="s">
        <v>878</v>
      </c>
      <c r="M123" s="197" t="s">
        <v>938</v>
      </c>
      <c r="N123" s="99" t="s">
        <v>880</v>
      </c>
      <c r="O123" s="99"/>
      <c r="P123" s="99">
        <v>200</v>
      </c>
      <c r="Q123" s="99">
        <f t="shared" si="17"/>
        <v>200</v>
      </c>
      <c r="R123" s="99" t="s">
        <v>90</v>
      </c>
      <c r="S123" s="99" t="s">
        <v>91</v>
      </c>
      <c r="T123" s="99" t="s">
        <v>91</v>
      </c>
      <c r="U123" s="99" t="s">
        <v>881</v>
      </c>
      <c r="V123" s="99" t="s">
        <v>897</v>
      </c>
      <c r="W123" s="99"/>
      <c r="X123" s="99"/>
      <c r="Y123" s="99"/>
      <c r="Z123" s="99"/>
      <c r="AA123" s="99">
        <v>5</v>
      </c>
      <c r="AB123" s="99"/>
      <c r="AC123" s="197">
        <f t="shared" si="15"/>
        <v>5</v>
      </c>
      <c r="AD123" s="99">
        <v>5</v>
      </c>
      <c r="AE123" s="99"/>
      <c r="AF123" s="99"/>
      <c r="AG123" s="99">
        <f t="shared" si="16"/>
        <v>5</v>
      </c>
      <c r="AH123" s="99"/>
      <c r="AI123" s="99">
        <v>5</v>
      </c>
      <c r="AJ123" s="99"/>
      <c r="AK123" s="99"/>
      <c r="AL123" s="99"/>
      <c r="AM123" s="99">
        <f t="shared" si="14"/>
        <v>5</v>
      </c>
      <c r="AN123" s="99" t="s">
        <v>883</v>
      </c>
      <c r="AO123" s="99">
        <v>3</v>
      </c>
      <c r="AP123" s="99"/>
    </row>
    <row r="124" spans="1:42" ht="39" customHeight="1" x14ac:dyDescent="0.25">
      <c r="A124" s="99">
        <v>1763</v>
      </c>
      <c r="B124" s="197" t="s">
        <v>1326</v>
      </c>
      <c r="C124" s="239">
        <v>100945000</v>
      </c>
      <c r="D124" s="99">
        <v>18170174584</v>
      </c>
      <c r="E124" s="99"/>
      <c r="F124" s="197" t="e">
        <f>VLOOKUP(D124,'rà soát ĐK'!B117:C567,2,0)</f>
        <v>#N/A</v>
      </c>
      <c r="G124" s="99"/>
      <c r="H124" s="99" t="str">
        <f>VLOOKUP(C124,'[1]Bến Cát'!$E$4:$F$177,2,0)</f>
        <v>11.1648794, 106.5952702</v>
      </c>
      <c r="I124" s="239">
        <v>111648794</v>
      </c>
      <c r="J124" s="239">
        <v>1065952702</v>
      </c>
      <c r="K124" s="197" t="s">
        <v>1327</v>
      </c>
      <c r="L124" s="197" t="s">
        <v>878</v>
      </c>
      <c r="M124" s="197" t="s">
        <v>1329</v>
      </c>
      <c r="N124" s="99" t="s">
        <v>891</v>
      </c>
      <c r="O124" s="99"/>
      <c r="P124" s="99">
        <v>160</v>
      </c>
      <c r="Q124" s="99">
        <f t="shared" si="17"/>
        <v>160</v>
      </c>
      <c r="R124" s="99" t="s">
        <v>91</v>
      </c>
      <c r="S124" s="99" t="s">
        <v>90</v>
      </c>
      <c r="T124" s="99" t="s">
        <v>91</v>
      </c>
      <c r="U124" s="99" t="s">
        <v>881</v>
      </c>
      <c r="V124" s="99" t="s">
        <v>897</v>
      </c>
      <c r="W124" s="99"/>
      <c r="X124" s="99"/>
      <c r="Y124" s="99"/>
      <c r="Z124" s="99"/>
      <c r="AA124" s="99">
        <v>7</v>
      </c>
      <c r="AB124" s="99"/>
      <c r="AC124" s="197">
        <f t="shared" si="15"/>
        <v>7</v>
      </c>
      <c r="AD124" s="99">
        <v>7</v>
      </c>
      <c r="AE124" s="99"/>
      <c r="AF124" s="99"/>
      <c r="AG124" s="99">
        <f t="shared" si="16"/>
        <v>7</v>
      </c>
      <c r="AH124" s="99"/>
      <c r="AI124" s="99">
        <v>7</v>
      </c>
      <c r="AJ124" s="99"/>
      <c r="AK124" s="99"/>
      <c r="AL124" s="99"/>
      <c r="AM124" s="99">
        <f t="shared" si="14"/>
        <v>7</v>
      </c>
      <c r="AN124" s="99" t="s">
        <v>883</v>
      </c>
      <c r="AO124" s="99">
        <v>2</v>
      </c>
      <c r="AP124" s="99"/>
    </row>
    <row r="125" spans="1:42" ht="39" customHeight="1" x14ac:dyDescent="0.25">
      <c r="A125" s="99">
        <v>1764</v>
      </c>
      <c r="B125" s="197" t="s">
        <v>1410</v>
      </c>
      <c r="C125" s="239">
        <v>102233000</v>
      </c>
      <c r="D125" s="99">
        <v>18110057749</v>
      </c>
      <c r="E125" s="99"/>
      <c r="F125" s="197" t="str">
        <f>VLOOKUP(D125,'rà soát ĐK'!B118:C568,2,0)</f>
        <v>PB04040074043</v>
      </c>
      <c r="G125" s="99" t="s">
        <v>1988</v>
      </c>
      <c r="H125" s="99" t="str">
        <f>VLOOKUP(C125,'[1]Bến Cát'!$E$4:$F$177,2,0)</f>
        <v>11.1622379, 106.5981739</v>
      </c>
      <c r="I125" s="239">
        <v>111622379</v>
      </c>
      <c r="J125" s="239">
        <v>1065981739</v>
      </c>
      <c r="K125" s="197" t="s">
        <v>1413</v>
      </c>
      <c r="L125" s="197" t="s">
        <v>878</v>
      </c>
      <c r="M125" s="197" t="s">
        <v>1414</v>
      </c>
      <c r="N125" s="99" t="s">
        <v>891</v>
      </c>
      <c r="O125" s="99"/>
      <c r="P125" s="99">
        <v>140</v>
      </c>
      <c r="Q125" s="99">
        <f t="shared" si="17"/>
        <v>140</v>
      </c>
      <c r="R125" s="99" t="s">
        <v>91</v>
      </c>
      <c r="S125" s="99" t="s">
        <v>90</v>
      </c>
      <c r="T125" s="99" t="s">
        <v>91</v>
      </c>
      <c r="U125" s="99" t="s">
        <v>881</v>
      </c>
      <c r="V125" s="99" t="s">
        <v>882</v>
      </c>
      <c r="W125" s="99"/>
      <c r="X125" s="99"/>
      <c r="Y125" s="99"/>
      <c r="Z125" s="99"/>
      <c r="AA125" s="99">
        <v>5</v>
      </c>
      <c r="AB125" s="99"/>
      <c r="AC125" s="197">
        <f t="shared" si="15"/>
        <v>5</v>
      </c>
      <c r="AD125" s="99">
        <v>5</v>
      </c>
      <c r="AE125" s="99"/>
      <c r="AF125" s="99"/>
      <c r="AG125" s="99">
        <f t="shared" si="16"/>
        <v>5</v>
      </c>
      <c r="AH125" s="99"/>
      <c r="AI125" s="99">
        <v>5</v>
      </c>
      <c r="AJ125" s="99"/>
      <c r="AK125" s="99"/>
      <c r="AL125" s="99"/>
      <c r="AM125" s="99">
        <f t="shared" si="14"/>
        <v>5</v>
      </c>
      <c r="AN125" s="99" t="s">
        <v>883</v>
      </c>
      <c r="AO125" s="99">
        <v>2</v>
      </c>
      <c r="AP125" s="99"/>
    </row>
    <row r="126" spans="1:42" ht="39" customHeight="1" x14ac:dyDescent="0.25">
      <c r="A126" s="99">
        <v>1764</v>
      </c>
      <c r="B126" s="197" t="s">
        <v>1415</v>
      </c>
      <c r="C126" s="239">
        <v>102234000</v>
      </c>
      <c r="D126" s="99">
        <v>18110098531</v>
      </c>
      <c r="E126" s="99"/>
      <c r="F126" s="197" t="str">
        <f>VLOOKUP(D126,'rà soát ĐK'!B119:C569,2,0)</f>
        <v>PB04040074044</v>
      </c>
      <c r="G126" s="99" t="s">
        <v>1968</v>
      </c>
      <c r="H126" s="99" t="str">
        <f>VLOOKUP(C126,'[1]Bến Cát'!$E$4:$F$177,2,0)</f>
        <v>11.1634358, 106.5969682</v>
      </c>
      <c r="I126" s="239">
        <v>111634358</v>
      </c>
      <c r="J126" s="239">
        <v>1065969682</v>
      </c>
      <c r="K126" s="197" t="s">
        <v>1413</v>
      </c>
      <c r="L126" s="197" t="s">
        <v>878</v>
      </c>
      <c r="M126" s="197" t="s">
        <v>1418</v>
      </c>
      <c r="N126" s="99" t="s">
        <v>926</v>
      </c>
      <c r="O126" s="99"/>
      <c r="P126" s="99">
        <v>825</v>
      </c>
      <c r="Q126" s="99">
        <f t="shared" si="17"/>
        <v>825</v>
      </c>
      <c r="R126" s="99" t="s">
        <v>91</v>
      </c>
      <c r="S126" s="99" t="s">
        <v>90</v>
      </c>
      <c r="T126" s="99" t="s">
        <v>91</v>
      </c>
      <c r="U126" s="99" t="s">
        <v>881</v>
      </c>
      <c r="V126" s="99" t="s">
        <v>882</v>
      </c>
      <c r="W126" s="99"/>
      <c r="X126" s="99"/>
      <c r="Y126" s="99"/>
      <c r="Z126" s="99"/>
      <c r="AA126" s="99">
        <v>27</v>
      </c>
      <c r="AB126" s="99"/>
      <c r="AC126" s="197">
        <f t="shared" si="15"/>
        <v>27</v>
      </c>
      <c r="AD126" s="99">
        <v>27</v>
      </c>
      <c r="AE126" s="99"/>
      <c r="AF126" s="99"/>
      <c r="AG126" s="99">
        <f t="shared" si="16"/>
        <v>27</v>
      </c>
      <c r="AH126" s="99"/>
      <c r="AI126" s="99">
        <v>27</v>
      </c>
      <c r="AJ126" s="99"/>
      <c r="AK126" s="99"/>
      <c r="AL126" s="99"/>
      <c r="AM126" s="99">
        <f t="shared" si="14"/>
        <v>27</v>
      </c>
      <c r="AN126" s="99" t="s">
        <v>883</v>
      </c>
      <c r="AO126" s="99">
        <v>2</v>
      </c>
      <c r="AP126" s="99"/>
    </row>
    <row r="127" spans="1:42" ht="39" customHeight="1" x14ac:dyDescent="0.25">
      <c r="A127" s="99">
        <v>1765</v>
      </c>
      <c r="B127" s="197" t="s">
        <v>1163</v>
      </c>
      <c r="C127" s="239">
        <v>102163000</v>
      </c>
      <c r="D127" s="99" t="s">
        <v>1165</v>
      </c>
      <c r="E127" s="99"/>
      <c r="F127" s="197" t="s">
        <v>1165</v>
      </c>
      <c r="G127" s="99" t="s">
        <v>1165</v>
      </c>
      <c r="H127" s="99" t="str">
        <f>VLOOKUP(C127,'[1]Bến Cát'!$E$4:$F$177,2,0)</f>
        <v>11.163019107459043, 106.592496391235</v>
      </c>
      <c r="I127" s="239">
        <v>1.1163019107459E+16</v>
      </c>
      <c r="J127" s="239">
        <v>106592496391235</v>
      </c>
      <c r="K127" s="197" t="s">
        <v>1164</v>
      </c>
      <c r="L127" s="197" t="s">
        <v>878</v>
      </c>
      <c r="M127" s="197" t="s">
        <v>1166</v>
      </c>
      <c r="N127" s="99" t="s">
        <v>880</v>
      </c>
      <c r="O127" s="99"/>
      <c r="P127" s="99">
        <v>160</v>
      </c>
      <c r="Q127" s="99">
        <f t="shared" si="17"/>
        <v>160</v>
      </c>
      <c r="R127" s="99" t="s">
        <v>90</v>
      </c>
      <c r="S127" s="99" t="s">
        <v>91</v>
      </c>
      <c r="T127" s="99" t="s">
        <v>91</v>
      </c>
      <c r="U127" s="99" t="s">
        <v>881</v>
      </c>
      <c r="V127" s="99" t="s">
        <v>897</v>
      </c>
      <c r="W127" s="99"/>
      <c r="X127" s="99"/>
      <c r="Y127" s="99"/>
      <c r="Z127" s="99"/>
      <c r="AA127" s="99">
        <v>4</v>
      </c>
      <c r="AB127" s="99"/>
      <c r="AC127" s="197">
        <f t="shared" si="15"/>
        <v>4</v>
      </c>
      <c r="AD127" s="99">
        <v>4</v>
      </c>
      <c r="AE127" s="99"/>
      <c r="AF127" s="99"/>
      <c r="AG127" s="99">
        <f t="shared" si="16"/>
        <v>4</v>
      </c>
      <c r="AH127" s="99"/>
      <c r="AI127" s="99">
        <v>4</v>
      </c>
      <c r="AJ127" s="99"/>
      <c r="AK127" s="99"/>
      <c r="AL127" s="99"/>
      <c r="AM127" s="99">
        <f t="shared" si="14"/>
        <v>4</v>
      </c>
      <c r="AN127" s="99" t="s">
        <v>883</v>
      </c>
      <c r="AO127" s="99">
        <v>3</v>
      </c>
      <c r="AP127" s="99"/>
    </row>
    <row r="128" spans="1:42" ht="39" customHeight="1" x14ac:dyDescent="0.25">
      <c r="A128" s="99">
        <v>1766</v>
      </c>
      <c r="B128" s="197" t="s">
        <v>1159</v>
      </c>
      <c r="C128" s="239">
        <v>102670000</v>
      </c>
      <c r="D128" s="99">
        <v>17210076569</v>
      </c>
      <c r="E128" s="99"/>
      <c r="F128" s="197" t="str">
        <f>VLOOKUP(D128,'rà soát ĐK'!B121:C571,2,0)</f>
        <v>PB04040071448</v>
      </c>
      <c r="G128" s="99" t="s">
        <v>1978</v>
      </c>
      <c r="H128" s="99" t="str">
        <f>VLOOKUP(C128,'[1]Bến Cát'!$E$4:$F$177,2,0)</f>
        <v>11.1644325, 106.5921585</v>
      </c>
      <c r="I128" s="239">
        <v>111644325</v>
      </c>
      <c r="J128" s="239">
        <v>1065921585</v>
      </c>
      <c r="K128" s="197" t="s">
        <v>1160</v>
      </c>
      <c r="L128" s="197" t="s">
        <v>878</v>
      </c>
      <c r="M128" s="197" t="s">
        <v>1162</v>
      </c>
      <c r="N128" s="99" t="s">
        <v>911</v>
      </c>
      <c r="O128" s="99"/>
      <c r="P128" s="99">
        <v>460</v>
      </c>
      <c r="Q128" s="99">
        <f t="shared" si="17"/>
        <v>460</v>
      </c>
      <c r="R128" s="99" t="s">
        <v>91</v>
      </c>
      <c r="S128" s="99" t="s">
        <v>90</v>
      </c>
      <c r="T128" s="99" t="s">
        <v>91</v>
      </c>
      <c r="U128" s="99" t="s">
        <v>881</v>
      </c>
      <c r="V128" s="99" t="s">
        <v>897</v>
      </c>
      <c r="W128" s="99"/>
      <c r="X128" s="99"/>
      <c r="Y128" s="99">
        <v>12</v>
      </c>
      <c r="Z128" s="99"/>
      <c r="AA128" s="99">
        <v>3</v>
      </c>
      <c r="AB128" s="99"/>
      <c r="AC128" s="197">
        <f t="shared" si="15"/>
        <v>15</v>
      </c>
      <c r="AD128" s="99">
        <v>15</v>
      </c>
      <c r="AE128" s="99"/>
      <c r="AF128" s="99"/>
      <c r="AG128" s="99">
        <f t="shared" si="16"/>
        <v>15</v>
      </c>
      <c r="AH128" s="99"/>
      <c r="AI128" s="99">
        <v>15</v>
      </c>
      <c r="AJ128" s="99"/>
      <c r="AK128" s="99"/>
      <c r="AL128" s="99"/>
      <c r="AM128" s="99">
        <f t="shared" si="14"/>
        <v>15</v>
      </c>
      <c r="AN128" s="99" t="s">
        <v>883</v>
      </c>
      <c r="AO128" s="99">
        <v>3</v>
      </c>
      <c r="AP128" s="99"/>
    </row>
    <row r="129" spans="1:42" ht="39" customHeight="1" x14ac:dyDescent="0.25">
      <c r="A129" s="99">
        <v>1767</v>
      </c>
      <c r="B129" s="197" t="s">
        <v>1256</v>
      </c>
      <c r="C129" s="239">
        <v>102744000</v>
      </c>
      <c r="D129" s="99" t="s">
        <v>1258</v>
      </c>
      <c r="E129" s="99"/>
      <c r="F129" s="197" t="s">
        <v>1258</v>
      </c>
      <c r="G129" s="99" t="s">
        <v>1258</v>
      </c>
      <c r="H129" s="99" t="str">
        <f>VLOOKUP(C129,'[1]Bến Cát'!$E$4:$F$177,2,0)</f>
        <v>11.167567364525446, 106.59212783502186</v>
      </c>
      <c r="I129" s="239">
        <v>1.11675673645254E+16</v>
      </c>
      <c r="J129" s="239">
        <v>1.06592127835021E+16</v>
      </c>
      <c r="K129" s="197" t="s">
        <v>1257</v>
      </c>
      <c r="L129" s="197" t="s">
        <v>878</v>
      </c>
      <c r="M129" s="197" t="s">
        <v>1259</v>
      </c>
      <c r="N129" s="99" t="s">
        <v>911</v>
      </c>
      <c r="O129" s="99"/>
      <c r="P129" s="99">
        <v>370</v>
      </c>
      <c r="Q129" s="99">
        <f t="shared" si="17"/>
        <v>370</v>
      </c>
      <c r="R129" s="99" t="s">
        <v>91</v>
      </c>
      <c r="S129" s="99" t="s">
        <v>90</v>
      </c>
      <c r="T129" s="99" t="s">
        <v>91</v>
      </c>
      <c r="U129" s="99" t="s">
        <v>881</v>
      </c>
      <c r="V129" s="99" t="s">
        <v>897</v>
      </c>
      <c r="W129" s="99"/>
      <c r="X129" s="99"/>
      <c r="Y129" s="99"/>
      <c r="Z129" s="99"/>
      <c r="AA129" s="99">
        <v>12</v>
      </c>
      <c r="AB129" s="99"/>
      <c r="AC129" s="197">
        <f t="shared" si="15"/>
        <v>12</v>
      </c>
      <c r="AD129" s="99">
        <v>12</v>
      </c>
      <c r="AE129" s="99"/>
      <c r="AF129" s="99"/>
      <c r="AG129" s="99">
        <f t="shared" si="16"/>
        <v>12</v>
      </c>
      <c r="AH129" s="99"/>
      <c r="AI129" s="99">
        <v>12</v>
      </c>
      <c r="AJ129" s="99"/>
      <c r="AK129" s="99"/>
      <c r="AL129" s="99"/>
      <c r="AM129" s="99">
        <f t="shared" si="14"/>
        <v>12</v>
      </c>
      <c r="AN129" s="99" t="s">
        <v>883</v>
      </c>
      <c r="AO129" s="99">
        <v>2</v>
      </c>
      <c r="AP129" s="99"/>
    </row>
    <row r="130" spans="1:42" ht="39" customHeight="1" x14ac:dyDescent="0.25">
      <c r="A130" s="99">
        <v>1768</v>
      </c>
      <c r="B130" s="197" t="s">
        <v>1142</v>
      </c>
      <c r="C130" s="239">
        <v>102162000</v>
      </c>
      <c r="D130" s="99">
        <v>18110008316</v>
      </c>
      <c r="E130" s="99"/>
      <c r="F130" s="197" t="str">
        <f>VLOOKUP(D130,'rà soát ĐK'!B123:C573,2,0)</f>
        <v>PB04040080816</v>
      </c>
      <c r="G130" s="99" t="s">
        <v>1959</v>
      </c>
      <c r="H130" s="99" t="str">
        <f>VLOOKUP(C130,'[1]Bến Cát'!$E$4:$F$177,2,0)</f>
        <v>11.165421068368653, 106.59088842749681</v>
      </c>
      <c r="I130" s="239">
        <v>1.11654210683686E+16</v>
      </c>
      <c r="J130" s="239">
        <v>1.06590888427496E+16</v>
      </c>
      <c r="K130" s="197" t="s">
        <v>1143</v>
      </c>
      <c r="L130" s="197" t="s">
        <v>878</v>
      </c>
      <c r="M130" s="197" t="s">
        <v>1145</v>
      </c>
      <c r="N130" s="99" t="s">
        <v>891</v>
      </c>
      <c r="O130" s="99"/>
      <c r="P130" s="99">
        <v>680</v>
      </c>
      <c r="Q130" s="99">
        <f t="shared" si="17"/>
        <v>680</v>
      </c>
      <c r="R130" s="99" t="s">
        <v>91</v>
      </c>
      <c r="S130" s="99" t="s">
        <v>90</v>
      </c>
      <c r="T130" s="99" t="s">
        <v>91</v>
      </c>
      <c r="U130" s="99" t="s">
        <v>881</v>
      </c>
      <c r="V130" s="99" t="s">
        <v>882</v>
      </c>
      <c r="W130" s="99"/>
      <c r="X130" s="99"/>
      <c r="Y130" s="99"/>
      <c r="Z130" s="99"/>
      <c r="AA130" s="99">
        <v>17</v>
      </c>
      <c r="AB130" s="99"/>
      <c r="AC130" s="197">
        <f t="shared" si="15"/>
        <v>17</v>
      </c>
      <c r="AD130" s="99">
        <v>17</v>
      </c>
      <c r="AE130" s="99"/>
      <c r="AF130" s="99"/>
      <c r="AG130" s="99">
        <f t="shared" si="16"/>
        <v>17</v>
      </c>
      <c r="AH130" s="99"/>
      <c r="AI130" s="99">
        <v>17</v>
      </c>
      <c r="AJ130" s="99"/>
      <c r="AK130" s="99"/>
      <c r="AL130" s="99"/>
      <c r="AM130" s="99">
        <f t="shared" si="14"/>
        <v>17</v>
      </c>
      <c r="AN130" s="99" t="s">
        <v>883</v>
      </c>
      <c r="AO130" s="99">
        <v>2</v>
      </c>
      <c r="AP130" s="99"/>
    </row>
    <row r="131" spans="1:42" ht="39" customHeight="1" x14ac:dyDescent="0.25">
      <c r="A131" s="99">
        <v>1769</v>
      </c>
      <c r="B131" s="197" t="s">
        <v>1268</v>
      </c>
      <c r="C131" s="239">
        <v>102745000</v>
      </c>
      <c r="D131" s="99" t="s">
        <v>1270</v>
      </c>
      <c r="E131" s="99"/>
      <c r="F131" s="197" t="s">
        <v>1270</v>
      </c>
      <c r="G131" s="99" t="s">
        <v>1270</v>
      </c>
      <c r="H131" s="99" t="str">
        <f>VLOOKUP(C131,'[1]Bến Cát'!$E$4:$F$177,2,0)</f>
        <v>11.161073539145935, 106.59262208900303</v>
      </c>
      <c r="I131" s="239">
        <v>1.11610735391459E+16</v>
      </c>
      <c r="J131" s="239">
        <v>1.06592622089003E+16</v>
      </c>
      <c r="K131" s="197" t="s">
        <v>1269</v>
      </c>
      <c r="L131" s="197" t="s">
        <v>878</v>
      </c>
      <c r="M131" s="197" t="s">
        <v>1271</v>
      </c>
      <c r="N131" s="99" t="s">
        <v>911</v>
      </c>
      <c r="O131" s="99"/>
      <c r="P131" s="99">
        <v>690</v>
      </c>
      <c r="Q131" s="99">
        <f t="shared" si="17"/>
        <v>690</v>
      </c>
      <c r="R131" s="99" t="s">
        <v>90</v>
      </c>
      <c r="S131" s="99" t="s">
        <v>91</v>
      </c>
      <c r="T131" s="99" t="s">
        <v>91</v>
      </c>
      <c r="U131" s="99" t="s">
        <v>881</v>
      </c>
      <c r="V131" s="99" t="s">
        <v>897</v>
      </c>
      <c r="W131" s="99"/>
      <c r="X131" s="99"/>
      <c r="Y131" s="99"/>
      <c r="Z131" s="99"/>
      <c r="AA131" s="99">
        <v>22</v>
      </c>
      <c r="AB131" s="99"/>
      <c r="AC131" s="197">
        <f t="shared" si="15"/>
        <v>22</v>
      </c>
      <c r="AD131" s="99">
        <v>22</v>
      </c>
      <c r="AE131" s="99"/>
      <c r="AF131" s="99"/>
      <c r="AG131" s="99">
        <f t="shared" si="16"/>
        <v>22</v>
      </c>
      <c r="AH131" s="99"/>
      <c r="AI131" s="99">
        <v>22</v>
      </c>
      <c r="AJ131" s="99"/>
      <c r="AK131" s="99"/>
      <c r="AL131" s="99"/>
      <c r="AM131" s="99">
        <f t="shared" si="14"/>
        <v>22</v>
      </c>
      <c r="AN131" s="99" t="s">
        <v>883</v>
      </c>
      <c r="AO131" s="99">
        <v>3</v>
      </c>
      <c r="AP131" s="99"/>
    </row>
    <row r="132" spans="1:42" ht="39" customHeight="1" x14ac:dyDescent="0.25">
      <c r="A132" s="99">
        <v>1770</v>
      </c>
      <c r="B132" s="197" t="s">
        <v>1284</v>
      </c>
      <c r="C132" s="239">
        <v>102746000</v>
      </c>
      <c r="D132" s="99" t="s">
        <v>1286</v>
      </c>
      <c r="E132" s="99"/>
      <c r="F132" s="197" t="s">
        <v>1286</v>
      </c>
      <c r="G132" s="99" t="s">
        <v>1286</v>
      </c>
      <c r="H132" s="99" t="str">
        <f>VLOOKUP(C132,'[1]Bến Cát'!$E$4:$F$177,2,0)</f>
        <v>11.157021775409703, 106.59188557069031</v>
      </c>
      <c r="I132" s="239">
        <v>1.11570217754097E+16</v>
      </c>
      <c r="J132" s="239">
        <v>1.0659188557069E+16</v>
      </c>
      <c r="K132" s="197" t="s">
        <v>1285</v>
      </c>
      <c r="L132" s="197" t="s">
        <v>878</v>
      </c>
      <c r="M132" s="197" t="s">
        <v>1287</v>
      </c>
      <c r="N132" s="99" t="s">
        <v>911</v>
      </c>
      <c r="O132" s="99"/>
      <c r="P132" s="99">
        <v>340</v>
      </c>
      <c r="Q132" s="99">
        <f t="shared" si="17"/>
        <v>340</v>
      </c>
      <c r="R132" s="99" t="s">
        <v>91</v>
      </c>
      <c r="S132" s="99" t="s">
        <v>90</v>
      </c>
      <c r="T132" s="99" t="s">
        <v>91</v>
      </c>
      <c r="U132" s="99" t="s">
        <v>881</v>
      </c>
      <c r="V132" s="99" t="s">
        <v>897</v>
      </c>
      <c r="W132" s="99"/>
      <c r="X132" s="99"/>
      <c r="Y132" s="99"/>
      <c r="Z132" s="99"/>
      <c r="AA132" s="99">
        <v>10</v>
      </c>
      <c r="AB132" s="99"/>
      <c r="AC132" s="197">
        <f t="shared" si="15"/>
        <v>10</v>
      </c>
      <c r="AD132" s="99">
        <v>10</v>
      </c>
      <c r="AE132" s="99"/>
      <c r="AF132" s="99"/>
      <c r="AG132" s="99">
        <f t="shared" si="16"/>
        <v>10</v>
      </c>
      <c r="AH132" s="99"/>
      <c r="AI132" s="99">
        <v>10</v>
      </c>
      <c r="AJ132" s="99"/>
      <c r="AK132" s="99"/>
      <c r="AL132" s="99"/>
      <c r="AM132" s="99">
        <f t="shared" si="14"/>
        <v>10</v>
      </c>
      <c r="AN132" s="99" t="s">
        <v>883</v>
      </c>
      <c r="AO132" s="99">
        <v>2</v>
      </c>
      <c r="AP132" s="99"/>
    </row>
    <row r="133" spans="1:42" ht="39" customHeight="1" x14ac:dyDescent="0.25">
      <c r="A133" s="99">
        <v>1771</v>
      </c>
      <c r="B133" s="197" t="s">
        <v>1030</v>
      </c>
      <c r="C133" s="239">
        <v>102156000</v>
      </c>
      <c r="D133" s="99" t="s">
        <v>1032</v>
      </c>
      <c r="E133" s="99"/>
      <c r="F133" s="197" t="s">
        <v>1032</v>
      </c>
      <c r="G133" s="99" t="s">
        <v>1032</v>
      </c>
      <c r="H133" s="99" t="str">
        <f>VLOOKUP(C133,'[1]Bến Cát'!$E$4:$F$177,2,0)</f>
        <v>11.151814853120626, 106.59871220457713</v>
      </c>
      <c r="I133" s="239">
        <v>1.11518148531206E+16</v>
      </c>
      <c r="J133" s="239">
        <v>1.06598712204577E+16</v>
      </c>
      <c r="K133" s="197" t="s">
        <v>1031</v>
      </c>
      <c r="L133" s="197" t="s">
        <v>878</v>
      </c>
      <c r="M133" s="197" t="s">
        <v>1033</v>
      </c>
      <c r="N133" s="99" t="s">
        <v>880</v>
      </c>
      <c r="O133" s="99"/>
      <c r="P133" s="99">
        <v>120</v>
      </c>
      <c r="Q133" s="99">
        <f t="shared" si="17"/>
        <v>120</v>
      </c>
      <c r="R133" s="99" t="s">
        <v>90</v>
      </c>
      <c r="S133" s="99" t="s">
        <v>91</v>
      </c>
      <c r="T133" s="99" t="s">
        <v>91</v>
      </c>
      <c r="U133" s="99" t="s">
        <v>881</v>
      </c>
      <c r="V133" s="99" t="s">
        <v>897</v>
      </c>
      <c r="W133" s="99"/>
      <c r="X133" s="99"/>
      <c r="Y133" s="99"/>
      <c r="Z133" s="99"/>
      <c r="AA133" s="99">
        <v>4</v>
      </c>
      <c r="AB133" s="99"/>
      <c r="AC133" s="197">
        <f t="shared" si="15"/>
        <v>4</v>
      </c>
      <c r="AD133" s="99">
        <v>4</v>
      </c>
      <c r="AE133" s="99"/>
      <c r="AF133" s="99"/>
      <c r="AG133" s="99">
        <f t="shared" si="16"/>
        <v>4</v>
      </c>
      <c r="AH133" s="99"/>
      <c r="AI133" s="99">
        <v>4</v>
      </c>
      <c r="AJ133" s="99"/>
      <c r="AK133" s="99"/>
      <c r="AL133" s="99"/>
      <c r="AM133" s="99">
        <f t="shared" si="14"/>
        <v>4</v>
      </c>
      <c r="AN133" s="99" t="s">
        <v>883</v>
      </c>
      <c r="AO133" s="99">
        <v>3</v>
      </c>
      <c r="AP133" s="99"/>
    </row>
    <row r="134" spans="1:42" ht="39" customHeight="1" x14ac:dyDescent="0.25">
      <c r="A134" s="99">
        <v>1774</v>
      </c>
      <c r="B134" s="197" t="s">
        <v>1075</v>
      </c>
      <c r="C134" s="239">
        <v>102738000</v>
      </c>
      <c r="D134" s="99">
        <v>221100309526</v>
      </c>
      <c r="E134" s="99"/>
      <c r="F134" s="197" t="e">
        <f>VLOOKUP(D134,'rà soát ĐK'!B127:C577,2,0)</f>
        <v>#N/A</v>
      </c>
      <c r="G134" s="99"/>
      <c r="H134" s="99" t="str">
        <f>VLOOKUP(C134,'[1]Bến Cát'!$E$4:$F$177,2,0)</f>
        <v>11.1581122, 106.5833316</v>
      </c>
      <c r="I134" s="239">
        <v>111581122</v>
      </c>
      <c r="J134" s="239">
        <v>1065833316</v>
      </c>
      <c r="K134" s="197" t="s">
        <v>1076</v>
      </c>
      <c r="L134" s="197" t="s">
        <v>878</v>
      </c>
      <c r="M134" s="197" t="s">
        <v>1078</v>
      </c>
      <c r="N134" s="99" t="s">
        <v>891</v>
      </c>
      <c r="O134" s="99"/>
      <c r="P134" s="99">
        <v>350</v>
      </c>
      <c r="Q134" s="99">
        <f t="shared" si="17"/>
        <v>350</v>
      </c>
      <c r="R134" s="99" t="s">
        <v>91</v>
      </c>
      <c r="S134" s="99" t="s">
        <v>90</v>
      </c>
      <c r="T134" s="99" t="s">
        <v>91</v>
      </c>
      <c r="U134" s="99" t="s">
        <v>881</v>
      </c>
      <c r="V134" s="99" t="s">
        <v>897</v>
      </c>
      <c r="W134" s="99"/>
      <c r="X134" s="99"/>
      <c r="Y134" s="99"/>
      <c r="Z134" s="99"/>
      <c r="AA134" s="99">
        <v>11</v>
      </c>
      <c r="AB134" s="99"/>
      <c r="AC134" s="197">
        <f t="shared" si="15"/>
        <v>11</v>
      </c>
      <c r="AD134" s="99">
        <v>11</v>
      </c>
      <c r="AE134" s="99"/>
      <c r="AF134" s="99"/>
      <c r="AG134" s="99">
        <f t="shared" si="16"/>
        <v>11</v>
      </c>
      <c r="AH134" s="99"/>
      <c r="AI134" s="99">
        <v>11</v>
      </c>
      <c r="AJ134" s="99"/>
      <c r="AK134" s="99"/>
      <c r="AL134" s="99"/>
      <c r="AM134" s="99">
        <f t="shared" si="14"/>
        <v>11</v>
      </c>
      <c r="AN134" s="99" t="s">
        <v>883</v>
      </c>
      <c r="AO134" s="99">
        <v>2</v>
      </c>
      <c r="AP134" s="99"/>
    </row>
    <row r="135" spans="1:42" ht="39" customHeight="1" x14ac:dyDescent="0.25">
      <c r="A135" s="99">
        <v>1775</v>
      </c>
      <c r="B135" s="197" t="s">
        <v>1050</v>
      </c>
      <c r="C135" s="239">
        <v>102159000</v>
      </c>
      <c r="D135" s="99">
        <v>251200073462</v>
      </c>
      <c r="E135" s="99"/>
      <c r="F135" s="197" t="str">
        <f>VLOOKUP(D135,'rà soát ĐK'!B128:C578,2,0)</f>
        <v>PE19000001246</v>
      </c>
      <c r="G135" s="99" t="s">
        <v>1965</v>
      </c>
      <c r="H135" s="99" t="str">
        <f>VLOOKUP(C135,'[1]Bến Cát'!$E$4:$F$177,2,0)</f>
        <v>11.15688093246751, 106.59302476089084</v>
      </c>
      <c r="I135" s="239">
        <v>1115688093246750</v>
      </c>
      <c r="J135" s="239">
        <v>1.0659302476089E+16</v>
      </c>
      <c r="K135" s="197" t="s">
        <v>1051</v>
      </c>
      <c r="L135" s="197" t="s">
        <v>878</v>
      </c>
      <c r="M135" s="197" t="s">
        <v>1053</v>
      </c>
      <c r="N135" s="99" t="s">
        <v>880</v>
      </c>
      <c r="O135" s="99"/>
      <c r="P135" s="99">
        <v>160</v>
      </c>
      <c r="Q135" s="99">
        <f t="shared" si="17"/>
        <v>160</v>
      </c>
      <c r="R135" s="99" t="s">
        <v>90</v>
      </c>
      <c r="S135" s="99" t="s">
        <v>91</v>
      </c>
      <c r="T135" s="99" t="s">
        <v>91</v>
      </c>
      <c r="U135" s="99" t="s">
        <v>881</v>
      </c>
      <c r="V135" s="99" t="s">
        <v>897</v>
      </c>
      <c r="W135" s="99"/>
      <c r="X135" s="99"/>
      <c r="Y135" s="99"/>
      <c r="Z135" s="99"/>
      <c r="AA135" s="99">
        <v>4</v>
      </c>
      <c r="AB135" s="99"/>
      <c r="AC135" s="197">
        <f t="shared" si="15"/>
        <v>4</v>
      </c>
      <c r="AD135" s="99">
        <v>4</v>
      </c>
      <c r="AE135" s="99"/>
      <c r="AF135" s="99"/>
      <c r="AG135" s="99">
        <f t="shared" si="16"/>
        <v>4</v>
      </c>
      <c r="AH135" s="99"/>
      <c r="AI135" s="99">
        <v>4</v>
      </c>
      <c r="AJ135" s="99"/>
      <c r="AK135" s="99"/>
      <c r="AL135" s="99"/>
      <c r="AM135" s="99">
        <f t="shared" si="14"/>
        <v>4</v>
      </c>
      <c r="AN135" s="99" t="s">
        <v>883</v>
      </c>
      <c r="AO135" s="99">
        <v>3</v>
      </c>
      <c r="AP135" s="99"/>
    </row>
    <row r="136" spans="1:42" ht="39" customHeight="1" x14ac:dyDescent="0.25">
      <c r="A136" s="99">
        <v>1777</v>
      </c>
      <c r="B136" s="197" t="s">
        <v>1105</v>
      </c>
      <c r="C136" s="239">
        <v>102741000</v>
      </c>
      <c r="D136" s="99">
        <v>221100309345</v>
      </c>
      <c r="E136" s="99"/>
      <c r="F136" s="197" t="e">
        <f>VLOOKUP(D136,'rà soát ĐK'!B129:C579,2,0)</f>
        <v>#N/A</v>
      </c>
      <c r="G136" s="99"/>
      <c r="H136" s="99" t="str">
        <f>VLOOKUP(C136,'[1]Bến Cát'!$E$4:$F$177,2,0)</f>
        <v>11.1556588, 106.5827505</v>
      </c>
      <c r="I136" s="239">
        <v>111556588</v>
      </c>
      <c r="J136" s="239">
        <v>1065827505</v>
      </c>
      <c r="K136" s="197" t="s">
        <v>1106</v>
      </c>
      <c r="L136" s="197" t="s">
        <v>878</v>
      </c>
      <c r="M136" s="197" t="s">
        <v>1108</v>
      </c>
      <c r="N136" s="99" t="s">
        <v>891</v>
      </c>
      <c r="O136" s="99"/>
      <c r="P136" s="99">
        <v>365</v>
      </c>
      <c r="Q136" s="99">
        <f t="shared" si="17"/>
        <v>365</v>
      </c>
      <c r="R136" s="99" t="s">
        <v>91</v>
      </c>
      <c r="S136" s="99" t="s">
        <v>90</v>
      </c>
      <c r="T136" s="99" t="s">
        <v>91</v>
      </c>
      <c r="U136" s="99" t="s">
        <v>881</v>
      </c>
      <c r="V136" s="99" t="s">
        <v>882</v>
      </c>
      <c r="W136" s="99"/>
      <c r="X136" s="99"/>
      <c r="Y136" s="99"/>
      <c r="Z136" s="99"/>
      <c r="AA136" s="99">
        <v>12</v>
      </c>
      <c r="AB136" s="99"/>
      <c r="AC136" s="197">
        <f t="shared" si="15"/>
        <v>12</v>
      </c>
      <c r="AD136" s="99">
        <v>12</v>
      </c>
      <c r="AE136" s="99"/>
      <c r="AF136" s="99"/>
      <c r="AG136" s="99">
        <f t="shared" si="16"/>
        <v>12</v>
      </c>
      <c r="AH136" s="99"/>
      <c r="AI136" s="99">
        <v>12</v>
      </c>
      <c r="AJ136" s="99"/>
      <c r="AK136" s="99"/>
      <c r="AL136" s="99"/>
      <c r="AM136" s="99">
        <f t="shared" si="14"/>
        <v>12</v>
      </c>
      <c r="AN136" s="99" t="s">
        <v>883</v>
      </c>
      <c r="AO136" s="99">
        <v>2</v>
      </c>
      <c r="AP136" s="99"/>
    </row>
    <row r="137" spans="1:42" ht="39" customHeight="1" x14ac:dyDescent="0.25">
      <c r="A137" s="99">
        <v>1778</v>
      </c>
      <c r="B137" s="197" t="s">
        <v>1117</v>
      </c>
      <c r="C137" s="239">
        <v>102742000</v>
      </c>
      <c r="D137" s="99" t="s">
        <v>1119</v>
      </c>
      <c r="E137" s="99"/>
      <c r="F137" s="197" t="s">
        <v>1119</v>
      </c>
      <c r="G137" s="99" t="s">
        <v>1119</v>
      </c>
      <c r="H137" s="99" t="str">
        <f>VLOOKUP(C137,'[1]Bến Cát'!$E$4:$F$177,2,0)</f>
        <v>11.1565713, 106.582123</v>
      </c>
      <c r="I137" s="239">
        <v>111565713</v>
      </c>
      <c r="J137" s="239">
        <v>106582123</v>
      </c>
      <c r="K137" s="197" t="s">
        <v>1118</v>
      </c>
      <c r="L137" s="197" t="s">
        <v>878</v>
      </c>
      <c r="M137" s="197" t="s">
        <v>1120</v>
      </c>
      <c r="N137" s="99" t="s">
        <v>911</v>
      </c>
      <c r="O137" s="99"/>
      <c r="P137" s="99">
        <v>180</v>
      </c>
      <c r="Q137" s="99">
        <f t="shared" si="17"/>
        <v>180</v>
      </c>
      <c r="R137" s="99" t="s">
        <v>91</v>
      </c>
      <c r="S137" s="99" t="s">
        <v>90</v>
      </c>
      <c r="T137" s="99" t="s">
        <v>91</v>
      </c>
      <c r="U137" s="99" t="s">
        <v>881</v>
      </c>
      <c r="V137" s="99" t="s">
        <v>882</v>
      </c>
      <c r="W137" s="99"/>
      <c r="X137" s="99"/>
      <c r="Y137" s="99"/>
      <c r="Z137" s="99"/>
      <c r="AA137" s="99">
        <v>7</v>
      </c>
      <c r="AB137" s="99"/>
      <c r="AC137" s="197">
        <f t="shared" ref="AC137:AC168" si="18">SUM(W137:AB137)</f>
        <v>7</v>
      </c>
      <c r="AD137" s="99">
        <v>7</v>
      </c>
      <c r="AE137" s="99"/>
      <c r="AF137" s="99"/>
      <c r="AG137" s="99">
        <f t="shared" ref="AG137:AG168" si="19">SUM(AD137:AF137)</f>
        <v>7</v>
      </c>
      <c r="AH137" s="99"/>
      <c r="AI137" s="99">
        <v>7</v>
      </c>
      <c r="AJ137" s="99"/>
      <c r="AK137" s="99"/>
      <c r="AL137" s="99"/>
      <c r="AM137" s="99">
        <f t="shared" ref="AM137:AM200" si="20">SUM(AH137:AL137)</f>
        <v>7</v>
      </c>
      <c r="AN137" s="99" t="s">
        <v>883</v>
      </c>
      <c r="AO137" s="99">
        <v>2</v>
      </c>
      <c r="AP137" s="99"/>
    </row>
    <row r="138" spans="1:42" ht="39" customHeight="1" x14ac:dyDescent="0.25">
      <c r="A138" s="99">
        <v>1779</v>
      </c>
      <c r="B138" s="197" t="s">
        <v>1126</v>
      </c>
      <c r="C138" s="239">
        <v>102743000</v>
      </c>
      <c r="D138" s="99" t="s">
        <v>1128</v>
      </c>
      <c r="E138" s="99"/>
      <c r="F138" s="197" t="s">
        <v>1128</v>
      </c>
      <c r="G138" s="99" t="s">
        <v>1128</v>
      </c>
      <c r="H138" s="99" t="str">
        <f>VLOOKUP(C138,'[1]Bến Cát'!$E$4:$F$177,2,0)</f>
        <v>11.1534517, 106.5879582</v>
      </c>
      <c r="I138" s="239">
        <v>111534517</v>
      </c>
      <c r="J138" s="239">
        <v>1065879582</v>
      </c>
      <c r="K138" s="197" t="s">
        <v>1127</v>
      </c>
      <c r="L138" s="197" t="s">
        <v>878</v>
      </c>
      <c r="M138" s="197" t="s">
        <v>1129</v>
      </c>
      <c r="N138" s="99" t="s">
        <v>880</v>
      </c>
      <c r="O138" s="99"/>
      <c r="P138" s="99">
        <v>150</v>
      </c>
      <c r="Q138" s="99">
        <f t="shared" si="17"/>
        <v>150</v>
      </c>
      <c r="R138" s="99" t="s">
        <v>90</v>
      </c>
      <c r="S138" s="99" t="s">
        <v>91</v>
      </c>
      <c r="T138" s="99" t="s">
        <v>91</v>
      </c>
      <c r="U138" s="99" t="s">
        <v>881</v>
      </c>
      <c r="V138" s="99" t="s">
        <v>897</v>
      </c>
      <c r="W138" s="99"/>
      <c r="X138" s="99"/>
      <c r="Y138" s="99"/>
      <c r="Z138" s="99"/>
      <c r="AA138" s="99">
        <v>6</v>
      </c>
      <c r="AB138" s="99"/>
      <c r="AC138" s="197">
        <f t="shared" si="18"/>
        <v>6</v>
      </c>
      <c r="AD138" s="99">
        <v>6</v>
      </c>
      <c r="AE138" s="99"/>
      <c r="AF138" s="99"/>
      <c r="AG138" s="99">
        <f t="shared" si="19"/>
        <v>6</v>
      </c>
      <c r="AH138" s="99"/>
      <c r="AI138" s="99">
        <v>6</v>
      </c>
      <c r="AJ138" s="99"/>
      <c r="AK138" s="99"/>
      <c r="AL138" s="99"/>
      <c r="AM138" s="99">
        <f t="shared" si="20"/>
        <v>6</v>
      </c>
      <c r="AN138" s="99" t="s">
        <v>883</v>
      </c>
      <c r="AO138" s="99">
        <v>3</v>
      </c>
      <c r="AP138" s="99"/>
    </row>
    <row r="139" spans="1:42" ht="39" customHeight="1" x14ac:dyDescent="0.25">
      <c r="A139" s="99">
        <v>1784</v>
      </c>
      <c r="B139" s="197" t="s">
        <v>1505</v>
      </c>
      <c r="C139" s="239">
        <v>102751000</v>
      </c>
      <c r="D139" s="99">
        <v>241200275421</v>
      </c>
      <c r="E139" s="99"/>
      <c r="F139" s="197" t="e">
        <f>VLOOKUP(D139,'rà soát ĐK'!B132:C582,2,0)</f>
        <v>#N/A</v>
      </c>
      <c r="G139" s="99"/>
      <c r="H139" s="99" t="str">
        <f>VLOOKUP(C139,'[1]Bến Cát'!$E$4:$F$177,2,0)</f>
        <v>11.151840684754257, 106.58878315892898</v>
      </c>
      <c r="I139" s="239">
        <v>1.11518406847542E+16</v>
      </c>
      <c r="J139" s="239">
        <v>1.06588783158928E+16</v>
      </c>
      <c r="K139" s="197" t="s">
        <v>1506</v>
      </c>
      <c r="L139" s="197" t="s">
        <v>878</v>
      </c>
      <c r="M139" s="197" t="s">
        <v>1508</v>
      </c>
      <c r="N139" s="99" t="s">
        <v>1369</v>
      </c>
      <c r="O139" s="99"/>
      <c r="P139" s="99">
        <v>1120</v>
      </c>
      <c r="Q139" s="99">
        <f t="shared" si="17"/>
        <v>1120</v>
      </c>
      <c r="R139" s="99" t="s">
        <v>90</v>
      </c>
      <c r="S139" s="99" t="s">
        <v>91</v>
      </c>
      <c r="T139" s="99" t="s">
        <v>91</v>
      </c>
      <c r="U139" s="99" t="s">
        <v>881</v>
      </c>
      <c r="V139" s="99" t="s">
        <v>882</v>
      </c>
      <c r="W139" s="99"/>
      <c r="X139" s="99"/>
      <c r="Y139" s="99"/>
      <c r="Z139" s="99"/>
      <c r="AA139" s="99">
        <v>15</v>
      </c>
      <c r="AB139" s="99"/>
      <c r="AC139" s="197">
        <f t="shared" si="18"/>
        <v>15</v>
      </c>
      <c r="AD139" s="99">
        <v>15</v>
      </c>
      <c r="AE139" s="99"/>
      <c r="AF139" s="99"/>
      <c r="AG139" s="99">
        <f t="shared" si="19"/>
        <v>15</v>
      </c>
      <c r="AH139" s="99"/>
      <c r="AI139" s="99">
        <v>15</v>
      </c>
      <c r="AJ139" s="99"/>
      <c r="AK139" s="99"/>
      <c r="AL139" s="99"/>
      <c r="AM139" s="99">
        <f t="shared" si="20"/>
        <v>15</v>
      </c>
      <c r="AN139" s="99" t="s">
        <v>883</v>
      </c>
      <c r="AO139" s="99">
        <v>2</v>
      </c>
      <c r="AP139" s="99"/>
    </row>
    <row r="140" spans="1:42" ht="39" customHeight="1" x14ac:dyDescent="0.25">
      <c r="A140" s="99">
        <v>1787</v>
      </c>
      <c r="B140" s="197" t="s">
        <v>1155</v>
      </c>
      <c r="C140" s="239">
        <v>100937000</v>
      </c>
      <c r="D140" s="99" t="s">
        <v>1157</v>
      </c>
      <c r="E140" s="99"/>
      <c r="F140" s="197" t="s">
        <v>1157</v>
      </c>
      <c r="G140" s="99" t="s">
        <v>1157</v>
      </c>
      <c r="H140" s="99" t="str">
        <f>VLOOKUP(C140,'[1]Bến Cát'!$E$4:$F$177,2,0)</f>
        <v>11.1481114, 106.5920367</v>
      </c>
      <c r="I140" s="239">
        <v>111481114</v>
      </c>
      <c r="J140" s="239">
        <v>1065920367</v>
      </c>
      <c r="K140" s="197" t="s">
        <v>1156</v>
      </c>
      <c r="L140" s="197" t="s">
        <v>878</v>
      </c>
      <c r="M140" s="197" t="s">
        <v>1158</v>
      </c>
      <c r="N140" s="99" t="s">
        <v>891</v>
      </c>
      <c r="O140" s="99"/>
      <c r="P140" s="99">
        <v>195</v>
      </c>
      <c r="Q140" s="99">
        <f t="shared" si="17"/>
        <v>195</v>
      </c>
      <c r="R140" s="99" t="s">
        <v>90</v>
      </c>
      <c r="S140" s="99" t="s">
        <v>91</v>
      </c>
      <c r="T140" s="99" t="s">
        <v>91</v>
      </c>
      <c r="U140" s="99" t="s">
        <v>881</v>
      </c>
      <c r="V140" s="99" t="s">
        <v>897</v>
      </c>
      <c r="W140" s="99"/>
      <c r="X140" s="99"/>
      <c r="Y140" s="99"/>
      <c r="Z140" s="99"/>
      <c r="AA140" s="99">
        <v>7</v>
      </c>
      <c r="AB140" s="99"/>
      <c r="AC140" s="197">
        <f t="shared" si="18"/>
        <v>7</v>
      </c>
      <c r="AD140" s="99">
        <v>7</v>
      </c>
      <c r="AE140" s="99"/>
      <c r="AF140" s="99"/>
      <c r="AG140" s="99">
        <f t="shared" si="19"/>
        <v>7</v>
      </c>
      <c r="AH140" s="99"/>
      <c r="AI140" s="99">
        <v>7</v>
      </c>
      <c r="AJ140" s="99"/>
      <c r="AK140" s="99"/>
      <c r="AL140" s="99"/>
      <c r="AM140" s="99">
        <f t="shared" si="20"/>
        <v>7</v>
      </c>
      <c r="AN140" s="99" t="s">
        <v>883</v>
      </c>
      <c r="AO140" s="99">
        <v>3</v>
      </c>
      <c r="AP140" s="99"/>
    </row>
    <row r="141" spans="1:42" ht="39" customHeight="1" x14ac:dyDescent="0.25">
      <c r="A141" s="99">
        <v>1788</v>
      </c>
      <c r="B141" s="197" t="s">
        <v>1235</v>
      </c>
      <c r="C141" s="239">
        <v>100942000</v>
      </c>
      <c r="D141" s="99">
        <v>251200039769</v>
      </c>
      <c r="E141" s="99"/>
      <c r="F141" s="197" t="e">
        <f>VLOOKUP(D141,'rà soát ĐK'!B134:C584,2,0)</f>
        <v>#N/A</v>
      </c>
      <c r="G141" s="99"/>
      <c r="H141" s="99" t="str">
        <f>VLOOKUP(C141,'[1]Bến Cát'!$E$4:$F$177,2,0)</f>
        <v>11.1548829, 106.5910877</v>
      </c>
      <c r="I141" s="239">
        <v>111548829</v>
      </c>
      <c r="J141" s="239">
        <v>1065910877</v>
      </c>
      <c r="K141" s="197" t="s">
        <v>1236</v>
      </c>
      <c r="L141" s="197" t="s">
        <v>878</v>
      </c>
      <c r="M141" s="197" t="s">
        <v>1238</v>
      </c>
      <c r="N141" s="99" t="s">
        <v>880</v>
      </c>
      <c r="O141" s="99"/>
      <c r="P141" s="99">
        <v>180</v>
      </c>
      <c r="Q141" s="99">
        <f t="shared" si="17"/>
        <v>180</v>
      </c>
      <c r="R141" s="99" t="s">
        <v>90</v>
      </c>
      <c r="S141" s="99" t="s">
        <v>91</v>
      </c>
      <c r="T141" s="99" t="s">
        <v>91</v>
      </c>
      <c r="U141" s="99" t="s">
        <v>1197</v>
      </c>
      <c r="V141" s="99" t="s">
        <v>882</v>
      </c>
      <c r="W141" s="99"/>
      <c r="X141" s="99"/>
      <c r="Y141" s="99"/>
      <c r="Z141" s="99">
        <v>11</v>
      </c>
      <c r="AA141" s="99"/>
      <c r="AB141" s="99"/>
      <c r="AC141" s="197">
        <f t="shared" si="18"/>
        <v>11</v>
      </c>
      <c r="AD141" s="99">
        <v>11</v>
      </c>
      <c r="AE141" s="99"/>
      <c r="AF141" s="99"/>
      <c r="AG141" s="99">
        <f t="shared" si="19"/>
        <v>11</v>
      </c>
      <c r="AH141" s="99">
        <v>11</v>
      </c>
      <c r="AI141" s="99"/>
      <c r="AJ141" s="99"/>
      <c r="AK141" s="99"/>
      <c r="AL141" s="99"/>
      <c r="AM141" s="99">
        <f t="shared" si="20"/>
        <v>11</v>
      </c>
      <c r="AN141" s="99" t="s">
        <v>883</v>
      </c>
      <c r="AO141" s="99">
        <v>2</v>
      </c>
      <c r="AP141" s="99"/>
    </row>
    <row r="142" spans="1:42" ht="39" customHeight="1" x14ac:dyDescent="0.25">
      <c r="A142" s="99">
        <v>1789</v>
      </c>
      <c r="B142" s="197" t="s">
        <v>1226</v>
      </c>
      <c r="C142" s="239">
        <v>100941000</v>
      </c>
      <c r="D142" s="99" t="s">
        <v>1228</v>
      </c>
      <c r="E142" s="99"/>
      <c r="F142" s="197" t="s">
        <v>1228</v>
      </c>
      <c r="G142" s="99" t="s">
        <v>1228</v>
      </c>
      <c r="H142" s="99" t="str">
        <f>VLOOKUP(C142,'[1]Bến Cát'!$E$4:$F$177,2,0)</f>
        <v>11.1542689, 106.5910606</v>
      </c>
      <c r="I142" s="239">
        <v>111542689</v>
      </c>
      <c r="J142" s="239">
        <v>1065910606</v>
      </c>
      <c r="K142" s="197" t="s">
        <v>1227</v>
      </c>
      <c r="L142" s="197" t="s">
        <v>878</v>
      </c>
      <c r="M142" s="197" t="s">
        <v>1229</v>
      </c>
      <c r="N142" s="99" t="s">
        <v>880</v>
      </c>
      <c r="O142" s="99"/>
      <c r="P142" s="99">
        <v>40</v>
      </c>
      <c r="Q142" s="99">
        <f t="shared" si="17"/>
        <v>40</v>
      </c>
      <c r="R142" s="99" t="s">
        <v>91</v>
      </c>
      <c r="S142" s="99" t="s">
        <v>91</v>
      </c>
      <c r="T142" s="99" t="s">
        <v>91</v>
      </c>
      <c r="U142" s="99"/>
      <c r="V142" s="99"/>
      <c r="W142" s="99"/>
      <c r="X142" s="99"/>
      <c r="Y142" s="99"/>
      <c r="Z142" s="99"/>
      <c r="AA142" s="99">
        <v>3</v>
      </c>
      <c r="AB142" s="99"/>
      <c r="AC142" s="197">
        <f t="shared" si="18"/>
        <v>3</v>
      </c>
      <c r="AD142" s="99">
        <v>2</v>
      </c>
      <c r="AE142" s="99"/>
      <c r="AF142" s="99"/>
      <c r="AG142" s="99">
        <f t="shared" si="19"/>
        <v>2</v>
      </c>
      <c r="AH142" s="99"/>
      <c r="AI142" s="99">
        <v>1</v>
      </c>
      <c r="AJ142" s="99">
        <v>1</v>
      </c>
      <c r="AK142" s="99"/>
      <c r="AL142" s="99"/>
      <c r="AM142" s="99">
        <f t="shared" si="20"/>
        <v>2</v>
      </c>
      <c r="AN142" s="99" t="s">
        <v>883</v>
      </c>
      <c r="AO142" s="99">
        <v>2</v>
      </c>
      <c r="AP142" s="99" t="s">
        <v>1230</v>
      </c>
    </row>
    <row r="143" spans="1:42" ht="39" customHeight="1" x14ac:dyDescent="0.25">
      <c r="A143" s="99">
        <v>1790</v>
      </c>
      <c r="B143" s="197" t="s">
        <v>1205</v>
      </c>
      <c r="C143" s="239">
        <v>100940000</v>
      </c>
      <c r="D143" s="99">
        <v>18110174271</v>
      </c>
      <c r="E143" s="99"/>
      <c r="F143" s="197" t="e">
        <f>VLOOKUP(D143,'rà soát ĐK'!B136:C586,2,0)</f>
        <v>#N/A</v>
      </c>
      <c r="G143" s="99"/>
      <c r="H143" s="99" t="str">
        <f>VLOOKUP(C143,'[1]Bến Cát'!$E$4:$F$177,2,0)</f>
        <v>11.1505694, 106.5953095</v>
      </c>
      <c r="I143" s="239">
        <v>111505694</v>
      </c>
      <c r="J143" s="239">
        <v>1065953095</v>
      </c>
      <c r="K143" s="197" t="s">
        <v>1206</v>
      </c>
      <c r="L143" s="197" t="s">
        <v>878</v>
      </c>
      <c r="M143" s="197" t="s">
        <v>1208</v>
      </c>
      <c r="N143" s="99" t="s">
        <v>880</v>
      </c>
      <c r="O143" s="99"/>
      <c r="P143" s="99">
        <v>90</v>
      </c>
      <c r="Q143" s="99">
        <f t="shared" si="17"/>
        <v>90</v>
      </c>
      <c r="R143" s="99" t="s">
        <v>91</v>
      </c>
      <c r="S143" s="99" t="s">
        <v>90</v>
      </c>
      <c r="T143" s="99" t="s">
        <v>91</v>
      </c>
      <c r="U143" s="99" t="s">
        <v>1197</v>
      </c>
      <c r="V143" s="99" t="s">
        <v>882</v>
      </c>
      <c r="W143" s="99"/>
      <c r="X143" s="99"/>
      <c r="Y143" s="99"/>
      <c r="Z143" s="99">
        <v>3</v>
      </c>
      <c r="AA143" s="99"/>
      <c r="AB143" s="99"/>
      <c r="AC143" s="197">
        <f t="shared" si="18"/>
        <v>3</v>
      </c>
      <c r="AD143" s="99">
        <v>3</v>
      </c>
      <c r="AE143" s="99"/>
      <c r="AF143" s="99"/>
      <c r="AG143" s="99">
        <f t="shared" si="19"/>
        <v>3</v>
      </c>
      <c r="AH143" s="99">
        <v>3</v>
      </c>
      <c r="AI143" s="99"/>
      <c r="AJ143" s="99"/>
      <c r="AK143" s="99"/>
      <c r="AL143" s="99"/>
      <c r="AM143" s="99">
        <f t="shared" si="20"/>
        <v>3</v>
      </c>
      <c r="AN143" s="99" t="s">
        <v>883</v>
      </c>
      <c r="AO143" s="99">
        <v>2</v>
      </c>
      <c r="AP143" s="99"/>
    </row>
    <row r="144" spans="1:42" ht="39" customHeight="1" x14ac:dyDescent="0.25">
      <c r="A144" s="99">
        <v>1791</v>
      </c>
      <c r="B144" s="197" t="s">
        <v>1193</v>
      </c>
      <c r="C144" s="239">
        <v>100939000</v>
      </c>
      <c r="D144" s="99" t="s">
        <v>1195</v>
      </c>
      <c r="E144" s="99"/>
      <c r="F144" s="197" t="s">
        <v>1195</v>
      </c>
      <c r="G144" s="99" t="s">
        <v>1195</v>
      </c>
      <c r="H144" s="99" t="str">
        <f>VLOOKUP(C144,'[1]Bến Cát'!$E$4:$F$177,2,0)</f>
        <v>11.1507476, 106.59561</v>
      </c>
      <c r="I144" s="239">
        <v>111507476</v>
      </c>
      <c r="J144" s="239">
        <v>10659561</v>
      </c>
      <c r="K144" s="197" t="s">
        <v>1194</v>
      </c>
      <c r="L144" s="197" t="s">
        <v>878</v>
      </c>
      <c r="M144" s="197" t="s">
        <v>1196</v>
      </c>
      <c r="N144" s="99" t="s">
        <v>880</v>
      </c>
      <c r="O144" s="99"/>
      <c r="P144" s="99">
        <v>60</v>
      </c>
      <c r="Q144" s="99">
        <f t="shared" si="17"/>
        <v>60</v>
      </c>
      <c r="R144" s="99" t="s">
        <v>91</v>
      </c>
      <c r="S144" s="99" t="s">
        <v>90</v>
      </c>
      <c r="T144" s="99" t="s">
        <v>91</v>
      </c>
      <c r="U144" s="99" t="s">
        <v>1197</v>
      </c>
      <c r="V144" s="99" t="s">
        <v>882</v>
      </c>
      <c r="W144" s="99"/>
      <c r="X144" s="99"/>
      <c r="Y144" s="99"/>
      <c r="Z144" s="99">
        <v>3</v>
      </c>
      <c r="AA144" s="99"/>
      <c r="AB144" s="99"/>
      <c r="AC144" s="197">
        <f t="shared" si="18"/>
        <v>3</v>
      </c>
      <c r="AD144" s="99">
        <v>3</v>
      </c>
      <c r="AE144" s="99"/>
      <c r="AF144" s="99"/>
      <c r="AG144" s="99">
        <f t="shared" si="19"/>
        <v>3</v>
      </c>
      <c r="AH144" s="99"/>
      <c r="AI144" s="99">
        <v>3</v>
      </c>
      <c r="AJ144" s="99"/>
      <c r="AK144" s="99"/>
      <c r="AL144" s="99"/>
      <c r="AM144" s="99">
        <f t="shared" si="20"/>
        <v>3</v>
      </c>
      <c r="AN144" s="99" t="s">
        <v>883</v>
      </c>
      <c r="AO144" s="99">
        <v>2</v>
      </c>
      <c r="AP144" s="99"/>
    </row>
    <row r="145" spans="1:42" ht="39" customHeight="1" x14ac:dyDescent="0.25">
      <c r="A145" s="99">
        <v>1792</v>
      </c>
      <c r="B145" s="197" t="s">
        <v>1231</v>
      </c>
      <c r="C145" s="239">
        <v>102167000</v>
      </c>
      <c r="D145" s="99" t="s">
        <v>1233</v>
      </c>
      <c r="E145" s="99"/>
      <c r="F145" s="197" t="s">
        <v>1233</v>
      </c>
      <c r="G145" s="99" t="s">
        <v>1233</v>
      </c>
      <c r="H145" s="99" t="str">
        <f>VLOOKUP(C145,'[1]Bến Cát'!$E$4:$F$177,2,0)</f>
        <v>11.14300766819793, 106.60288396756374</v>
      </c>
      <c r="I145" s="239">
        <v>1114300766819790</v>
      </c>
      <c r="J145" s="239">
        <v>1.06602883967563E+16</v>
      </c>
      <c r="K145" s="197" t="s">
        <v>1232</v>
      </c>
      <c r="L145" s="197" t="s">
        <v>878</v>
      </c>
      <c r="M145" s="197" t="s">
        <v>1234</v>
      </c>
      <c r="N145" s="99" t="s">
        <v>880</v>
      </c>
      <c r="O145" s="99"/>
      <c r="P145" s="99">
        <v>320</v>
      </c>
      <c r="Q145" s="99">
        <f t="shared" si="17"/>
        <v>320</v>
      </c>
      <c r="R145" s="99" t="s">
        <v>91</v>
      </c>
      <c r="S145" s="99" t="s">
        <v>90</v>
      </c>
      <c r="T145" s="99" t="s">
        <v>91</v>
      </c>
      <c r="U145" s="99" t="s">
        <v>881</v>
      </c>
      <c r="V145" s="99" t="s">
        <v>882</v>
      </c>
      <c r="W145" s="99"/>
      <c r="X145" s="99"/>
      <c r="Y145" s="99"/>
      <c r="Z145" s="99"/>
      <c r="AA145" s="99">
        <v>8</v>
      </c>
      <c r="AB145" s="99"/>
      <c r="AC145" s="197">
        <f t="shared" si="18"/>
        <v>8</v>
      </c>
      <c r="AD145" s="99">
        <v>8</v>
      </c>
      <c r="AE145" s="99"/>
      <c r="AF145" s="99"/>
      <c r="AG145" s="99">
        <f t="shared" si="19"/>
        <v>8</v>
      </c>
      <c r="AH145" s="99"/>
      <c r="AI145" s="99">
        <v>8</v>
      </c>
      <c r="AJ145" s="99"/>
      <c r="AK145" s="99"/>
      <c r="AL145" s="99"/>
      <c r="AM145" s="99">
        <f t="shared" si="20"/>
        <v>8</v>
      </c>
      <c r="AN145" s="99" t="s">
        <v>883</v>
      </c>
      <c r="AO145" s="99">
        <v>3</v>
      </c>
      <c r="AP145" s="99"/>
    </row>
    <row r="146" spans="1:42" ht="39" customHeight="1" x14ac:dyDescent="0.25">
      <c r="A146" s="99">
        <v>1793</v>
      </c>
      <c r="B146" s="197" t="s">
        <v>1455</v>
      </c>
      <c r="C146" s="239">
        <v>102235000</v>
      </c>
      <c r="D146" s="99" t="s">
        <v>1457</v>
      </c>
      <c r="E146" s="99"/>
      <c r="F146" s="197" t="s">
        <v>1457</v>
      </c>
      <c r="G146" s="99" t="s">
        <v>1457</v>
      </c>
      <c r="H146" s="99" t="str">
        <f>VLOOKUP(C146,'[1]Bến Cát'!$E$4:$F$177,2,0)</f>
        <v>11.1578321, 106.5796208</v>
      </c>
      <c r="I146" s="239">
        <v>111578321</v>
      </c>
      <c r="J146" s="239">
        <v>1065796208</v>
      </c>
      <c r="K146" s="197" t="s">
        <v>1456</v>
      </c>
      <c r="L146" s="197" t="s">
        <v>878</v>
      </c>
      <c r="M146" s="197" t="s">
        <v>1458</v>
      </c>
      <c r="N146" s="99" t="s">
        <v>880</v>
      </c>
      <c r="O146" s="99"/>
      <c r="P146" s="99">
        <v>70</v>
      </c>
      <c r="Q146" s="99">
        <f t="shared" si="17"/>
        <v>70</v>
      </c>
      <c r="R146" s="99" t="s">
        <v>91</v>
      </c>
      <c r="S146" s="99" t="s">
        <v>90</v>
      </c>
      <c r="T146" s="99" t="s">
        <v>91</v>
      </c>
      <c r="U146" s="99" t="s">
        <v>1197</v>
      </c>
      <c r="V146" s="99" t="s">
        <v>882</v>
      </c>
      <c r="W146" s="99"/>
      <c r="X146" s="99"/>
      <c r="Y146" s="99"/>
      <c r="Z146" s="99"/>
      <c r="AA146" s="99">
        <v>3</v>
      </c>
      <c r="AB146" s="99"/>
      <c r="AC146" s="197">
        <f t="shared" si="18"/>
        <v>3</v>
      </c>
      <c r="AD146" s="99">
        <v>3</v>
      </c>
      <c r="AE146" s="99"/>
      <c r="AF146" s="99"/>
      <c r="AG146" s="99">
        <f t="shared" si="19"/>
        <v>3</v>
      </c>
      <c r="AH146" s="99"/>
      <c r="AI146" s="99">
        <v>3</v>
      </c>
      <c r="AJ146" s="99"/>
      <c r="AK146" s="99"/>
      <c r="AL146" s="99"/>
      <c r="AM146" s="99">
        <f t="shared" si="20"/>
        <v>3</v>
      </c>
      <c r="AN146" s="99" t="s">
        <v>883</v>
      </c>
      <c r="AO146" s="99">
        <v>3</v>
      </c>
      <c r="AP146" s="99"/>
    </row>
    <row r="147" spans="1:42" ht="39" customHeight="1" x14ac:dyDescent="0.25">
      <c r="A147" s="99">
        <v>1799</v>
      </c>
      <c r="B147" s="197" t="s">
        <v>1419</v>
      </c>
      <c r="C147" s="239">
        <v>102749000</v>
      </c>
      <c r="D147" s="99" t="s">
        <v>1421</v>
      </c>
      <c r="E147" s="99"/>
      <c r="F147" s="197" t="s">
        <v>1421</v>
      </c>
      <c r="G147" s="99" t="s">
        <v>1421</v>
      </c>
      <c r="H147" s="99" t="str">
        <f>VLOOKUP(C147,'[1]Bến Cát'!$E$4:$F$177,2,0)</f>
        <v>11.12903051671862, 106.61192887601882</v>
      </c>
      <c r="I147" s="239">
        <v>1112903051671860</v>
      </c>
      <c r="J147" s="239">
        <v>1.06611928876018E+16</v>
      </c>
      <c r="K147" s="197" t="s">
        <v>1420</v>
      </c>
      <c r="L147" s="197" t="s">
        <v>878</v>
      </c>
      <c r="M147" s="197" t="s">
        <v>1422</v>
      </c>
      <c r="N147" s="99" t="s">
        <v>891</v>
      </c>
      <c r="O147" s="99"/>
      <c r="P147" s="99">
        <v>270</v>
      </c>
      <c r="Q147" s="99">
        <f t="shared" si="17"/>
        <v>270</v>
      </c>
      <c r="R147" s="99" t="s">
        <v>91</v>
      </c>
      <c r="S147" s="99" t="s">
        <v>90</v>
      </c>
      <c r="T147" s="99" t="s">
        <v>91</v>
      </c>
      <c r="U147" s="99" t="s">
        <v>881</v>
      </c>
      <c r="V147" s="99" t="s">
        <v>897</v>
      </c>
      <c r="W147" s="99"/>
      <c r="X147" s="99"/>
      <c r="Y147" s="99"/>
      <c r="Z147" s="99"/>
      <c r="AA147" s="99">
        <v>7</v>
      </c>
      <c r="AB147" s="99"/>
      <c r="AC147" s="197">
        <f t="shared" si="18"/>
        <v>7</v>
      </c>
      <c r="AD147" s="99">
        <v>7</v>
      </c>
      <c r="AE147" s="99"/>
      <c r="AF147" s="99"/>
      <c r="AG147" s="99">
        <f t="shared" si="19"/>
        <v>7</v>
      </c>
      <c r="AH147" s="99"/>
      <c r="AI147" s="99">
        <v>7</v>
      </c>
      <c r="AJ147" s="99"/>
      <c r="AK147" s="99"/>
      <c r="AL147" s="99"/>
      <c r="AM147" s="99">
        <f t="shared" si="20"/>
        <v>7</v>
      </c>
      <c r="AN147" s="99" t="s">
        <v>883</v>
      </c>
      <c r="AO147" s="99">
        <v>3</v>
      </c>
      <c r="AP147" s="99"/>
    </row>
    <row r="148" spans="1:42" ht="39" customHeight="1" x14ac:dyDescent="0.25">
      <c r="A148" s="99">
        <v>1801</v>
      </c>
      <c r="B148" s="197" t="s">
        <v>1397</v>
      </c>
      <c r="C148" s="239">
        <v>102748000</v>
      </c>
      <c r="D148" s="99">
        <v>241200047594</v>
      </c>
      <c r="E148" s="99"/>
      <c r="F148" s="197" t="e">
        <f>VLOOKUP(D148,'rà soát ĐK'!B141:C591,2,0)</f>
        <v>#N/A</v>
      </c>
      <c r="G148" s="99"/>
      <c r="H148" s="99" t="str">
        <f>VLOOKUP(C148,'[1]Bến Cát'!$E$4:$F$177,2,0)</f>
        <v>11.12723577395152, 106.6100045968092</v>
      </c>
      <c r="I148" s="239">
        <v>1112723577395150</v>
      </c>
      <c r="J148" s="239">
        <v>1066100045968090</v>
      </c>
      <c r="K148" s="197" t="s">
        <v>1398</v>
      </c>
      <c r="L148" s="197" t="s">
        <v>878</v>
      </c>
      <c r="M148" s="197" t="s">
        <v>1400</v>
      </c>
      <c r="N148" s="99" t="s">
        <v>880</v>
      </c>
      <c r="O148" s="99"/>
      <c r="P148" s="99">
        <v>120</v>
      </c>
      <c r="Q148" s="99">
        <f t="shared" si="17"/>
        <v>120</v>
      </c>
      <c r="R148" s="99" t="s">
        <v>91</v>
      </c>
      <c r="S148" s="99" t="s">
        <v>90</v>
      </c>
      <c r="T148" s="99" t="s">
        <v>91</v>
      </c>
      <c r="U148" s="99" t="s">
        <v>881</v>
      </c>
      <c r="V148" s="99" t="s">
        <v>897</v>
      </c>
      <c r="W148" s="99"/>
      <c r="X148" s="99"/>
      <c r="Y148" s="99"/>
      <c r="Z148" s="99"/>
      <c r="AA148" s="99">
        <v>4</v>
      </c>
      <c r="AB148" s="99"/>
      <c r="AC148" s="197">
        <f t="shared" si="18"/>
        <v>4</v>
      </c>
      <c r="AD148" s="99">
        <v>4</v>
      </c>
      <c r="AE148" s="99"/>
      <c r="AF148" s="99"/>
      <c r="AG148" s="99">
        <f t="shared" si="19"/>
        <v>4</v>
      </c>
      <c r="AH148" s="99"/>
      <c r="AI148" s="99">
        <v>4</v>
      </c>
      <c r="AJ148" s="99"/>
      <c r="AK148" s="99"/>
      <c r="AL148" s="99"/>
      <c r="AM148" s="99">
        <f t="shared" si="20"/>
        <v>4</v>
      </c>
      <c r="AN148" s="99" t="s">
        <v>883</v>
      </c>
      <c r="AO148" s="99">
        <v>3</v>
      </c>
      <c r="AP148" s="99"/>
    </row>
    <row r="149" spans="1:42" ht="39" customHeight="1" x14ac:dyDescent="0.25">
      <c r="A149" s="99">
        <v>1802</v>
      </c>
      <c r="B149" s="197" t="s">
        <v>1092</v>
      </c>
      <c r="C149" s="239">
        <v>102739000</v>
      </c>
      <c r="D149" s="99">
        <v>1611082666</v>
      </c>
      <c r="E149" s="99"/>
      <c r="F149" s="197" t="e">
        <f>VLOOKUP(D149,'rà soát ĐK'!B142:C592,2,0)</f>
        <v>#N/A</v>
      </c>
      <c r="G149" s="99"/>
      <c r="H149" s="99" t="str">
        <f>VLOOKUP(C149,'[1]Bến Cát'!$E$4:$F$177,2,0)</f>
        <v>11.1576477, 106.5807023</v>
      </c>
      <c r="I149" s="239">
        <v>111576477</v>
      </c>
      <c r="J149" s="239">
        <v>1065807023</v>
      </c>
      <c r="K149" s="197" t="s">
        <v>1093</v>
      </c>
      <c r="L149" s="197" t="s">
        <v>878</v>
      </c>
      <c r="M149" s="197" t="s">
        <v>1095</v>
      </c>
      <c r="N149" s="99" t="s">
        <v>880</v>
      </c>
      <c r="O149" s="99"/>
      <c r="P149" s="99">
        <v>140</v>
      </c>
      <c r="Q149" s="99">
        <f t="shared" si="17"/>
        <v>140</v>
      </c>
      <c r="R149" s="99" t="s">
        <v>91</v>
      </c>
      <c r="S149" s="99" t="s">
        <v>90</v>
      </c>
      <c r="T149" s="99" t="s">
        <v>91</v>
      </c>
      <c r="U149" s="99" t="s">
        <v>881</v>
      </c>
      <c r="V149" s="99" t="s">
        <v>897</v>
      </c>
      <c r="W149" s="99"/>
      <c r="X149" s="99"/>
      <c r="Y149" s="99"/>
      <c r="Z149" s="99"/>
      <c r="AA149" s="99">
        <v>4</v>
      </c>
      <c r="AB149" s="99"/>
      <c r="AC149" s="197">
        <f t="shared" si="18"/>
        <v>4</v>
      </c>
      <c r="AD149" s="99">
        <v>4</v>
      </c>
      <c r="AE149" s="99"/>
      <c r="AF149" s="99"/>
      <c r="AG149" s="99">
        <f t="shared" si="19"/>
        <v>4</v>
      </c>
      <c r="AH149" s="99"/>
      <c r="AI149" s="99">
        <v>4</v>
      </c>
      <c r="AJ149" s="99"/>
      <c r="AK149" s="99"/>
      <c r="AL149" s="99"/>
      <c r="AM149" s="99">
        <f t="shared" si="20"/>
        <v>4</v>
      </c>
      <c r="AN149" s="99" t="s">
        <v>883</v>
      </c>
      <c r="AO149" s="99">
        <v>2</v>
      </c>
      <c r="AP149" s="99"/>
    </row>
    <row r="150" spans="1:42" ht="39" customHeight="1" x14ac:dyDescent="0.25">
      <c r="A150" s="99">
        <v>1803</v>
      </c>
      <c r="B150" s="197" t="s">
        <v>1293</v>
      </c>
      <c r="C150" s="239">
        <v>102697000</v>
      </c>
      <c r="D150" s="99">
        <v>21030007</v>
      </c>
      <c r="E150" s="99"/>
      <c r="F150" s="197" t="str">
        <f>VLOOKUP(D150,'rà soát ĐK'!B143:C593,2,0)</f>
        <v>PB04090022908</v>
      </c>
      <c r="G150" s="99" t="s">
        <v>2295</v>
      </c>
      <c r="H150" s="99" t="str">
        <f>VLOOKUP(C150,'[1]Bến Cát'!$E$4:$F$177,2,0)</f>
        <v>11.2218145, 106.6310947</v>
      </c>
      <c r="I150" s="239">
        <v>112218145</v>
      </c>
      <c r="J150" s="239">
        <v>1066310947</v>
      </c>
      <c r="K150" s="197" t="s">
        <v>1296</v>
      </c>
      <c r="L150" s="197" t="s">
        <v>878</v>
      </c>
      <c r="M150" s="197" t="s">
        <v>1297</v>
      </c>
      <c r="N150" s="99" t="s">
        <v>891</v>
      </c>
      <c r="O150" s="99"/>
      <c r="P150" s="99">
        <v>460</v>
      </c>
      <c r="Q150" s="99">
        <f t="shared" si="17"/>
        <v>460</v>
      </c>
      <c r="R150" s="99" t="s">
        <v>91</v>
      </c>
      <c r="S150" s="99" t="s">
        <v>90</v>
      </c>
      <c r="T150" s="99" t="s">
        <v>91</v>
      </c>
      <c r="U150" s="99" t="s">
        <v>881</v>
      </c>
      <c r="V150" s="99" t="s">
        <v>897</v>
      </c>
      <c r="W150" s="99"/>
      <c r="X150" s="99"/>
      <c r="Y150" s="99">
        <v>13</v>
      </c>
      <c r="Z150" s="99"/>
      <c r="AA150" s="99"/>
      <c r="AB150" s="99"/>
      <c r="AC150" s="197">
        <f t="shared" si="18"/>
        <v>13</v>
      </c>
      <c r="AD150" s="99">
        <v>13</v>
      </c>
      <c r="AE150" s="99"/>
      <c r="AF150" s="99"/>
      <c r="AG150" s="99">
        <f t="shared" si="19"/>
        <v>13</v>
      </c>
      <c r="AH150" s="99"/>
      <c r="AI150" s="99">
        <v>13</v>
      </c>
      <c r="AJ150" s="99"/>
      <c r="AK150" s="99"/>
      <c r="AL150" s="99"/>
      <c r="AM150" s="99">
        <f t="shared" si="20"/>
        <v>13</v>
      </c>
      <c r="AN150" s="99" t="s">
        <v>883</v>
      </c>
      <c r="AO150" s="99">
        <v>3</v>
      </c>
      <c r="AP150" s="99"/>
    </row>
    <row r="151" spans="1:42" ht="39" customHeight="1" x14ac:dyDescent="0.25">
      <c r="A151" s="99">
        <v>1803</v>
      </c>
      <c r="B151" s="197" t="s">
        <v>1298</v>
      </c>
      <c r="C151" s="239">
        <v>102698000</v>
      </c>
      <c r="D151" s="99">
        <v>21080431</v>
      </c>
      <c r="E151" s="99"/>
      <c r="F151" s="197" t="str">
        <f>VLOOKUP(D151,'rà soát ĐK'!B144:C594,2,0)</f>
        <v>PB04090022906</v>
      </c>
      <c r="G151" s="99" t="s">
        <v>2243</v>
      </c>
      <c r="H151" s="99" t="str">
        <f>VLOOKUP(C151,'[1]Bến Cát'!$E$4:$F$177,2,0)</f>
        <v>11.2233314, 106.6257709</v>
      </c>
      <c r="I151" s="239">
        <v>112233314</v>
      </c>
      <c r="J151" s="239">
        <v>1066257709</v>
      </c>
      <c r="K151" s="197" t="s">
        <v>1296</v>
      </c>
      <c r="L151" s="197" t="s">
        <v>878</v>
      </c>
      <c r="M151" s="197" t="s">
        <v>1301</v>
      </c>
      <c r="N151" s="99" t="s">
        <v>891</v>
      </c>
      <c r="O151" s="99"/>
      <c r="P151" s="99">
        <v>630</v>
      </c>
      <c r="Q151" s="99">
        <f t="shared" si="17"/>
        <v>630</v>
      </c>
      <c r="R151" s="99" t="s">
        <v>91</v>
      </c>
      <c r="S151" s="99" t="s">
        <v>90</v>
      </c>
      <c r="T151" s="99" t="s">
        <v>91</v>
      </c>
      <c r="U151" s="99" t="s">
        <v>881</v>
      </c>
      <c r="V151" s="99" t="s">
        <v>897</v>
      </c>
      <c r="W151" s="99"/>
      <c r="X151" s="99"/>
      <c r="Y151" s="99">
        <v>13</v>
      </c>
      <c r="Z151" s="99"/>
      <c r="AA151" s="99"/>
      <c r="AB151" s="99"/>
      <c r="AC151" s="197">
        <f t="shared" si="18"/>
        <v>13</v>
      </c>
      <c r="AD151" s="99">
        <v>13</v>
      </c>
      <c r="AE151" s="99"/>
      <c r="AF151" s="99"/>
      <c r="AG151" s="99">
        <f t="shared" si="19"/>
        <v>13</v>
      </c>
      <c r="AH151" s="99"/>
      <c r="AI151" s="99">
        <v>13</v>
      </c>
      <c r="AJ151" s="99"/>
      <c r="AK151" s="99"/>
      <c r="AL151" s="99"/>
      <c r="AM151" s="99">
        <f t="shared" si="20"/>
        <v>13</v>
      </c>
      <c r="AN151" s="99" t="s">
        <v>883</v>
      </c>
      <c r="AO151" s="99">
        <v>3</v>
      </c>
      <c r="AP151" s="99"/>
    </row>
    <row r="152" spans="1:42" ht="39" customHeight="1" x14ac:dyDescent="0.25">
      <c r="A152" s="99">
        <v>1803</v>
      </c>
      <c r="B152" s="197" t="s">
        <v>1306</v>
      </c>
      <c r="C152" s="239">
        <v>102699000</v>
      </c>
      <c r="D152" s="99">
        <v>21035094</v>
      </c>
      <c r="E152" s="99"/>
      <c r="F152" s="197" t="str">
        <f>VLOOKUP(D152,'rà soát ĐK'!B145:C595,2,0)</f>
        <v>PB04090022907</v>
      </c>
      <c r="G152" s="99" t="s">
        <v>2251</v>
      </c>
      <c r="H152" s="99" t="str">
        <f>VLOOKUP(C152,'[1]Bến Cát'!$E$4:$F$177,2,0)</f>
        <v>11.2257629, 106.6214624</v>
      </c>
      <c r="I152" s="239">
        <v>112257629</v>
      </c>
      <c r="J152" s="239">
        <v>1066214624</v>
      </c>
      <c r="K152" s="197" t="s">
        <v>1296</v>
      </c>
      <c r="L152" s="197" t="s">
        <v>878</v>
      </c>
      <c r="M152" s="197" t="s">
        <v>1309</v>
      </c>
      <c r="N152" s="99" t="s">
        <v>891</v>
      </c>
      <c r="O152" s="99"/>
      <c r="P152" s="99">
        <v>580</v>
      </c>
      <c r="Q152" s="99">
        <f t="shared" si="17"/>
        <v>580</v>
      </c>
      <c r="R152" s="99" t="s">
        <v>91</v>
      </c>
      <c r="S152" s="99" t="s">
        <v>90</v>
      </c>
      <c r="T152" s="99" t="s">
        <v>91</v>
      </c>
      <c r="U152" s="99" t="s">
        <v>881</v>
      </c>
      <c r="V152" s="99" t="s">
        <v>882</v>
      </c>
      <c r="W152" s="99"/>
      <c r="X152" s="99"/>
      <c r="Y152" s="99">
        <v>13</v>
      </c>
      <c r="Z152" s="99"/>
      <c r="AA152" s="99"/>
      <c r="AB152" s="99"/>
      <c r="AC152" s="197">
        <f t="shared" si="18"/>
        <v>13</v>
      </c>
      <c r="AD152" s="99">
        <v>13</v>
      </c>
      <c r="AE152" s="99"/>
      <c r="AF152" s="99"/>
      <c r="AG152" s="99">
        <f t="shared" si="19"/>
        <v>13</v>
      </c>
      <c r="AH152" s="99"/>
      <c r="AI152" s="99">
        <v>13</v>
      </c>
      <c r="AJ152" s="99"/>
      <c r="AK152" s="99"/>
      <c r="AL152" s="99"/>
      <c r="AM152" s="99">
        <f t="shared" si="20"/>
        <v>13</v>
      </c>
      <c r="AN152" s="99" t="s">
        <v>883</v>
      </c>
      <c r="AO152" s="99">
        <v>3</v>
      </c>
      <c r="AP152" s="99"/>
    </row>
    <row r="153" spans="1:42" ht="39" customHeight="1" x14ac:dyDescent="0.25">
      <c r="A153" s="99">
        <v>1803</v>
      </c>
      <c r="B153" s="197" t="s">
        <v>1318</v>
      </c>
      <c r="C153" s="239">
        <v>102700000</v>
      </c>
      <c r="D153" s="99">
        <v>22416854</v>
      </c>
      <c r="E153" s="99"/>
      <c r="F153" s="197" t="str">
        <f>VLOOKUP(D153,'rà soát ĐK'!B146:C596,2,0)</f>
        <v>PB04090027214</v>
      </c>
      <c r="G153" s="99" t="s">
        <v>2248</v>
      </c>
      <c r="H153" s="99" t="str">
        <f>VLOOKUP(C153,'[1]Bến Cát'!$E$4:$F$177,2,0)</f>
        <v>11.2272833, 106.6147936</v>
      </c>
      <c r="I153" s="239">
        <v>112272833</v>
      </c>
      <c r="J153" s="239">
        <v>1066147936</v>
      </c>
      <c r="K153" s="197" t="s">
        <v>1296</v>
      </c>
      <c r="L153" s="197" t="s">
        <v>878</v>
      </c>
      <c r="M153" s="197" t="s">
        <v>1321</v>
      </c>
      <c r="N153" s="99" t="s">
        <v>891</v>
      </c>
      <c r="O153" s="99"/>
      <c r="P153" s="99">
        <v>1300</v>
      </c>
      <c r="Q153" s="99">
        <f t="shared" si="17"/>
        <v>1300</v>
      </c>
      <c r="R153" s="99" t="s">
        <v>91</v>
      </c>
      <c r="S153" s="99" t="s">
        <v>90</v>
      </c>
      <c r="T153" s="99" t="s">
        <v>91</v>
      </c>
      <c r="U153" s="99" t="s">
        <v>881</v>
      </c>
      <c r="V153" s="99" t="s">
        <v>897</v>
      </c>
      <c r="W153" s="99"/>
      <c r="X153" s="99"/>
      <c r="Y153" s="99"/>
      <c r="Z153" s="99"/>
      <c r="AA153" s="99">
        <v>35</v>
      </c>
      <c r="AB153" s="99"/>
      <c r="AC153" s="197">
        <f t="shared" si="18"/>
        <v>35</v>
      </c>
      <c r="AD153" s="99">
        <v>35</v>
      </c>
      <c r="AE153" s="99"/>
      <c r="AF153" s="99"/>
      <c r="AG153" s="99">
        <f t="shared" si="19"/>
        <v>35</v>
      </c>
      <c r="AH153" s="99"/>
      <c r="AI153" s="99">
        <v>35</v>
      </c>
      <c r="AJ153" s="99"/>
      <c r="AK153" s="99"/>
      <c r="AL153" s="99"/>
      <c r="AM153" s="99">
        <f t="shared" si="20"/>
        <v>35</v>
      </c>
      <c r="AN153" s="99" t="s">
        <v>883</v>
      </c>
      <c r="AO153" s="99">
        <v>3</v>
      </c>
      <c r="AP153" s="99"/>
    </row>
    <row r="154" spans="1:42" ht="39" customHeight="1" x14ac:dyDescent="0.25">
      <c r="A154" s="99">
        <v>1804</v>
      </c>
      <c r="B154" s="197" t="s">
        <v>886</v>
      </c>
      <c r="C154" s="239">
        <v>102729000</v>
      </c>
      <c r="D154" s="99">
        <v>25901727</v>
      </c>
      <c r="E154" s="99"/>
      <c r="F154" s="197" t="e">
        <f>VLOOKUP(D154,'rà soát ĐK'!B147:C597,2,0)</f>
        <v>#N/A</v>
      </c>
      <c r="G154" s="99"/>
      <c r="H154" s="99" t="str">
        <f>VLOOKUP(C154,'[1]Bến Cát'!$E$4:$F$177,2,0)</f>
        <v>11.1474328, 106.6271701</v>
      </c>
      <c r="I154" s="239">
        <v>111474328</v>
      </c>
      <c r="J154" s="239">
        <v>1066271701</v>
      </c>
      <c r="K154" s="197" t="s">
        <v>889</v>
      </c>
      <c r="L154" s="197" t="s">
        <v>878</v>
      </c>
      <c r="M154" s="197" t="s">
        <v>890</v>
      </c>
      <c r="N154" s="99" t="s">
        <v>891</v>
      </c>
      <c r="O154" s="99"/>
      <c r="P154" s="99">
        <v>1958</v>
      </c>
      <c r="Q154" s="99">
        <f t="shared" si="17"/>
        <v>1958</v>
      </c>
      <c r="R154" s="99" t="s">
        <v>90</v>
      </c>
      <c r="S154" s="99" t="s">
        <v>91</v>
      </c>
      <c r="T154" s="99" t="s">
        <v>91</v>
      </c>
      <c r="U154" s="99" t="s">
        <v>881</v>
      </c>
      <c r="V154" s="99" t="s">
        <v>882</v>
      </c>
      <c r="W154" s="99"/>
      <c r="X154" s="99"/>
      <c r="Y154" s="99">
        <v>26</v>
      </c>
      <c r="Z154" s="99"/>
      <c r="AA154" s="99">
        <v>3</v>
      </c>
      <c r="AB154" s="99"/>
      <c r="AC154" s="197">
        <f t="shared" si="18"/>
        <v>29</v>
      </c>
      <c r="AD154" s="99">
        <v>29</v>
      </c>
      <c r="AE154" s="99"/>
      <c r="AF154" s="99"/>
      <c r="AG154" s="99">
        <f t="shared" si="19"/>
        <v>29</v>
      </c>
      <c r="AH154" s="99"/>
      <c r="AI154" s="99">
        <v>29</v>
      </c>
      <c r="AJ154" s="99"/>
      <c r="AK154" s="99"/>
      <c r="AL154" s="99"/>
      <c r="AM154" s="99">
        <f t="shared" si="20"/>
        <v>29</v>
      </c>
      <c r="AN154" s="99" t="s">
        <v>883</v>
      </c>
      <c r="AO154" s="99">
        <v>3</v>
      </c>
      <c r="AP154" s="99"/>
    </row>
    <row r="155" spans="1:42" ht="39" customHeight="1" x14ac:dyDescent="0.25">
      <c r="A155" s="99">
        <v>1804</v>
      </c>
      <c r="B155" s="197" t="s">
        <v>939</v>
      </c>
      <c r="C155" s="239">
        <v>102732000</v>
      </c>
      <c r="D155" s="99" t="s">
        <v>941</v>
      </c>
      <c r="E155" s="99"/>
      <c r="F155" s="197" t="s">
        <v>941</v>
      </c>
      <c r="G155" s="99" t="s">
        <v>941</v>
      </c>
      <c r="H155" s="99" t="str">
        <f>VLOOKUP(C155,'[1]Bến Cát'!$E$4:$F$177,2,0)</f>
        <v>11.1527556, 106.6020705</v>
      </c>
      <c r="I155" s="239">
        <v>111527556</v>
      </c>
      <c r="J155" s="239">
        <v>1066020705</v>
      </c>
      <c r="K155" s="197" t="s">
        <v>889</v>
      </c>
      <c r="L155" s="197" t="s">
        <v>878</v>
      </c>
      <c r="M155" s="197" t="s">
        <v>942</v>
      </c>
      <c r="N155" s="99" t="s">
        <v>891</v>
      </c>
      <c r="O155" s="99">
        <v>1360</v>
      </c>
      <c r="P155" s="99"/>
      <c r="Q155" s="99">
        <f t="shared" si="17"/>
        <v>1360</v>
      </c>
      <c r="R155" s="99" t="s">
        <v>90</v>
      </c>
      <c r="S155" s="99" t="s">
        <v>91</v>
      </c>
      <c r="T155" s="99" t="s">
        <v>91</v>
      </c>
      <c r="U155" s="99" t="s">
        <v>881</v>
      </c>
      <c r="V155" s="99" t="s">
        <v>882</v>
      </c>
      <c r="W155" s="99"/>
      <c r="X155" s="99"/>
      <c r="Y155" s="99"/>
      <c r="Z155" s="99"/>
      <c r="AA155" s="99">
        <v>64</v>
      </c>
      <c r="AB155" s="99"/>
      <c r="AC155" s="197">
        <f t="shared" si="18"/>
        <v>64</v>
      </c>
      <c r="AD155" s="99"/>
      <c r="AE155" s="99">
        <v>34</v>
      </c>
      <c r="AF155" s="99"/>
      <c r="AG155" s="99">
        <f t="shared" si="19"/>
        <v>34</v>
      </c>
      <c r="AH155" s="99"/>
      <c r="AI155" s="99">
        <v>21</v>
      </c>
      <c r="AJ155" s="99">
        <v>13</v>
      </c>
      <c r="AK155" s="99"/>
      <c r="AL155" s="99"/>
      <c r="AM155" s="99">
        <f t="shared" si="20"/>
        <v>34</v>
      </c>
      <c r="AN155" s="99" t="s">
        <v>943</v>
      </c>
      <c r="AO155" s="99">
        <v>3</v>
      </c>
      <c r="AP155" s="99"/>
    </row>
    <row r="156" spans="1:42" ht="39" customHeight="1" x14ac:dyDescent="0.25">
      <c r="A156" s="99">
        <v>1806</v>
      </c>
      <c r="B156" s="197" t="s">
        <v>1260</v>
      </c>
      <c r="C156" s="239">
        <v>100943000</v>
      </c>
      <c r="D156" s="99">
        <v>25907015</v>
      </c>
      <c r="E156" s="99"/>
      <c r="F156" s="197" t="e">
        <f>VLOOKUP(D156,'rà soát ĐK'!B149:C599,2,0)</f>
        <v>#N/A</v>
      </c>
      <c r="G156" s="99"/>
      <c r="H156" s="99" t="str">
        <f>VLOOKUP(C156,'[1]Bến Cát'!$E$4:$F$177,2,0)</f>
        <v>11.1626091, 106.6020806</v>
      </c>
      <c r="I156" s="239">
        <v>111626091</v>
      </c>
      <c r="J156" s="239">
        <v>1066020806</v>
      </c>
      <c r="K156" s="197" t="s">
        <v>1261</v>
      </c>
      <c r="L156" s="197" t="s">
        <v>878</v>
      </c>
      <c r="M156" s="197" t="s">
        <v>1263</v>
      </c>
      <c r="N156" s="99" t="s">
        <v>969</v>
      </c>
      <c r="O156" s="99"/>
      <c r="P156" s="99">
        <v>1880</v>
      </c>
      <c r="Q156" s="99">
        <f t="shared" si="17"/>
        <v>1880</v>
      </c>
      <c r="R156" s="99" t="s">
        <v>90</v>
      </c>
      <c r="S156" s="99" t="s">
        <v>91</v>
      </c>
      <c r="T156" s="99" t="s">
        <v>91</v>
      </c>
      <c r="U156" s="99" t="s">
        <v>881</v>
      </c>
      <c r="V156" s="99" t="s">
        <v>897</v>
      </c>
      <c r="W156" s="99"/>
      <c r="X156" s="99"/>
      <c r="Y156" s="99">
        <v>29</v>
      </c>
      <c r="Z156" s="99"/>
      <c r="AA156" s="99">
        <v>6</v>
      </c>
      <c r="AB156" s="99"/>
      <c r="AC156" s="197">
        <f t="shared" si="18"/>
        <v>35</v>
      </c>
      <c r="AD156" s="99">
        <v>35</v>
      </c>
      <c r="AE156" s="99"/>
      <c r="AF156" s="99"/>
      <c r="AG156" s="99">
        <f t="shared" si="19"/>
        <v>35</v>
      </c>
      <c r="AH156" s="99"/>
      <c r="AI156" s="99">
        <v>35</v>
      </c>
      <c r="AJ156" s="99"/>
      <c r="AK156" s="99"/>
      <c r="AL156" s="99"/>
      <c r="AM156" s="99">
        <f t="shared" si="20"/>
        <v>35</v>
      </c>
      <c r="AN156" s="99" t="s">
        <v>883</v>
      </c>
      <c r="AO156" s="99">
        <v>3</v>
      </c>
      <c r="AP156" s="99"/>
    </row>
    <row r="157" spans="1:42" ht="39" customHeight="1" x14ac:dyDescent="0.25">
      <c r="A157" s="99">
        <v>1806</v>
      </c>
      <c r="B157" s="197" t="s">
        <v>1280</v>
      </c>
      <c r="C157" s="239">
        <v>102231000</v>
      </c>
      <c r="D157" s="99">
        <v>2321001440</v>
      </c>
      <c r="E157" s="99"/>
      <c r="F157" s="197" t="str">
        <f>VLOOKUP(D157,'rà soát ĐK'!B150:C600,2,0)</f>
        <v>PB04090012784</v>
      </c>
      <c r="G157" s="99" t="s">
        <v>2333</v>
      </c>
      <c r="H157" s="99" t="str">
        <f>VLOOKUP(C157,'[1]Bến Cát'!$E$4:$F$177,2,0)</f>
        <v>11.1693823, 106.6151814</v>
      </c>
      <c r="I157" s="239">
        <v>111693823</v>
      </c>
      <c r="J157" s="239">
        <v>1066151814</v>
      </c>
      <c r="K157" s="197" t="s">
        <v>1281</v>
      </c>
      <c r="L157" s="197" t="s">
        <v>878</v>
      </c>
      <c r="M157" s="197" t="s">
        <v>1283</v>
      </c>
      <c r="N157" s="99" t="s">
        <v>969</v>
      </c>
      <c r="O157" s="99"/>
      <c r="P157" s="99">
        <v>1995</v>
      </c>
      <c r="Q157" s="99">
        <f t="shared" si="17"/>
        <v>1995</v>
      </c>
      <c r="R157" s="99" t="s">
        <v>91</v>
      </c>
      <c r="S157" s="99" t="s">
        <v>90</v>
      </c>
      <c r="T157" s="99" t="s">
        <v>91</v>
      </c>
      <c r="U157" s="99" t="s">
        <v>881</v>
      </c>
      <c r="V157" s="99" t="s">
        <v>897</v>
      </c>
      <c r="W157" s="99"/>
      <c r="X157" s="99"/>
      <c r="Y157" s="99">
        <v>25</v>
      </c>
      <c r="Z157" s="99"/>
      <c r="AA157" s="99">
        <v>4</v>
      </c>
      <c r="AB157" s="99"/>
      <c r="AC157" s="197">
        <f t="shared" si="18"/>
        <v>29</v>
      </c>
      <c r="AD157" s="99">
        <v>29</v>
      </c>
      <c r="AE157" s="99"/>
      <c r="AF157" s="99"/>
      <c r="AG157" s="99">
        <f t="shared" si="19"/>
        <v>29</v>
      </c>
      <c r="AH157" s="99"/>
      <c r="AI157" s="99">
        <v>29</v>
      </c>
      <c r="AJ157" s="99"/>
      <c r="AK157" s="99"/>
      <c r="AL157" s="99"/>
      <c r="AM157" s="99">
        <f t="shared" si="20"/>
        <v>29</v>
      </c>
      <c r="AN157" s="99" t="s">
        <v>883</v>
      </c>
      <c r="AO157" s="99">
        <v>3</v>
      </c>
      <c r="AP157" s="99"/>
    </row>
    <row r="158" spans="1:42" ht="39" customHeight="1" x14ac:dyDescent="0.25">
      <c r="A158" s="99">
        <v>1807</v>
      </c>
      <c r="B158" s="197" t="s">
        <v>1224</v>
      </c>
      <c r="C158" s="239"/>
      <c r="D158" s="99"/>
      <c r="E158" s="99"/>
      <c r="F158" s="197"/>
      <c r="G158" s="99"/>
      <c r="H158" s="99"/>
      <c r="I158" s="197"/>
      <c r="J158" s="197"/>
      <c r="K158" s="197" t="s">
        <v>1222</v>
      </c>
      <c r="L158" s="197" t="s">
        <v>878</v>
      </c>
      <c r="M158" s="197" t="s">
        <v>896</v>
      </c>
      <c r="N158" s="99" t="s">
        <v>891</v>
      </c>
      <c r="O158" s="99"/>
      <c r="P158" s="99">
        <v>1960</v>
      </c>
      <c r="Q158" s="99">
        <f t="shared" si="17"/>
        <v>1960</v>
      </c>
      <c r="R158" s="99" t="s">
        <v>91</v>
      </c>
      <c r="S158" s="99" t="s">
        <v>90</v>
      </c>
      <c r="T158" s="99" t="s">
        <v>91</v>
      </c>
      <c r="U158" s="99" t="s">
        <v>881</v>
      </c>
      <c r="V158" s="99" t="s">
        <v>897</v>
      </c>
      <c r="W158" s="99"/>
      <c r="X158" s="99"/>
      <c r="Y158" s="99">
        <v>28</v>
      </c>
      <c r="Z158" s="99"/>
      <c r="AA158" s="99"/>
      <c r="AB158" s="99"/>
      <c r="AC158" s="197">
        <f t="shared" si="18"/>
        <v>28</v>
      </c>
      <c r="AD158" s="99">
        <v>28</v>
      </c>
      <c r="AE158" s="99"/>
      <c r="AF158" s="99"/>
      <c r="AG158" s="99">
        <f t="shared" si="19"/>
        <v>28</v>
      </c>
      <c r="AH158" s="99"/>
      <c r="AI158" s="99">
        <v>28</v>
      </c>
      <c r="AJ158" s="99"/>
      <c r="AK158" s="99"/>
      <c r="AL158" s="99"/>
      <c r="AM158" s="99">
        <f t="shared" si="20"/>
        <v>28</v>
      </c>
      <c r="AN158" s="99" t="s">
        <v>883</v>
      </c>
      <c r="AO158" s="99">
        <v>3</v>
      </c>
      <c r="AP158" s="99" t="s">
        <v>1631</v>
      </c>
    </row>
    <row r="159" spans="1:42" ht="39" customHeight="1" x14ac:dyDescent="0.25">
      <c r="A159" s="99">
        <v>1807</v>
      </c>
      <c r="B159" s="197" t="s">
        <v>1219</v>
      </c>
      <c r="C159" s="239">
        <v>100953000</v>
      </c>
      <c r="D159" s="99">
        <v>2321001446</v>
      </c>
      <c r="E159" s="99"/>
      <c r="F159" s="197" t="str">
        <f>VLOOKUP(D159,'rà soát ĐK'!B152:C602,2,0)</f>
        <v>PB04090012785</v>
      </c>
      <c r="G159" s="99" t="s">
        <v>2327</v>
      </c>
      <c r="H159" s="99" t="str">
        <f>VLOOKUP(C159,'[1]Bến Cát'!$E$4:$F$177,2,0)</f>
        <v>11.180048594793364, 106.6102754852669</v>
      </c>
      <c r="I159" s="239">
        <v>1.11800485947933E+16</v>
      </c>
      <c r="J159" s="239">
        <v>1066102754852660</v>
      </c>
      <c r="K159" s="197" t="s">
        <v>1222</v>
      </c>
      <c r="L159" s="197" t="s">
        <v>878</v>
      </c>
      <c r="M159" s="197" t="s">
        <v>1223</v>
      </c>
      <c r="N159" s="99" t="s">
        <v>891</v>
      </c>
      <c r="O159" s="99"/>
      <c r="P159" s="99">
        <v>1750</v>
      </c>
      <c r="Q159" s="99">
        <f t="shared" si="17"/>
        <v>1750</v>
      </c>
      <c r="R159" s="99" t="s">
        <v>91</v>
      </c>
      <c r="S159" s="99" t="s">
        <v>90</v>
      </c>
      <c r="T159" s="99" t="s">
        <v>91</v>
      </c>
      <c r="U159" s="99" t="s">
        <v>881</v>
      </c>
      <c r="V159" s="99" t="s">
        <v>882</v>
      </c>
      <c r="W159" s="99"/>
      <c r="X159" s="99"/>
      <c r="Y159" s="99">
        <v>27</v>
      </c>
      <c r="Z159" s="99"/>
      <c r="AA159" s="99"/>
      <c r="AB159" s="99"/>
      <c r="AC159" s="197">
        <f t="shared" si="18"/>
        <v>27</v>
      </c>
      <c r="AD159" s="99">
        <v>27</v>
      </c>
      <c r="AE159" s="99"/>
      <c r="AF159" s="99"/>
      <c r="AG159" s="99">
        <f t="shared" si="19"/>
        <v>27</v>
      </c>
      <c r="AH159" s="99"/>
      <c r="AI159" s="99">
        <v>27</v>
      </c>
      <c r="AJ159" s="99"/>
      <c r="AK159" s="99"/>
      <c r="AL159" s="99"/>
      <c r="AM159" s="99">
        <f t="shared" si="20"/>
        <v>27</v>
      </c>
      <c r="AN159" s="99" t="s">
        <v>883</v>
      </c>
      <c r="AO159" s="99">
        <v>3</v>
      </c>
      <c r="AP159" s="99"/>
    </row>
    <row r="160" spans="1:42" ht="39" customHeight="1" x14ac:dyDescent="0.25">
      <c r="A160" s="99">
        <v>1808</v>
      </c>
      <c r="B160" s="197" t="s">
        <v>1468</v>
      </c>
      <c r="C160" s="239">
        <v>103297000</v>
      </c>
      <c r="D160" s="99">
        <v>21039351</v>
      </c>
      <c r="E160" s="99"/>
      <c r="F160" s="197" t="str">
        <f>VLOOKUP(D160,'rà soát ĐK'!B153:C603,2,0)</f>
        <v>PB04090023111</v>
      </c>
      <c r="G160" s="99" t="s">
        <v>2312</v>
      </c>
      <c r="H160" s="99" t="str">
        <f>VLOOKUP(C160,'[1]Bến Cát'!$E$4:$F$177,2,0)</f>
        <v>11.177939848472967, 106.60079716656419</v>
      </c>
      <c r="I160" s="239">
        <v>1.11779398484729E+16</v>
      </c>
      <c r="J160" s="239">
        <v>1.06600797166564E+16</v>
      </c>
      <c r="K160" s="197" t="s">
        <v>1471</v>
      </c>
      <c r="L160" s="197" t="s">
        <v>878</v>
      </c>
      <c r="M160" s="197" t="s">
        <v>1472</v>
      </c>
      <c r="N160" s="99" t="s">
        <v>880</v>
      </c>
      <c r="O160" s="99"/>
      <c r="P160" s="99">
        <v>300</v>
      </c>
      <c r="Q160" s="99">
        <f t="shared" si="17"/>
        <v>300</v>
      </c>
      <c r="R160" s="99" t="s">
        <v>91</v>
      </c>
      <c r="S160" s="99" t="s">
        <v>90</v>
      </c>
      <c r="T160" s="99" t="s">
        <v>91</v>
      </c>
      <c r="U160" s="99" t="s">
        <v>881</v>
      </c>
      <c r="V160" s="99" t="s">
        <v>897</v>
      </c>
      <c r="W160" s="99"/>
      <c r="X160" s="99"/>
      <c r="Y160" s="99">
        <v>6</v>
      </c>
      <c r="Z160" s="99"/>
      <c r="AA160" s="99"/>
      <c r="AB160" s="99"/>
      <c r="AC160" s="197">
        <f t="shared" si="18"/>
        <v>6</v>
      </c>
      <c r="AD160" s="99">
        <v>6</v>
      </c>
      <c r="AE160" s="99"/>
      <c r="AF160" s="99"/>
      <c r="AG160" s="99">
        <f t="shared" si="19"/>
        <v>6</v>
      </c>
      <c r="AH160" s="99"/>
      <c r="AI160" s="99">
        <v>6</v>
      </c>
      <c r="AJ160" s="99"/>
      <c r="AK160" s="99"/>
      <c r="AL160" s="99"/>
      <c r="AM160" s="99">
        <f t="shared" si="20"/>
        <v>6</v>
      </c>
      <c r="AN160" s="99" t="s">
        <v>883</v>
      </c>
      <c r="AO160" s="99">
        <v>3</v>
      </c>
      <c r="AP160" s="99"/>
    </row>
    <row r="161" spans="1:42" ht="39" customHeight="1" x14ac:dyDescent="0.25">
      <c r="A161" s="99">
        <v>1808</v>
      </c>
      <c r="B161" s="197" t="s">
        <v>1477</v>
      </c>
      <c r="C161" s="239">
        <v>103298000</v>
      </c>
      <c r="D161" s="99">
        <v>21032847</v>
      </c>
      <c r="E161" s="99"/>
      <c r="F161" s="197" t="str">
        <f>VLOOKUP(D161,'rà soát ĐK'!B154:C604,2,0)</f>
        <v>PB04090023112</v>
      </c>
      <c r="G161" s="99" t="s">
        <v>2224</v>
      </c>
      <c r="H161" s="99" t="str">
        <f>VLOOKUP(C161,'[1]Bến Cát'!$E$4:$F$177,2,0)</f>
        <v>11.179888391046648, 106.59197760480669</v>
      </c>
      <c r="I161" s="239">
        <v>1.11798883910466E+16</v>
      </c>
      <c r="J161" s="239">
        <v>1.06591977604806E+16</v>
      </c>
      <c r="K161" s="197" t="s">
        <v>1471</v>
      </c>
      <c r="L161" s="197" t="s">
        <v>878</v>
      </c>
      <c r="M161" s="197" t="s">
        <v>1480</v>
      </c>
      <c r="N161" s="99" t="s">
        <v>891</v>
      </c>
      <c r="O161" s="99"/>
      <c r="P161" s="99">
        <v>1020</v>
      </c>
      <c r="Q161" s="99">
        <f t="shared" si="17"/>
        <v>1020</v>
      </c>
      <c r="R161" s="99" t="s">
        <v>91</v>
      </c>
      <c r="S161" s="99" t="s">
        <v>90</v>
      </c>
      <c r="T161" s="99" t="s">
        <v>91</v>
      </c>
      <c r="U161" s="99" t="s">
        <v>881</v>
      </c>
      <c r="V161" s="99" t="s">
        <v>882</v>
      </c>
      <c r="W161" s="99"/>
      <c r="X161" s="99"/>
      <c r="Y161" s="99">
        <v>18</v>
      </c>
      <c r="Z161" s="99"/>
      <c r="AA161" s="99"/>
      <c r="AB161" s="99"/>
      <c r="AC161" s="197">
        <f t="shared" si="18"/>
        <v>18</v>
      </c>
      <c r="AD161" s="99">
        <v>17</v>
      </c>
      <c r="AE161" s="99"/>
      <c r="AF161" s="99"/>
      <c r="AG161" s="99">
        <f t="shared" si="19"/>
        <v>17</v>
      </c>
      <c r="AH161" s="99"/>
      <c r="AI161" s="99">
        <v>18</v>
      </c>
      <c r="AJ161" s="99"/>
      <c r="AK161" s="99"/>
      <c r="AL161" s="99"/>
      <c r="AM161" s="99">
        <f t="shared" si="20"/>
        <v>18</v>
      </c>
      <c r="AN161" s="99" t="s">
        <v>883</v>
      </c>
      <c r="AO161" s="99">
        <v>3</v>
      </c>
      <c r="AP161" s="99"/>
    </row>
    <row r="162" spans="1:42" ht="39" customHeight="1" x14ac:dyDescent="0.25">
      <c r="A162" s="99">
        <v>1808</v>
      </c>
      <c r="B162" s="197" t="s">
        <v>1501</v>
      </c>
      <c r="C162" s="239">
        <v>103300000</v>
      </c>
      <c r="D162" s="99">
        <v>21000309</v>
      </c>
      <c r="E162" s="99"/>
      <c r="F162" s="197" t="str">
        <f>VLOOKUP(D162,'rà soát ĐK'!B155:C605,2,0)</f>
        <v>PB04090023113</v>
      </c>
      <c r="G162" s="99" t="s">
        <v>2192</v>
      </c>
      <c r="H162" s="99" t="str">
        <f>VLOOKUP(C162,'[1]Bến Cát'!$E$4:$F$177,2,0)</f>
        <v>11.187841770862796, 106.5925070601686</v>
      </c>
      <c r="I162" s="239">
        <v>1.11878417708627E+16</v>
      </c>
      <c r="J162" s="239">
        <v>1065925070601680</v>
      </c>
      <c r="K162" s="197" t="s">
        <v>1471</v>
      </c>
      <c r="L162" s="197" t="s">
        <v>878</v>
      </c>
      <c r="M162" s="197" t="s">
        <v>1504</v>
      </c>
      <c r="N162" s="99" t="s">
        <v>891</v>
      </c>
      <c r="O162" s="99"/>
      <c r="P162" s="99">
        <v>480</v>
      </c>
      <c r="Q162" s="99">
        <f t="shared" si="17"/>
        <v>480</v>
      </c>
      <c r="R162" s="99" t="s">
        <v>91</v>
      </c>
      <c r="S162" s="99" t="s">
        <v>90</v>
      </c>
      <c r="T162" s="99" t="s">
        <v>91</v>
      </c>
      <c r="U162" s="99" t="s">
        <v>881</v>
      </c>
      <c r="V162" s="99" t="s">
        <v>897</v>
      </c>
      <c r="W162" s="99"/>
      <c r="X162" s="99"/>
      <c r="Y162" s="99">
        <v>8</v>
      </c>
      <c r="Z162" s="99"/>
      <c r="AA162" s="99"/>
      <c r="AB162" s="99"/>
      <c r="AC162" s="197">
        <f t="shared" si="18"/>
        <v>8</v>
      </c>
      <c r="AD162" s="99">
        <v>8</v>
      </c>
      <c r="AE162" s="99"/>
      <c r="AF162" s="99"/>
      <c r="AG162" s="99">
        <f t="shared" si="19"/>
        <v>8</v>
      </c>
      <c r="AH162" s="99"/>
      <c r="AI162" s="99">
        <v>8</v>
      </c>
      <c r="AJ162" s="99"/>
      <c r="AK162" s="99"/>
      <c r="AL162" s="99"/>
      <c r="AM162" s="99">
        <f t="shared" si="20"/>
        <v>8</v>
      </c>
      <c r="AN162" s="99" t="s">
        <v>883</v>
      </c>
      <c r="AO162" s="99">
        <v>3</v>
      </c>
      <c r="AP162" s="99"/>
    </row>
    <row r="163" spans="1:42" ht="39" customHeight="1" x14ac:dyDescent="0.25">
      <c r="A163" s="99">
        <v>1808</v>
      </c>
      <c r="B163" s="197" t="s">
        <v>1517</v>
      </c>
      <c r="C163" s="239">
        <v>103301000</v>
      </c>
      <c r="D163" s="99">
        <v>21083093</v>
      </c>
      <c r="E163" s="99"/>
      <c r="F163" s="197" t="str">
        <f>VLOOKUP(D163,'rà soát ĐK'!B156:C606,2,0)</f>
        <v>PB04090023110</v>
      </c>
      <c r="G163" s="99" t="s">
        <v>2199</v>
      </c>
      <c r="H163" s="99" t="str">
        <f>VLOOKUP(C163,'[1]Bến Cát'!$E$4:$F$177,2,0)</f>
        <v>11.193925884309074, 106.5931836980711</v>
      </c>
      <c r="I163" s="239">
        <v>1.1193925884309E+16</v>
      </c>
      <c r="J163" s="239">
        <v>1065931836980710</v>
      </c>
      <c r="K163" s="197" t="s">
        <v>1471</v>
      </c>
      <c r="L163" s="197" t="s">
        <v>878</v>
      </c>
      <c r="M163" s="197" t="s">
        <v>1520</v>
      </c>
      <c r="N163" s="99" t="s">
        <v>891</v>
      </c>
      <c r="O163" s="99"/>
      <c r="P163" s="99">
        <v>540</v>
      </c>
      <c r="Q163" s="99">
        <f t="shared" si="17"/>
        <v>540</v>
      </c>
      <c r="R163" s="99" t="s">
        <v>91</v>
      </c>
      <c r="S163" s="99" t="s">
        <v>90</v>
      </c>
      <c r="T163" s="99" t="s">
        <v>91</v>
      </c>
      <c r="U163" s="99" t="s">
        <v>881</v>
      </c>
      <c r="V163" s="99" t="s">
        <v>882</v>
      </c>
      <c r="W163" s="99"/>
      <c r="X163" s="99"/>
      <c r="Y163" s="99">
        <v>9</v>
      </c>
      <c r="Z163" s="99"/>
      <c r="AA163" s="99"/>
      <c r="AB163" s="99"/>
      <c r="AC163" s="197">
        <f t="shared" si="18"/>
        <v>9</v>
      </c>
      <c r="AD163" s="99">
        <v>9</v>
      </c>
      <c r="AE163" s="99"/>
      <c r="AF163" s="99"/>
      <c r="AG163" s="99">
        <f t="shared" si="19"/>
        <v>9</v>
      </c>
      <c r="AH163" s="99"/>
      <c r="AI163" s="99">
        <v>9</v>
      </c>
      <c r="AJ163" s="99"/>
      <c r="AK163" s="99"/>
      <c r="AL163" s="99"/>
      <c r="AM163" s="99">
        <f t="shared" si="20"/>
        <v>9</v>
      </c>
      <c r="AN163" s="99" t="s">
        <v>883</v>
      </c>
      <c r="AO163" s="99">
        <v>3</v>
      </c>
      <c r="AP163" s="99"/>
    </row>
    <row r="164" spans="1:42" ht="39" customHeight="1" x14ac:dyDescent="0.25">
      <c r="A164" s="99">
        <v>1808</v>
      </c>
      <c r="B164" s="197" t="s">
        <v>1521</v>
      </c>
      <c r="C164" s="239">
        <v>103302000</v>
      </c>
      <c r="D164" s="99">
        <v>21031133</v>
      </c>
      <c r="E164" s="99"/>
      <c r="F164" s="197" t="str">
        <f>VLOOKUP(D164,'rà soát ĐK'!B157:C607,2,0)</f>
        <v>PB04090039579</v>
      </c>
      <c r="G164" s="99" t="s">
        <v>2185</v>
      </c>
      <c r="H164" s="99" t="str">
        <f>VLOOKUP(C164,'[1]Bến Cát'!$E$4:$F$177,2,0)</f>
        <v>11.19739936850336, 106.59423221794025</v>
      </c>
      <c r="I164" s="239">
        <v>1119739936850330</v>
      </c>
      <c r="J164" s="239">
        <v>1.0659423221794E+16</v>
      </c>
      <c r="K164" s="197" t="s">
        <v>1471</v>
      </c>
      <c r="L164" s="197" t="s">
        <v>878</v>
      </c>
      <c r="M164" s="197" t="s">
        <v>1524</v>
      </c>
      <c r="N164" s="99" t="s">
        <v>911</v>
      </c>
      <c r="O164" s="99"/>
      <c r="P164" s="99">
        <v>480</v>
      </c>
      <c r="Q164" s="99">
        <f t="shared" si="17"/>
        <v>480</v>
      </c>
      <c r="R164" s="99" t="s">
        <v>91</v>
      </c>
      <c r="S164" s="99" t="s">
        <v>90</v>
      </c>
      <c r="T164" s="99" t="s">
        <v>91</v>
      </c>
      <c r="U164" s="99" t="s">
        <v>881</v>
      </c>
      <c r="V164" s="99" t="s">
        <v>882</v>
      </c>
      <c r="W164" s="99"/>
      <c r="X164" s="99"/>
      <c r="Y164" s="99">
        <v>10</v>
      </c>
      <c r="Z164" s="99"/>
      <c r="AA164" s="99"/>
      <c r="AB164" s="99"/>
      <c r="AC164" s="197">
        <f t="shared" si="18"/>
        <v>10</v>
      </c>
      <c r="AD164" s="99">
        <v>10</v>
      </c>
      <c r="AE164" s="99"/>
      <c r="AF164" s="99"/>
      <c r="AG164" s="99">
        <f t="shared" si="19"/>
        <v>10</v>
      </c>
      <c r="AH164" s="99"/>
      <c r="AI164" s="99">
        <v>10</v>
      </c>
      <c r="AJ164" s="99"/>
      <c r="AK164" s="99"/>
      <c r="AL164" s="99"/>
      <c r="AM164" s="99">
        <f t="shared" si="20"/>
        <v>10</v>
      </c>
      <c r="AN164" s="99" t="s">
        <v>883</v>
      </c>
      <c r="AO164" s="99">
        <v>3</v>
      </c>
      <c r="AP164" s="99"/>
    </row>
    <row r="165" spans="1:42" ht="39" customHeight="1" x14ac:dyDescent="0.25">
      <c r="A165" s="99">
        <v>1814</v>
      </c>
      <c r="B165" s="197" t="s">
        <v>1579</v>
      </c>
      <c r="C165" s="239">
        <v>102753000</v>
      </c>
      <c r="D165" s="99">
        <v>1511288224</v>
      </c>
      <c r="E165" s="99"/>
      <c r="F165" s="197" t="e">
        <f>VLOOKUP(D165,'rà soát ĐK'!B158:C608,2,0)</f>
        <v>#N/A</v>
      </c>
      <c r="G165" s="99"/>
      <c r="H165" s="99" t="str">
        <f>VLOOKUP(C165,'[1]Bến Cát'!$E$4:$F$177,2,0)</f>
        <v>11.24708179562757, 106.60079051857923</v>
      </c>
      <c r="I165" s="239">
        <v>1124708179562750</v>
      </c>
      <c r="J165" s="239">
        <v>1.06600790518579E+16</v>
      </c>
      <c r="K165" s="197" t="s">
        <v>1582</v>
      </c>
      <c r="L165" s="197" t="s">
        <v>878</v>
      </c>
      <c r="M165" s="197" t="s">
        <v>1583</v>
      </c>
      <c r="N165" s="99" t="s">
        <v>891</v>
      </c>
      <c r="O165" s="99"/>
      <c r="P165" s="99">
        <v>1120</v>
      </c>
      <c r="Q165" s="99">
        <f t="shared" si="17"/>
        <v>1120</v>
      </c>
      <c r="R165" s="99" t="s">
        <v>91</v>
      </c>
      <c r="S165" s="99" t="s">
        <v>90</v>
      </c>
      <c r="T165" s="99" t="s">
        <v>91</v>
      </c>
      <c r="U165" s="99" t="s">
        <v>881</v>
      </c>
      <c r="V165" s="99" t="s">
        <v>882</v>
      </c>
      <c r="W165" s="99"/>
      <c r="X165" s="99"/>
      <c r="Y165" s="99">
        <v>17</v>
      </c>
      <c r="Z165" s="99"/>
      <c r="AA165" s="99"/>
      <c r="AB165" s="99"/>
      <c r="AC165" s="197">
        <f t="shared" si="18"/>
        <v>17</v>
      </c>
      <c r="AD165" s="99">
        <v>17</v>
      </c>
      <c r="AE165" s="99"/>
      <c r="AF165" s="99"/>
      <c r="AG165" s="99">
        <f t="shared" si="19"/>
        <v>17</v>
      </c>
      <c r="AH165" s="99"/>
      <c r="AI165" s="99">
        <v>17</v>
      </c>
      <c r="AJ165" s="99"/>
      <c r="AK165" s="99"/>
      <c r="AL165" s="99"/>
      <c r="AM165" s="99">
        <f t="shared" si="20"/>
        <v>17</v>
      </c>
      <c r="AN165" s="99" t="s">
        <v>883</v>
      </c>
      <c r="AO165" s="99">
        <v>3</v>
      </c>
      <c r="AP165" s="99"/>
    </row>
    <row r="166" spans="1:42" ht="39" customHeight="1" x14ac:dyDescent="0.25">
      <c r="A166" s="99">
        <v>1814</v>
      </c>
      <c r="B166" s="197" t="s">
        <v>1588</v>
      </c>
      <c r="C166" s="239">
        <v>102236000</v>
      </c>
      <c r="D166" s="99">
        <v>21014704</v>
      </c>
      <c r="E166" s="99"/>
      <c r="F166" s="197" t="e">
        <f>VLOOKUP(D166,'rà soát ĐK'!B159:C609,2,0)</f>
        <v>#N/A</v>
      </c>
      <c r="G166" s="99"/>
      <c r="H166" s="99" t="str">
        <f>VLOOKUP(C166,'[1]Bến Cát'!$E$4:$F$177,2,0)</f>
        <v>11.244497940082097, 106.58522077213583</v>
      </c>
      <c r="I166" s="239">
        <v>1.1244497940082E+16</v>
      </c>
      <c r="J166" s="239">
        <v>1.06585220772135E+16</v>
      </c>
      <c r="K166" s="197" t="s">
        <v>1582</v>
      </c>
      <c r="L166" s="197" t="s">
        <v>878</v>
      </c>
      <c r="M166" s="197" t="s">
        <v>1591</v>
      </c>
      <c r="N166" s="99" t="s">
        <v>880</v>
      </c>
      <c r="O166" s="99"/>
      <c r="P166" s="99">
        <v>840</v>
      </c>
      <c r="Q166" s="99">
        <f t="shared" si="17"/>
        <v>840</v>
      </c>
      <c r="R166" s="99" t="s">
        <v>91</v>
      </c>
      <c r="S166" s="99" t="s">
        <v>90</v>
      </c>
      <c r="T166" s="99" t="s">
        <v>91</v>
      </c>
      <c r="U166" s="99" t="s">
        <v>881</v>
      </c>
      <c r="V166" s="99" t="s">
        <v>882</v>
      </c>
      <c r="W166" s="99"/>
      <c r="X166" s="99"/>
      <c r="Y166" s="99">
        <v>13</v>
      </c>
      <c r="Z166" s="99"/>
      <c r="AA166" s="99"/>
      <c r="AB166" s="99"/>
      <c r="AC166" s="197">
        <f t="shared" si="18"/>
        <v>13</v>
      </c>
      <c r="AD166" s="99">
        <v>13</v>
      </c>
      <c r="AE166" s="99"/>
      <c r="AF166" s="99"/>
      <c r="AG166" s="99">
        <f t="shared" si="19"/>
        <v>13</v>
      </c>
      <c r="AH166" s="99"/>
      <c r="AI166" s="99">
        <v>13</v>
      </c>
      <c r="AJ166" s="99"/>
      <c r="AK166" s="99"/>
      <c r="AL166" s="99"/>
      <c r="AM166" s="99">
        <f t="shared" si="20"/>
        <v>13</v>
      </c>
      <c r="AN166" s="99" t="s">
        <v>883</v>
      </c>
      <c r="AO166" s="99">
        <v>3</v>
      </c>
      <c r="AP166" s="99"/>
    </row>
    <row r="167" spans="1:42" ht="39" customHeight="1" x14ac:dyDescent="0.25">
      <c r="A167" s="99">
        <v>2196</v>
      </c>
      <c r="B167" s="197" t="s">
        <v>784</v>
      </c>
      <c r="C167" s="240">
        <v>102202000</v>
      </c>
      <c r="D167" s="99">
        <v>23901601</v>
      </c>
      <c r="E167" s="99"/>
      <c r="F167" s="197" t="str">
        <f>VLOOKUP(D167,'rà soát ĐK'!B160:C610,2,0)</f>
        <v>PB04090010499</v>
      </c>
      <c r="G167" s="99" t="s">
        <v>2795</v>
      </c>
      <c r="H167" s="99" t="e">
        <v>#N/A</v>
      </c>
      <c r="I167" s="197" t="e">
        <v>#N/A</v>
      </c>
      <c r="J167" s="197"/>
      <c r="K167" s="197" t="s">
        <v>751</v>
      </c>
      <c r="L167" s="197" t="s">
        <v>527</v>
      </c>
      <c r="M167" s="197">
        <v>141</v>
      </c>
      <c r="N167" s="99" t="str">
        <f>1&amp;"-"&amp;AC167</f>
        <v>1-23</v>
      </c>
      <c r="O167" s="99"/>
      <c r="P167" s="99">
        <v>1540</v>
      </c>
      <c r="Q167" s="102">
        <f t="shared" si="17"/>
        <v>1540</v>
      </c>
      <c r="R167" s="102"/>
      <c r="S167" s="102" t="s">
        <v>90</v>
      </c>
      <c r="T167" s="102"/>
      <c r="U167" s="102" t="s">
        <v>90</v>
      </c>
      <c r="V167" s="102"/>
      <c r="W167" s="102"/>
      <c r="X167" s="102"/>
      <c r="Y167" s="102"/>
      <c r="Z167" s="102">
        <v>23</v>
      </c>
      <c r="AA167" s="102"/>
      <c r="AB167" s="102"/>
      <c r="AC167" s="242">
        <f t="shared" si="18"/>
        <v>23</v>
      </c>
      <c r="AD167" s="99">
        <f t="shared" ref="AD167:AD214" si="21">AC167</f>
        <v>23</v>
      </c>
      <c r="AE167" s="99"/>
      <c r="AF167" s="99"/>
      <c r="AG167" s="102">
        <f t="shared" si="19"/>
        <v>23</v>
      </c>
      <c r="AH167" s="99">
        <v>23</v>
      </c>
      <c r="AI167" s="99"/>
      <c r="AJ167" s="99"/>
      <c r="AK167" s="99"/>
      <c r="AL167" s="99"/>
      <c r="AM167" s="102">
        <f t="shared" si="20"/>
        <v>23</v>
      </c>
      <c r="AN167" s="102" t="s">
        <v>93</v>
      </c>
      <c r="AO167" s="102">
        <v>3</v>
      </c>
      <c r="AP167" s="99"/>
    </row>
    <row r="168" spans="1:42" ht="39" customHeight="1" x14ac:dyDescent="0.25">
      <c r="A168" s="99">
        <v>2226</v>
      </c>
      <c r="B168" s="242" t="s">
        <v>83</v>
      </c>
      <c r="C168" s="240">
        <v>101738000</v>
      </c>
      <c r="D168" s="99">
        <v>1511084750</v>
      </c>
      <c r="E168" s="99"/>
      <c r="F168" s="197" t="str">
        <f>VLOOKUP(D168,'rà soát ĐK'!B161:C611,2,0)</f>
        <v>PB04090032451</v>
      </c>
      <c r="G168" s="99" t="s">
        <v>2827</v>
      </c>
      <c r="H168" s="99" t="s">
        <v>85</v>
      </c>
      <c r="I168" s="239">
        <v>113432353</v>
      </c>
      <c r="J168" s="239">
        <v>1065831461</v>
      </c>
      <c r="K168" s="197" t="s">
        <v>86</v>
      </c>
      <c r="L168" s="197" t="s">
        <v>87</v>
      </c>
      <c r="M168" s="197" t="s">
        <v>88</v>
      </c>
      <c r="N168" s="99" t="s">
        <v>89</v>
      </c>
      <c r="O168" s="99"/>
      <c r="P168" s="99">
        <v>240</v>
      </c>
      <c r="Q168" s="99">
        <f t="shared" si="17"/>
        <v>240</v>
      </c>
      <c r="R168" s="102" t="s">
        <v>90</v>
      </c>
      <c r="S168" s="102" t="s">
        <v>91</v>
      </c>
      <c r="T168" s="102" t="s">
        <v>91</v>
      </c>
      <c r="U168" s="102" t="s">
        <v>90</v>
      </c>
      <c r="V168" s="102" t="s">
        <v>92</v>
      </c>
      <c r="W168" s="102"/>
      <c r="X168" s="102"/>
      <c r="Y168" s="102"/>
      <c r="Z168" s="102"/>
      <c r="AA168" s="102">
        <v>7</v>
      </c>
      <c r="AB168" s="102"/>
      <c r="AC168" s="197">
        <f t="shared" ref="AC168:AC199" si="22">W168+X168+Y168+Z168+AA168+AB168</f>
        <v>7</v>
      </c>
      <c r="AD168" s="99">
        <f t="shared" si="21"/>
        <v>7</v>
      </c>
      <c r="AE168" s="99"/>
      <c r="AF168" s="99"/>
      <c r="AG168" s="99">
        <f t="shared" ref="AG168:AG199" si="23">AF168+AE168+AD168</f>
        <v>7</v>
      </c>
      <c r="AH168" s="99">
        <f t="shared" ref="AH168:AH199" si="24">AC168</f>
        <v>7</v>
      </c>
      <c r="AI168" s="99"/>
      <c r="AJ168" s="99"/>
      <c r="AK168" s="99"/>
      <c r="AL168" s="99"/>
      <c r="AM168" s="99">
        <f t="shared" si="20"/>
        <v>7</v>
      </c>
      <c r="AN168" s="102" t="s">
        <v>93</v>
      </c>
      <c r="AO168" s="102">
        <v>3</v>
      </c>
      <c r="AP168" s="99"/>
    </row>
    <row r="169" spans="1:42" ht="39" customHeight="1" x14ac:dyDescent="0.25">
      <c r="A169" s="99">
        <v>2227</v>
      </c>
      <c r="B169" s="242" t="s">
        <v>100</v>
      </c>
      <c r="C169" s="240">
        <v>101740000</v>
      </c>
      <c r="D169" s="99">
        <v>1511033465</v>
      </c>
      <c r="E169" s="99"/>
      <c r="F169" s="197" t="str">
        <f>VLOOKUP(D169,'rà soát ĐK'!B162:C612,2,0)</f>
        <v>PB04090022911</v>
      </c>
      <c r="G169" s="99" t="s">
        <v>2831</v>
      </c>
      <c r="H169" s="99" t="s">
        <v>102</v>
      </c>
      <c r="I169" s="239">
        <v>113397621</v>
      </c>
      <c r="J169" s="239">
        <v>1065711068</v>
      </c>
      <c r="K169" s="197" t="s">
        <v>97</v>
      </c>
      <c r="L169" s="197" t="s">
        <v>87</v>
      </c>
      <c r="M169" s="197" t="s">
        <v>103</v>
      </c>
      <c r="N169" s="99" t="s">
        <v>104</v>
      </c>
      <c r="O169" s="99"/>
      <c r="P169" s="99">
        <v>787</v>
      </c>
      <c r="Q169" s="99">
        <f t="shared" si="17"/>
        <v>787</v>
      </c>
      <c r="R169" s="102" t="s">
        <v>90</v>
      </c>
      <c r="S169" s="102" t="s">
        <v>91</v>
      </c>
      <c r="T169" s="102" t="s">
        <v>91</v>
      </c>
      <c r="U169" s="102" t="s">
        <v>90</v>
      </c>
      <c r="V169" s="102" t="s">
        <v>92</v>
      </c>
      <c r="W169" s="102"/>
      <c r="X169" s="102">
        <v>12</v>
      </c>
      <c r="Y169" s="102"/>
      <c r="Z169" s="102"/>
      <c r="AA169" s="102"/>
      <c r="AB169" s="102"/>
      <c r="AC169" s="197">
        <f t="shared" si="22"/>
        <v>12</v>
      </c>
      <c r="AD169" s="99">
        <f t="shared" si="21"/>
        <v>12</v>
      </c>
      <c r="AE169" s="99"/>
      <c r="AF169" s="99"/>
      <c r="AG169" s="99">
        <f t="shared" si="23"/>
        <v>12</v>
      </c>
      <c r="AH169" s="99">
        <f t="shared" si="24"/>
        <v>12</v>
      </c>
      <c r="AI169" s="99"/>
      <c r="AJ169" s="99"/>
      <c r="AK169" s="99"/>
      <c r="AL169" s="99"/>
      <c r="AM169" s="99">
        <f t="shared" si="20"/>
        <v>12</v>
      </c>
      <c r="AN169" s="102" t="s">
        <v>93</v>
      </c>
      <c r="AO169" s="102">
        <v>3</v>
      </c>
      <c r="AP169" s="99"/>
    </row>
    <row r="170" spans="1:42" ht="39" customHeight="1" x14ac:dyDescent="0.25">
      <c r="A170" s="99">
        <v>2227</v>
      </c>
      <c r="B170" s="242" t="s">
        <v>94</v>
      </c>
      <c r="C170" s="240">
        <v>101739000</v>
      </c>
      <c r="D170" s="99">
        <v>211100046934</v>
      </c>
      <c r="E170" s="99"/>
      <c r="F170" s="197" t="str">
        <f>VLOOKUP(D170,'rà soát ĐK'!B163:C613,2,0)</f>
        <v>PB04090022910</v>
      </c>
      <c r="G170" s="99" t="s">
        <v>2829</v>
      </c>
      <c r="H170" s="99" t="s">
        <v>96</v>
      </c>
      <c r="I170" s="239">
        <v>113413566</v>
      </c>
      <c r="J170" s="239">
        <v>1065801553</v>
      </c>
      <c r="K170" s="197" t="s">
        <v>97</v>
      </c>
      <c r="L170" s="197" t="s">
        <v>87</v>
      </c>
      <c r="M170" s="197" t="s">
        <v>98</v>
      </c>
      <c r="N170" s="99" t="s">
        <v>99</v>
      </c>
      <c r="O170" s="99"/>
      <c r="P170" s="99">
        <v>801</v>
      </c>
      <c r="Q170" s="99">
        <f t="shared" si="17"/>
        <v>801</v>
      </c>
      <c r="R170" s="102" t="s">
        <v>91</v>
      </c>
      <c r="S170" s="102" t="s">
        <v>90</v>
      </c>
      <c r="T170" s="102" t="s">
        <v>91</v>
      </c>
      <c r="U170" s="102" t="s">
        <v>90</v>
      </c>
      <c r="V170" s="102" t="s">
        <v>92</v>
      </c>
      <c r="W170" s="102"/>
      <c r="X170" s="102">
        <v>13</v>
      </c>
      <c r="Y170" s="102"/>
      <c r="Z170" s="102"/>
      <c r="AA170" s="102"/>
      <c r="AB170" s="102"/>
      <c r="AC170" s="197">
        <f t="shared" si="22"/>
        <v>13</v>
      </c>
      <c r="AD170" s="99">
        <f t="shared" si="21"/>
        <v>13</v>
      </c>
      <c r="AE170" s="99"/>
      <c r="AF170" s="99"/>
      <c r="AG170" s="99">
        <f t="shared" si="23"/>
        <v>13</v>
      </c>
      <c r="AH170" s="99">
        <f t="shared" si="24"/>
        <v>13</v>
      </c>
      <c r="AI170" s="99"/>
      <c r="AJ170" s="99"/>
      <c r="AK170" s="99"/>
      <c r="AL170" s="99"/>
      <c r="AM170" s="99">
        <f t="shared" si="20"/>
        <v>13</v>
      </c>
      <c r="AN170" s="102" t="s">
        <v>93</v>
      </c>
      <c r="AO170" s="102">
        <v>3</v>
      </c>
      <c r="AP170" s="99"/>
    </row>
    <row r="171" spans="1:42" ht="39" customHeight="1" x14ac:dyDescent="0.25">
      <c r="A171" s="99">
        <v>2228</v>
      </c>
      <c r="B171" s="242" t="s">
        <v>105</v>
      </c>
      <c r="C171" s="240">
        <v>102278000</v>
      </c>
      <c r="D171" s="99">
        <v>2011578637</v>
      </c>
      <c r="E171" s="99"/>
      <c r="F171" s="197" t="str">
        <f>VLOOKUP(D171,'rà soát ĐK'!B164:C614,2,0)</f>
        <v>PB04090032452</v>
      </c>
      <c r="G171" s="99" t="s">
        <v>2832</v>
      </c>
      <c r="H171" s="99" t="s">
        <v>107</v>
      </c>
      <c r="I171" s="239">
        <v>11386981881234</v>
      </c>
      <c r="J171" s="239">
        <v>1.06607429366658E+16</v>
      </c>
      <c r="K171" s="197" t="s">
        <v>108</v>
      </c>
      <c r="L171" s="197" t="s">
        <v>87</v>
      </c>
      <c r="M171" s="197" t="s">
        <v>109</v>
      </c>
      <c r="N171" s="99" t="s">
        <v>110</v>
      </c>
      <c r="O171" s="99"/>
      <c r="P171" s="99">
        <v>350</v>
      </c>
      <c r="Q171" s="99">
        <f t="shared" si="17"/>
        <v>350</v>
      </c>
      <c r="R171" s="102" t="s">
        <v>90</v>
      </c>
      <c r="S171" s="102" t="s">
        <v>91</v>
      </c>
      <c r="T171" s="102" t="s">
        <v>91</v>
      </c>
      <c r="U171" s="102" t="s">
        <v>90</v>
      </c>
      <c r="V171" s="102" t="s">
        <v>111</v>
      </c>
      <c r="W171" s="102"/>
      <c r="X171" s="102"/>
      <c r="Y171" s="102"/>
      <c r="Z171" s="102"/>
      <c r="AA171" s="102">
        <v>9</v>
      </c>
      <c r="AB171" s="102"/>
      <c r="AC171" s="197">
        <f t="shared" si="22"/>
        <v>9</v>
      </c>
      <c r="AD171" s="99">
        <f t="shared" si="21"/>
        <v>9</v>
      </c>
      <c r="AE171" s="99"/>
      <c r="AF171" s="99"/>
      <c r="AG171" s="99">
        <f t="shared" si="23"/>
        <v>9</v>
      </c>
      <c r="AH171" s="99">
        <f t="shared" si="24"/>
        <v>9</v>
      </c>
      <c r="AI171" s="99"/>
      <c r="AJ171" s="99"/>
      <c r="AK171" s="99"/>
      <c r="AL171" s="99"/>
      <c r="AM171" s="99">
        <f t="shared" si="20"/>
        <v>9</v>
      </c>
      <c r="AN171" s="102" t="s">
        <v>93</v>
      </c>
      <c r="AO171" s="102">
        <v>3</v>
      </c>
      <c r="AP171" s="99"/>
    </row>
    <row r="172" spans="1:42" ht="39" customHeight="1" x14ac:dyDescent="0.25">
      <c r="A172" s="99">
        <v>2229</v>
      </c>
      <c r="B172" s="242" t="s">
        <v>112</v>
      </c>
      <c r="C172" s="240">
        <v>102277000</v>
      </c>
      <c r="D172" s="99">
        <v>2011577919</v>
      </c>
      <c r="E172" s="99"/>
      <c r="F172" s="197" t="str">
        <f>VLOOKUP(D172,'rà soát ĐK'!B165:C615,2,0)</f>
        <v>PB04090032453</v>
      </c>
      <c r="G172" s="99" t="s">
        <v>2834</v>
      </c>
      <c r="H172" s="99" t="s">
        <v>114</v>
      </c>
      <c r="I172" s="239">
        <v>1.13444388611345E+16</v>
      </c>
      <c r="J172" s="239">
        <v>1.06580391945416E+16</v>
      </c>
      <c r="K172" s="197" t="s">
        <v>115</v>
      </c>
      <c r="L172" s="197" t="s">
        <v>87</v>
      </c>
      <c r="M172" s="197" t="s">
        <v>116</v>
      </c>
      <c r="N172" s="99" t="s">
        <v>110</v>
      </c>
      <c r="O172" s="99"/>
      <c r="P172" s="99">
        <v>280</v>
      </c>
      <c r="Q172" s="99">
        <f t="shared" si="17"/>
        <v>280</v>
      </c>
      <c r="R172" s="102" t="s">
        <v>90</v>
      </c>
      <c r="S172" s="102" t="s">
        <v>91</v>
      </c>
      <c r="T172" s="102" t="s">
        <v>91</v>
      </c>
      <c r="U172" s="102" t="s">
        <v>90</v>
      </c>
      <c r="V172" s="102" t="s">
        <v>111</v>
      </c>
      <c r="W172" s="102"/>
      <c r="X172" s="102"/>
      <c r="Y172" s="102"/>
      <c r="Z172" s="102"/>
      <c r="AA172" s="102">
        <v>8</v>
      </c>
      <c r="AB172" s="102"/>
      <c r="AC172" s="197">
        <f t="shared" si="22"/>
        <v>8</v>
      </c>
      <c r="AD172" s="99">
        <f t="shared" si="21"/>
        <v>8</v>
      </c>
      <c r="AE172" s="99"/>
      <c r="AF172" s="99"/>
      <c r="AG172" s="99">
        <f t="shared" si="23"/>
        <v>8</v>
      </c>
      <c r="AH172" s="99">
        <f t="shared" si="24"/>
        <v>8</v>
      </c>
      <c r="AI172" s="99"/>
      <c r="AJ172" s="99"/>
      <c r="AK172" s="99"/>
      <c r="AL172" s="99"/>
      <c r="AM172" s="99">
        <f t="shared" si="20"/>
        <v>8</v>
      </c>
      <c r="AN172" s="102" t="s">
        <v>93</v>
      </c>
      <c r="AO172" s="102">
        <v>3</v>
      </c>
      <c r="AP172" s="99"/>
    </row>
    <row r="173" spans="1:42" ht="39" customHeight="1" x14ac:dyDescent="0.25">
      <c r="A173" s="99">
        <v>2230</v>
      </c>
      <c r="B173" s="242"/>
      <c r="C173" s="240"/>
      <c r="D173" s="99"/>
      <c r="E173" s="99"/>
      <c r="F173" s="197"/>
      <c r="G173" s="99"/>
      <c r="H173" s="99"/>
      <c r="I173" s="197"/>
      <c r="J173" s="197"/>
      <c r="K173" s="197" t="s">
        <v>117</v>
      </c>
      <c r="L173" s="197" t="s">
        <v>87</v>
      </c>
      <c r="M173" s="197"/>
      <c r="N173" s="99"/>
      <c r="O173" s="99"/>
      <c r="P173" s="99">
        <v>735</v>
      </c>
      <c r="Q173" s="99">
        <f t="shared" si="17"/>
        <v>735</v>
      </c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>
        <v>9</v>
      </c>
      <c r="AB173" s="102"/>
      <c r="AC173" s="197">
        <f t="shared" si="22"/>
        <v>9</v>
      </c>
      <c r="AD173" s="99">
        <f t="shared" si="21"/>
        <v>9</v>
      </c>
      <c r="AE173" s="99"/>
      <c r="AF173" s="99"/>
      <c r="AG173" s="99">
        <f t="shared" si="23"/>
        <v>9</v>
      </c>
      <c r="AH173" s="99">
        <f t="shared" si="24"/>
        <v>9</v>
      </c>
      <c r="AI173" s="99"/>
      <c r="AJ173" s="99"/>
      <c r="AK173" s="99"/>
      <c r="AL173" s="99"/>
      <c r="AM173" s="99">
        <f t="shared" si="20"/>
        <v>9</v>
      </c>
      <c r="AN173" s="102"/>
      <c r="AO173" s="102"/>
      <c r="AP173" s="99" t="s">
        <v>1634</v>
      </c>
    </row>
    <row r="174" spans="1:42" ht="39" customHeight="1" x14ac:dyDescent="0.25">
      <c r="A174" s="99">
        <v>2231</v>
      </c>
      <c r="B174" s="242" t="s">
        <v>119</v>
      </c>
      <c r="C174" s="240">
        <v>102276000</v>
      </c>
      <c r="D174" s="99">
        <v>221100364813</v>
      </c>
      <c r="E174" s="99"/>
      <c r="F174" s="197" t="str">
        <f>VLOOKUP(D174,'rà soát ĐK'!B167:C617,2,0)</f>
        <v>PB04090028729</v>
      </c>
      <c r="G174" s="99" t="s">
        <v>2837</v>
      </c>
      <c r="H174" s="99" t="s">
        <v>121</v>
      </c>
      <c r="I174" s="239">
        <v>1.13416984817116E+16</v>
      </c>
      <c r="J174" s="239">
        <v>1.0657985835346E+16</v>
      </c>
      <c r="K174" s="197" t="s">
        <v>122</v>
      </c>
      <c r="L174" s="197" t="s">
        <v>87</v>
      </c>
      <c r="M174" s="197" t="s">
        <v>123</v>
      </c>
      <c r="N174" s="99" t="s">
        <v>110</v>
      </c>
      <c r="O174" s="99"/>
      <c r="P174" s="99">
        <v>330</v>
      </c>
      <c r="Q174" s="99">
        <f t="shared" si="17"/>
        <v>330</v>
      </c>
      <c r="R174" s="102" t="s">
        <v>91</v>
      </c>
      <c r="S174" s="102" t="s">
        <v>90</v>
      </c>
      <c r="T174" s="102" t="s">
        <v>91</v>
      </c>
      <c r="U174" s="102" t="s">
        <v>90</v>
      </c>
      <c r="V174" s="102" t="s">
        <v>111</v>
      </c>
      <c r="W174" s="102"/>
      <c r="X174" s="102"/>
      <c r="Y174" s="102"/>
      <c r="Z174" s="102"/>
      <c r="AA174" s="102">
        <v>10</v>
      </c>
      <c r="AB174" s="102"/>
      <c r="AC174" s="197">
        <f t="shared" si="22"/>
        <v>10</v>
      </c>
      <c r="AD174" s="99">
        <f t="shared" si="21"/>
        <v>10</v>
      </c>
      <c r="AE174" s="99"/>
      <c r="AF174" s="99"/>
      <c r="AG174" s="99">
        <f t="shared" si="23"/>
        <v>10</v>
      </c>
      <c r="AH174" s="99">
        <f t="shared" si="24"/>
        <v>10</v>
      </c>
      <c r="AI174" s="99"/>
      <c r="AJ174" s="99"/>
      <c r="AK174" s="99"/>
      <c r="AL174" s="99"/>
      <c r="AM174" s="99">
        <f t="shared" si="20"/>
        <v>10</v>
      </c>
      <c r="AN174" s="102" t="s">
        <v>93</v>
      </c>
      <c r="AO174" s="102">
        <v>2</v>
      </c>
      <c r="AP174" s="99"/>
    </row>
    <row r="175" spans="1:42" ht="39" customHeight="1" x14ac:dyDescent="0.25">
      <c r="A175" s="99">
        <v>2232</v>
      </c>
      <c r="B175" s="242" t="s">
        <v>124</v>
      </c>
      <c r="C175" s="240">
        <v>102281000</v>
      </c>
      <c r="D175" s="99">
        <v>2320110482</v>
      </c>
      <c r="E175" s="99"/>
      <c r="F175" s="197" t="str">
        <f>VLOOKUP(D175,'rà soát ĐK'!B168:C618,2,0)</f>
        <v>PB04090028728</v>
      </c>
      <c r="G175" s="99" t="s">
        <v>2839</v>
      </c>
      <c r="H175" s="99" t="s">
        <v>126</v>
      </c>
      <c r="I175" s="239">
        <v>1134481256828740</v>
      </c>
      <c r="J175" s="239">
        <v>1065794292838370</v>
      </c>
      <c r="K175" s="197" t="s">
        <v>127</v>
      </c>
      <c r="L175" s="197" t="s">
        <v>87</v>
      </c>
      <c r="M175" s="197" t="s">
        <v>128</v>
      </c>
      <c r="N175" s="99" t="s">
        <v>110</v>
      </c>
      <c r="O175" s="99"/>
      <c r="P175" s="99">
        <v>350</v>
      </c>
      <c r="Q175" s="99">
        <f t="shared" si="17"/>
        <v>350</v>
      </c>
      <c r="R175" s="102" t="s">
        <v>91</v>
      </c>
      <c r="S175" s="102" t="s">
        <v>90</v>
      </c>
      <c r="T175" s="102" t="s">
        <v>91</v>
      </c>
      <c r="U175" s="102" t="s">
        <v>90</v>
      </c>
      <c r="V175" s="102" t="s">
        <v>111</v>
      </c>
      <c r="W175" s="102"/>
      <c r="X175" s="102"/>
      <c r="Y175" s="102"/>
      <c r="Z175" s="102"/>
      <c r="AA175" s="102">
        <v>9</v>
      </c>
      <c r="AB175" s="102"/>
      <c r="AC175" s="197">
        <f t="shared" si="22"/>
        <v>9</v>
      </c>
      <c r="AD175" s="99">
        <f t="shared" si="21"/>
        <v>9</v>
      </c>
      <c r="AE175" s="99"/>
      <c r="AF175" s="99"/>
      <c r="AG175" s="99">
        <f t="shared" si="23"/>
        <v>9</v>
      </c>
      <c r="AH175" s="99">
        <f t="shared" si="24"/>
        <v>9</v>
      </c>
      <c r="AI175" s="99"/>
      <c r="AJ175" s="99"/>
      <c r="AK175" s="99"/>
      <c r="AL175" s="99"/>
      <c r="AM175" s="99">
        <f t="shared" si="20"/>
        <v>9</v>
      </c>
      <c r="AN175" s="102" t="s">
        <v>93</v>
      </c>
      <c r="AO175" s="102">
        <v>2</v>
      </c>
      <c r="AP175" s="99"/>
    </row>
    <row r="176" spans="1:42" ht="39" customHeight="1" x14ac:dyDescent="0.25">
      <c r="A176" s="99">
        <v>2233</v>
      </c>
      <c r="B176" s="242"/>
      <c r="C176" s="240"/>
      <c r="D176" s="99"/>
      <c r="E176" s="99"/>
      <c r="F176" s="197"/>
      <c r="G176" s="99"/>
      <c r="H176" s="99"/>
      <c r="I176" s="197"/>
      <c r="J176" s="197"/>
      <c r="K176" s="197" t="s">
        <v>129</v>
      </c>
      <c r="L176" s="197" t="s">
        <v>87</v>
      </c>
      <c r="M176" s="197"/>
      <c r="N176" s="99"/>
      <c r="O176" s="99"/>
      <c r="P176" s="99">
        <v>330</v>
      </c>
      <c r="Q176" s="99">
        <f t="shared" si="17"/>
        <v>330</v>
      </c>
      <c r="R176" s="102"/>
      <c r="S176" s="102"/>
      <c r="T176" s="102"/>
      <c r="U176" s="102"/>
      <c r="V176" s="102"/>
      <c r="W176" s="102"/>
      <c r="X176" s="102">
        <v>8</v>
      </c>
      <c r="Y176" s="102"/>
      <c r="Z176" s="102"/>
      <c r="AA176" s="102"/>
      <c r="AB176" s="102"/>
      <c r="AC176" s="197">
        <f t="shared" si="22"/>
        <v>8</v>
      </c>
      <c r="AD176" s="99">
        <f t="shared" si="21"/>
        <v>8</v>
      </c>
      <c r="AE176" s="99"/>
      <c r="AF176" s="99"/>
      <c r="AG176" s="99">
        <f t="shared" si="23"/>
        <v>8</v>
      </c>
      <c r="AH176" s="99">
        <f t="shared" si="24"/>
        <v>8</v>
      </c>
      <c r="AI176" s="99"/>
      <c r="AJ176" s="99"/>
      <c r="AK176" s="99"/>
      <c r="AL176" s="99"/>
      <c r="AM176" s="99">
        <f t="shared" si="20"/>
        <v>8</v>
      </c>
      <c r="AN176" s="102"/>
      <c r="AO176" s="102"/>
      <c r="AP176" s="99" t="s">
        <v>1635</v>
      </c>
    </row>
    <row r="177" spans="1:42" ht="39" customHeight="1" x14ac:dyDescent="0.25">
      <c r="A177" s="99">
        <v>2234</v>
      </c>
      <c r="B177" s="242" t="s">
        <v>131</v>
      </c>
      <c r="C177" s="240">
        <v>101731000</v>
      </c>
      <c r="D177" s="99">
        <v>2320109001</v>
      </c>
      <c r="E177" s="99"/>
      <c r="F177" s="197" t="str">
        <f>VLOOKUP(D177,'rà soát ĐK'!B170:C620,2,0)</f>
        <v>PB04090028725</v>
      </c>
      <c r="G177" s="99" t="s">
        <v>2841</v>
      </c>
      <c r="H177" s="99" t="s">
        <v>133</v>
      </c>
      <c r="I177" s="239">
        <v>113443276</v>
      </c>
      <c r="J177" s="239">
        <v>106578207</v>
      </c>
      <c r="K177" s="197" t="s">
        <v>134</v>
      </c>
      <c r="L177" s="197" t="s">
        <v>87</v>
      </c>
      <c r="M177" s="197" t="s">
        <v>135</v>
      </c>
      <c r="N177" s="99" t="s">
        <v>110</v>
      </c>
      <c r="O177" s="99"/>
      <c r="P177" s="99">
        <v>360</v>
      </c>
      <c r="Q177" s="99">
        <f t="shared" ref="Q177:Q240" si="25">SUM(O177:P177)</f>
        <v>360</v>
      </c>
      <c r="R177" s="102" t="s">
        <v>91</v>
      </c>
      <c r="S177" s="102" t="s">
        <v>90</v>
      </c>
      <c r="T177" s="102" t="s">
        <v>91</v>
      </c>
      <c r="U177" s="102" t="s">
        <v>90</v>
      </c>
      <c r="V177" s="102" t="s">
        <v>92</v>
      </c>
      <c r="W177" s="102"/>
      <c r="X177" s="102">
        <v>4</v>
      </c>
      <c r="Y177" s="102"/>
      <c r="Z177" s="102"/>
      <c r="AA177" s="102">
        <v>8</v>
      </c>
      <c r="AB177" s="102"/>
      <c r="AC177" s="197">
        <f t="shared" si="22"/>
        <v>12</v>
      </c>
      <c r="AD177" s="99">
        <f t="shared" si="21"/>
        <v>12</v>
      </c>
      <c r="AE177" s="99"/>
      <c r="AF177" s="99"/>
      <c r="AG177" s="99">
        <f t="shared" si="23"/>
        <v>12</v>
      </c>
      <c r="AH177" s="99">
        <f t="shared" si="24"/>
        <v>12</v>
      </c>
      <c r="AI177" s="99"/>
      <c r="AJ177" s="99"/>
      <c r="AK177" s="99"/>
      <c r="AL177" s="99"/>
      <c r="AM177" s="99">
        <f t="shared" si="20"/>
        <v>12</v>
      </c>
      <c r="AN177" s="102" t="s">
        <v>93</v>
      </c>
      <c r="AO177" s="102">
        <v>2</v>
      </c>
      <c r="AP177" s="99"/>
    </row>
    <row r="178" spans="1:42" ht="39" customHeight="1" x14ac:dyDescent="0.25">
      <c r="A178" s="99">
        <v>2235</v>
      </c>
      <c r="B178" s="242" t="s">
        <v>136</v>
      </c>
      <c r="C178" s="240">
        <v>102280000</v>
      </c>
      <c r="D178" s="99">
        <v>1911423559</v>
      </c>
      <c r="E178" s="99"/>
      <c r="F178" s="197" t="str">
        <f>VLOOKUP(D178,'rà soát ĐK'!B171:C621,2,0)</f>
        <v>PB04090028722</v>
      </c>
      <c r="G178" s="99" t="s">
        <v>2843</v>
      </c>
      <c r="H178" s="99" t="s">
        <v>138</v>
      </c>
      <c r="I178" s="239">
        <v>1.13414781162017E+16</v>
      </c>
      <c r="J178" s="239">
        <v>1.06578617972473E+16</v>
      </c>
      <c r="K178" s="197" t="s">
        <v>139</v>
      </c>
      <c r="L178" s="197" t="s">
        <v>87</v>
      </c>
      <c r="M178" s="197" t="s">
        <v>140</v>
      </c>
      <c r="N178" s="99" t="s">
        <v>110</v>
      </c>
      <c r="O178" s="99"/>
      <c r="P178" s="99">
        <v>350</v>
      </c>
      <c r="Q178" s="99">
        <f t="shared" si="25"/>
        <v>350</v>
      </c>
      <c r="R178" s="102" t="s">
        <v>91</v>
      </c>
      <c r="S178" s="102" t="s">
        <v>90</v>
      </c>
      <c r="T178" s="102" t="s">
        <v>91</v>
      </c>
      <c r="U178" s="102" t="s">
        <v>90</v>
      </c>
      <c r="V178" s="102" t="s">
        <v>111</v>
      </c>
      <c r="W178" s="102"/>
      <c r="X178" s="102"/>
      <c r="Y178" s="102"/>
      <c r="Z178" s="102"/>
      <c r="AA178" s="102">
        <v>10</v>
      </c>
      <c r="AB178" s="102"/>
      <c r="AC178" s="197">
        <f t="shared" si="22"/>
        <v>10</v>
      </c>
      <c r="AD178" s="99">
        <f t="shared" si="21"/>
        <v>10</v>
      </c>
      <c r="AE178" s="99"/>
      <c r="AF178" s="99"/>
      <c r="AG178" s="99">
        <f t="shared" si="23"/>
        <v>10</v>
      </c>
      <c r="AH178" s="99">
        <f t="shared" si="24"/>
        <v>10</v>
      </c>
      <c r="AI178" s="99"/>
      <c r="AJ178" s="99"/>
      <c r="AK178" s="99"/>
      <c r="AL178" s="99"/>
      <c r="AM178" s="99">
        <f t="shared" si="20"/>
        <v>10</v>
      </c>
      <c r="AN178" s="102" t="s">
        <v>93</v>
      </c>
      <c r="AO178" s="102">
        <v>2</v>
      </c>
      <c r="AP178" s="99"/>
    </row>
    <row r="179" spans="1:42" ht="39" customHeight="1" x14ac:dyDescent="0.25">
      <c r="A179" s="99">
        <v>2236</v>
      </c>
      <c r="B179" s="242" t="s">
        <v>141</v>
      </c>
      <c r="C179" s="240">
        <v>101732000</v>
      </c>
      <c r="D179" s="99">
        <v>221100332296</v>
      </c>
      <c r="E179" s="99"/>
      <c r="F179" s="197" t="str">
        <f>VLOOKUP(D179,'rà soát ĐK'!B172:C622,2,0)</f>
        <v>PB04090028734</v>
      </c>
      <c r="G179" s="99" t="s">
        <v>2845</v>
      </c>
      <c r="H179" s="99" t="s">
        <v>143</v>
      </c>
      <c r="I179" s="239">
        <v>113463159</v>
      </c>
      <c r="J179" s="239">
        <v>1065768338</v>
      </c>
      <c r="K179" s="197" t="s">
        <v>144</v>
      </c>
      <c r="L179" s="197" t="s">
        <v>87</v>
      </c>
      <c r="M179" s="197" t="s">
        <v>145</v>
      </c>
      <c r="N179" s="99" t="s">
        <v>146</v>
      </c>
      <c r="O179" s="99"/>
      <c r="P179" s="99">
        <v>370</v>
      </c>
      <c r="Q179" s="99">
        <f t="shared" si="25"/>
        <v>370</v>
      </c>
      <c r="R179" s="102" t="s">
        <v>91</v>
      </c>
      <c r="S179" s="102" t="s">
        <v>90</v>
      </c>
      <c r="T179" s="102" t="s">
        <v>91</v>
      </c>
      <c r="U179" s="102" t="s">
        <v>90</v>
      </c>
      <c r="V179" s="102" t="s">
        <v>111</v>
      </c>
      <c r="W179" s="102"/>
      <c r="X179" s="102"/>
      <c r="Y179" s="102"/>
      <c r="Z179" s="102"/>
      <c r="AA179" s="102">
        <v>12</v>
      </c>
      <c r="AB179" s="102"/>
      <c r="AC179" s="197">
        <f t="shared" si="22"/>
        <v>12</v>
      </c>
      <c r="AD179" s="99">
        <f t="shared" si="21"/>
        <v>12</v>
      </c>
      <c r="AE179" s="99"/>
      <c r="AF179" s="99"/>
      <c r="AG179" s="99">
        <f t="shared" si="23"/>
        <v>12</v>
      </c>
      <c r="AH179" s="99">
        <f t="shared" si="24"/>
        <v>12</v>
      </c>
      <c r="AI179" s="99"/>
      <c r="AJ179" s="99"/>
      <c r="AK179" s="99"/>
      <c r="AL179" s="99"/>
      <c r="AM179" s="99">
        <f t="shared" si="20"/>
        <v>12</v>
      </c>
      <c r="AN179" s="102" t="s">
        <v>93</v>
      </c>
      <c r="AO179" s="102">
        <v>2</v>
      </c>
      <c r="AP179" s="99"/>
    </row>
    <row r="180" spans="1:42" ht="39" customHeight="1" x14ac:dyDescent="0.25">
      <c r="A180" s="99">
        <v>2237</v>
      </c>
      <c r="B180" s="242" t="s">
        <v>147</v>
      </c>
      <c r="C180" s="240">
        <v>102284000</v>
      </c>
      <c r="D180" s="99">
        <v>11577901</v>
      </c>
      <c r="E180" s="99"/>
      <c r="F180" s="197" t="str">
        <f>VLOOKUP(D180,'rà soát ĐK'!B173:C623,2,0)</f>
        <v>PB04090032439</v>
      </c>
      <c r="G180" s="99" t="s">
        <v>2847</v>
      </c>
      <c r="H180" s="99" t="s">
        <v>149</v>
      </c>
      <c r="I180" s="239">
        <v>1.13461486017434E+16</v>
      </c>
      <c r="J180" s="239">
        <v>1.06575682992214E+16</v>
      </c>
      <c r="K180" s="197" t="s">
        <v>150</v>
      </c>
      <c r="L180" s="197" t="s">
        <v>87</v>
      </c>
      <c r="M180" s="197" t="s">
        <v>151</v>
      </c>
      <c r="N180" s="99" t="s">
        <v>110</v>
      </c>
      <c r="O180" s="99"/>
      <c r="P180" s="99">
        <v>500</v>
      </c>
      <c r="Q180" s="99">
        <f t="shared" si="25"/>
        <v>500</v>
      </c>
      <c r="R180" s="102" t="s">
        <v>91</v>
      </c>
      <c r="S180" s="102" t="s">
        <v>90</v>
      </c>
      <c r="T180" s="102" t="s">
        <v>91</v>
      </c>
      <c r="U180" s="102" t="s">
        <v>90</v>
      </c>
      <c r="V180" s="102" t="s">
        <v>111</v>
      </c>
      <c r="W180" s="102"/>
      <c r="X180" s="102"/>
      <c r="Y180" s="102"/>
      <c r="Z180" s="102"/>
      <c r="AA180" s="102">
        <v>13</v>
      </c>
      <c r="AB180" s="102"/>
      <c r="AC180" s="197">
        <f t="shared" si="22"/>
        <v>13</v>
      </c>
      <c r="AD180" s="99">
        <f t="shared" si="21"/>
        <v>13</v>
      </c>
      <c r="AE180" s="99"/>
      <c r="AF180" s="99"/>
      <c r="AG180" s="99">
        <f t="shared" si="23"/>
        <v>13</v>
      </c>
      <c r="AH180" s="99">
        <f t="shared" si="24"/>
        <v>13</v>
      </c>
      <c r="AI180" s="99"/>
      <c r="AJ180" s="99"/>
      <c r="AK180" s="99"/>
      <c r="AL180" s="99"/>
      <c r="AM180" s="99">
        <f t="shared" si="20"/>
        <v>13</v>
      </c>
      <c r="AN180" s="102" t="s">
        <v>93</v>
      </c>
      <c r="AO180" s="102">
        <v>4</v>
      </c>
      <c r="AP180" s="99"/>
    </row>
    <row r="181" spans="1:42" ht="39" customHeight="1" x14ac:dyDescent="0.25">
      <c r="A181" s="99">
        <v>2238</v>
      </c>
      <c r="B181" s="242" t="s">
        <v>152</v>
      </c>
      <c r="C181" s="240">
        <v>102279000</v>
      </c>
      <c r="D181" s="99">
        <v>2320106186</v>
      </c>
      <c r="E181" s="99"/>
      <c r="F181" s="197" t="str">
        <f>VLOOKUP(D181,'rà soát ĐK'!B174:C624,2,0)</f>
        <v>PB04090030087</v>
      </c>
      <c r="G181" s="99" t="s">
        <v>2849</v>
      </c>
      <c r="H181" s="99" t="s">
        <v>154</v>
      </c>
      <c r="I181" s="239">
        <v>1.13410004896874E+16</v>
      </c>
      <c r="J181" s="239">
        <v>1.06577666468587E+16</v>
      </c>
      <c r="K181" s="197" t="s">
        <v>155</v>
      </c>
      <c r="L181" s="197" t="s">
        <v>87</v>
      </c>
      <c r="M181" s="197" t="s">
        <v>156</v>
      </c>
      <c r="N181" s="99" t="s">
        <v>110</v>
      </c>
      <c r="O181" s="99"/>
      <c r="P181" s="99">
        <v>230</v>
      </c>
      <c r="Q181" s="99">
        <f t="shared" si="25"/>
        <v>230</v>
      </c>
      <c r="R181" s="102" t="s">
        <v>90</v>
      </c>
      <c r="S181" s="102" t="s">
        <v>91</v>
      </c>
      <c r="T181" s="102" t="s">
        <v>91</v>
      </c>
      <c r="U181" s="102" t="s">
        <v>90</v>
      </c>
      <c r="V181" s="102" t="s">
        <v>111</v>
      </c>
      <c r="W181" s="102"/>
      <c r="X181" s="102"/>
      <c r="Y181" s="102"/>
      <c r="Z181" s="102"/>
      <c r="AA181" s="102">
        <v>7</v>
      </c>
      <c r="AB181" s="102"/>
      <c r="AC181" s="197">
        <f t="shared" si="22"/>
        <v>7</v>
      </c>
      <c r="AD181" s="99">
        <f t="shared" si="21"/>
        <v>7</v>
      </c>
      <c r="AE181" s="99"/>
      <c r="AF181" s="99"/>
      <c r="AG181" s="99">
        <f t="shared" si="23"/>
        <v>7</v>
      </c>
      <c r="AH181" s="99">
        <f t="shared" si="24"/>
        <v>7</v>
      </c>
      <c r="AI181" s="99"/>
      <c r="AJ181" s="99"/>
      <c r="AK181" s="99"/>
      <c r="AL181" s="99"/>
      <c r="AM181" s="99">
        <f t="shared" si="20"/>
        <v>7</v>
      </c>
      <c r="AN181" s="102" t="s">
        <v>93</v>
      </c>
      <c r="AO181" s="102">
        <v>3</v>
      </c>
      <c r="AP181" s="99"/>
    </row>
    <row r="182" spans="1:42" ht="39" customHeight="1" x14ac:dyDescent="0.25">
      <c r="A182" s="99">
        <v>2239</v>
      </c>
      <c r="B182" s="242"/>
      <c r="C182" s="240"/>
      <c r="D182" s="99"/>
      <c r="E182" s="99"/>
      <c r="F182" s="197"/>
      <c r="G182" s="99"/>
      <c r="H182" s="99"/>
      <c r="I182" s="197"/>
      <c r="J182" s="197"/>
      <c r="K182" s="197" t="s">
        <v>157</v>
      </c>
      <c r="L182" s="197" t="s">
        <v>87</v>
      </c>
      <c r="M182" s="197"/>
      <c r="N182" s="99" t="s">
        <v>110</v>
      </c>
      <c r="O182" s="99"/>
      <c r="P182" s="99">
        <v>400</v>
      </c>
      <c r="Q182" s="99">
        <f t="shared" si="25"/>
        <v>400</v>
      </c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>
        <v>9</v>
      </c>
      <c r="AB182" s="102"/>
      <c r="AC182" s="197">
        <f t="shared" si="22"/>
        <v>9</v>
      </c>
      <c r="AD182" s="99">
        <f t="shared" si="21"/>
        <v>9</v>
      </c>
      <c r="AE182" s="99"/>
      <c r="AF182" s="99"/>
      <c r="AG182" s="99">
        <f t="shared" si="23"/>
        <v>9</v>
      </c>
      <c r="AH182" s="99">
        <f t="shared" si="24"/>
        <v>9</v>
      </c>
      <c r="AI182" s="99"/>
      <c r="AJ182" s="99"/>
      <c r="AK182" s="99"/>
      <c r="AL182" s="99"/>
      <c r="AM182" s="99">
        <f t="shared" si="20"/>
        <v>9</v>
      </c>
      <c r="AN182" s="102"/>
      <c r="AO182" s="102"/>
      <c r="AP182" s="99" t="s">
        <v>1636</v>
      </c>
    </row>
    <row r="183" spans="1:42" ht="39" customHeight="1" x14ac:dyDescent="0.25">
      <c r="A183" s="99">
        <v>2240</v>
      </c>
      <c r="B183" s="242" t="s">
        <v>159</v>
      </c>
      <c r="C183" s="240">
        <v>102283000</v>
      </c>
      <c r="D183" s="99">
        <v>2011581122</v>
      </c>
      <c r="E183" s="99"/>
      <c r="F183" s="197" t="str">
        <f>VLOOKUP(D183,'rà soát ĐK'!B176:C626,2,0)</f>
        <v>PB04090032440</v>
      </c>
      <c r="G183" s="99" t="s">
        <v>2851</v>
      </c>
      <c r="H183" s="99" t="s">
        <v>161</v>
      </c>
      <c r="I183" s="239">
        <v>1.13438653713197E+16</v>
      </c>
      <c r="J183" s="239">
        <v>1.06575098270649E+16</v>
      </c>
      <c r="K183" s="197" t="s">
        <v>162</v>
      </c>
      <c r="L183" s="197" t="s">
        <v>87</v>
      </c>
      <c r="M183" s="197" t="s">
        <v>163</v>
      </c>
      <c r="N183" s="99" t="s">
        <v>110</v>
      </c>
      <c r="O183" s="99"/>
      <c r="P183" s="99">
        <v>350</v>
      </c>
      <c r="Q183" s="99">
        <f t="shared" si="25"/>
        <v>350</v>
      </c>
      <c r="R183" s="102" t="s">
        <v>90</v>
      </c>
      <c r="S183" s="102" t="s">
        <v>91</v>
      </c>
      <c r="T183" s="102" t="s">
        <v>91</v>
      </c>
      <c r="U183" s="102" t="s">
        <v>90</v>
      </c>
      <c r="V183" s="102" t="s">
        <v>111</v>
      </c>
      <c r="W183" s="102"/>
      <c r="X183" s="102"/>
      <c r="Y183" s="102"/>
      <c r="Z183" s="102"/>
      <c r="AA183" s="102">
        <v>9</v>
      </c>
      <c r="AB183" s="102"/>
      <c r="AC183" s="197">
        <f t="shared" si="22"/>
        <v>9</v>
      </c>
      <c r="AD183" s="99">
        <f t="shared" si="21"/>
        <v>9</v>
      </c>
      <c r="AE183" s="99"/>
      <c r="AF183" s="99"/>
      <c r="AG183" s="99">
        <f t="shared" si="23"/>
        <v>9</v>
      </c>
      <c r="AH183" s="99">
        <f t="shared" si="24"/>
        <v>9</v>
      </c>
      <c r="AI183" s="99"/>
      <c r="AJ183" s="99"/>
      <c r="AK183" s="99"/>
      <c r="AL183" s="99"/>
      <c r="AM183" s="99">
        <f t="shared" si="20"/>
        <v>9</v>
      </c>
      <c r="AN183" s="102" t="s">
        <v>93</v>
      </c>
      <c r="AO183" s="102">
        <v>3</v>
      </c>
      <c r="AP183" s="99"/>
    </row>
    <row r="184" spans="1:42" ht="39" customHeight="1" x14ac:dyDescent="0.25">
      <c r="A184" s="99">
        <v>2241</v>
      </c>
      <c r="B184" s="242" t="s">
        <v>164</v>
      </c>
      <c r="C184" s="240">
        <v>101756000</v>
      </c>
      <c r="D184" s="99">
        <v>2011580660</v>
      </c>
      <c r="E184" s="99"/>
      <c r="F184" s="197" t="str">
        <f>VLOOKUP(D184,'rà soát ĐK'!B177:C627,2,0)</f>
        <v>PB04090032441</v>
      </c>
      <c r="G184" s="99" t="s">
        <v>2853</v>
      </c>
      <c r="H184" s="99" t="s">
        <v>166</v>
      </c>
      <c r="I184" s="239">
        <v>113434845</v>
      </c>
      <c r="J184" s="239">
        <v>1065741063</v>
      </c>
      <c r="K184" s="197" t="s">
        <v>167</v>
      </c>
      <c r="L184" s="197" t="s">
        <v>87</v>
      </c>
      <c r="M184" s="197" t="s">
        <v>168</v>
      </c>
      <c r="N184" s="99" t="s">
        <v>110</v>
      </c>
      <c r="O184" s="99"/>
      <c r="P184" s="99">
        <v>345</v>
      </c>
      <c r="Q184" s="99">
        <f t="shared" si="25"/>
        <v>345</v>
      </c>
      <c r="R184" s="102" t="s">
        <v>91</v>
      </c>
      <c r="S184" s="102" t="s">
        <v>90</v>
      </c>
      <c r="T184" s="102" t="s">
        <v>91</v>
      </c>
      <c r="U184" s="102" t="s">
        <v>90</v>
      </c>
      <c r="V184" s="102" t="s">
        <v>92</v>
      </c>
      <c r="W184" s="102"/>
      <c r="X184" s="102"/>
      <c r="Y184" s="102"/>
      <c r="Z184" s="102"/>
      <c r="AA184" s="102">
        <v>10</v>
      </c>
      <c r="AB184" s="102"/>
      <c r="AC184" s="197">
        <f t="shared" si="22"/>
        <v>10</v>
      </c>
      <c r="AD184" s="99">
        <f t="shared" si="21"/>
        <v>10</v>
      </c>
      <c r="AE184" s="99"/>
      <c r="AF184" s="99"/>
      <c r="AG184" s="99">
        <f t="shared" si="23"/>
        <v>10</v>
      </c>
      <c r="AH184" s="99">
        <f t="shared" si="24"/>
        <v>10</v>
      </c>
      <c r="AI184" s="99"/>
      <c r="AJ184" s="99"/>
      <c r="AK184" s="99"/>
      <c r="AL184" s="99"/>
      <c r="AM184" s="99">
        <f t="shared" si="20"/>
        <v>10</v>
      </c>
      <c r="AN184" s="102" t="s">
        <v>93</v>
      </c>
      <c r="AO184" s="102">
        <v>3</v>
      </c>
      <c r="AP184" s="99"/>
    </row>
    <row r="185" spans="1:42" ht="39" customHeight="1" x14ac:dyDescent="0.25">
      <c r="A185" s="99">
        <v>2242</v>
      </c>
      <c r="B185" s="242"/>
      <c r="C185" s="240"/>
      <c r="D185" s="99"/>
      <c r="E185" s="99"/>
      <c r="F185" s="197"/>
      <c r="G185" s="99"/>
      <c r="H185" s="99"/>
      <c r="I185" s="197"/>
      <c r="J185" s="197"/>
      <c r="K185" s="197" t="s">
        <v>169</v>
      </c>
      <c r="L185" s="197" t="s">
        <v>87</v>
      </c>
      <c r="M185" s="197"/>
      <c r="N185" s="99" t="s">
        <v>110</v>
      </c>
      <c r="O185" s="99"/>
      <c r="P185" s="99">
        <v>391</v>
      </c>
      <c r="Q185" s="99">
        <f t="shared" si="25"/>
        <v>391</v>
      </c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>
        <v>11</v>
      </c>
      <c r="AB185" s="102"/>
      <c r="AC185" s="197">
        <f t="shared" si="22"/>
        <v>11</v>
      </c>
      <c r="AD185" s="99">
        <f t="shared" si="21"/>
        <v>11</v>
      </c>
      <c r="AE185" s="99"/>
      <c r="AF185" s="99"/>
      <c r="AG185" s="99">
        <f t="shared" si="23"/>
        <v>11</v>
      </c>
      <c r="AH185" s="99">
        <f t="shared" si="24"/>
        <v>11</v>
      </c>
      <c r="AI185" s="99"/>
      <c r="AJ185" s="99"/>
      <c r="AK185" s="99"/>
      <c r="AL185" s="99"/>
      <c r="AM185" s="99">
        <f t="shared" si="20"/>
        <v>11</v>
      </c>
      <c r="AN185" s="102" t="s">
        <v>93</v>
      </c>
      <c r="AO185" s="102">
        <v>3</v>
      </c>
      <c r="AP185" s="99"/>
    </row>
    <row r="186" spans="1:42" ht="39" customHeight="1" x14ac:dyDescent="0.25">
      <c r="A186" s="99">
        <v>2243</v>
      </c>
      <c r="B186" s="242" t="s">
        <v>170</v>
      </c>
      <c r="C186" s="240">
        <v>101754000</v>
      </c>
      <c r="D186" s="99">
        <v>221100332323</v>
      </c>
      <c r="E186" s="99"/>
      <c r="F186" s="197" t="str">
        <f>VLOOKUP(D186,'rà soát ĐK'!B179:C629,2,0)</f>
        <v>PB04090028721</v>
      </c>
      <c r="G186" s="99" t="s">
        <v>2855</v>
      </c>
      <c r="H186" s="99" t="s">
        <v>172</v>
      </c>
      <c r="I186" s="239">
        <v>113406307</v>
      </c>
      <c r="J186" s="239">
        <v>1065734603</v>
      </c>
      <c r="K186" s="197" t="s">
        <v>173</v>
      </c>
      <c r="L186" s="197" t="s">
        <v>87</v>
      </c>
      <c r="M186" s="197" t="s">
        <v>174</v>
      </c>
      <c r="N186" s="99" t="s">
        <v>110</v>
      </c>
      <c r="O186" s="99"/>
      <c r="P186" s="99">
        <v>377</v>
      </c>
      <c r="Q186" s="99">
        <f t="shared" si="25"/>
        <v>377</v>
      </c>
      <c r="R186" s="102" t="s">
        <v>91</v>
      </c>
      <c r="S186" s="102" t="s">
        <v>90</v>
      </c>
      <c r="T186" s="102" t="s">
        <v>91</v>
      </c>
      <c r="U186" s="102" t="s">
        <v>90</v>
      </c>
      <c r="V186" s="102" t="s">
        <v>92</v>
      </c>
      <c r="W186" s="102"/>
      <c r="X186" s="102"/>
      <c r="Y186" s="102"/>
      <c r="Z186" s="102"/>
      <c r="AA186" s="102">
        <v>11</v>
      </c>
      <c r="AB186" s="102"/>
      <c r="AC186" s="197">
        <f t="shared" si="22"/>
        <v>11</v>
      </c>
      <c r="AD186" s="99">
        <f t="shared" si="21"/>
        <v>11</v>
      </c>
      <c r="AE186" s="99"/>
      <c r="AF186" s="99"/>
      <c r="AG186" s="99">
        <f t="shared" si="23"/>
        <v>11</v>
      </c>
      <c r="AH186" s="99">
        <f t="shared" si="24"/>
        <v>11</v>
      </c>
      <c r="AI186" s="99"/>
      <c r="AJ186" s="99"/>
      <c r="AK186" s="99"/>
      <c r="AL186" s="99"/>
      <c r="AM186" s="99">
        <f t="shared" si="20"/>
        <v>11</v>
      </c>
      <c r="AN186" s="102" t="s">
        <v>93</v>
      </c>
      <c r="AO186" s="102">
        <v>2</v>
      </c>
      <c r="AP186" s="99"/>
    </row>
    <row r="187" spans="1:42" ht="39" customHeight="1" x14ac:dyDescent="0.25">
      <c r="A187" s="99">
        <v>2244</v>
      </c>
      <c r="B187" s="242" t="s">
        <v>175</v>
      </c>
      <c r="C187" s="240">
        <v>101755000</v>
      </c>
      <c r="D187" s="99">
        <v>2320085155</v>
      </c>
      <c r="E187" s="99"/>
      <c r="F187" s="197" t="str">
        <f>VLOOKUP(D187,'rà soát ĐK'!B180:C630,2,0)</f>
        <v>PB04090028733</v>
      </c>
      <c r="G187" s="99" t="s">
        <v>2857</v>
      </c>
      <c r="H187" s="99" t="s">
        <v>177</v>
      </c>
      <c r="I187" s="239">
        <v>113435008</v>
      </c>
      <c r="J187" s="239">
        <v>1065730166</v>
      </c>
      <c r="K187" s="197" t="s">
        <v>178</v>
      </c>
      <c r="L187" s="197" t="s">
        <v>87</v>
      </c>
      <c r="M187" s="197" t="s">
        <v>179</v>
      </c>
      <c r="N187" s="99" t="s">
        <v>110</v>
      </c>
      <c r="O187" s="99"/>
      <c r="P187" s="99">
        <v>385</v>
      </c>
      <c r="Q187" s="99">
        <f t="shared" si="25"/>
        <v>385</v>
      </c>
      <c r="R187" s="102" t="s">
        <v>91</v>
      </c>
      <c r="S187" s="102" t="s">
        <v>90</v>
      </c>
      <c r="T187" s="102" t="s">
        <v>91</v>
      </c>
      <c r="U187" s="102" t="s">
        <v>90</v>
      </c>
      <c r="V187" s="102" t="s">
        <v>92</v>
      </c>
      <c r="W187" s="102"/>
      <c r="X187" s="102"/>
      <c r="Y187" s="102"/>
      <c r="Z187" s="102"/>
      <c r="AA187" s="102">
        <v>11</v>
      </c>
      <c r="AB187" s="102"/>
      <c r="AC187" s="197">
        <f t="shared" si="22"/>
        <v>11</v>
      </c>
      <c r="AD187" s="99">
        <f t="shared" si="21"/>
        <v>11</v>
      </c>
      <c r="AE187" s="99"/>
      <c r="AF187" s="99"/>
      <c r="AG187" s="99">
        <f t="shared" si="23"/>
        <v>11</v>
      </c>
      <c r="AH187" s="99">
        <f t="shared" si="24"/>
        <v>11</v>
      </c>
      <c r="AI187" s="99"/>
      <c r="AJ187" s="99"/>
      <c r="AK187" s="99"/>
      <c r="AL187" s="99"/>
      <c r="AM187" s="99">
        <f t="shared" si="20"/>
        <v>11</v>
      </c>
      <c r="AN187" s="102" t="s">
        <v>93</v>
      </c>
      <c r="AO187" s="102">
        <v>2</v>
      </c>
      <c r="AP187" s="99"/>
    </row>
    <row r="188" spans="1:42" ht="39" customHeight="1" x14ac:dyDescent="0.25">
      <c r="A188" s="99">
        <v>2245</v>
      </c>
      <c r="B188" s="242" t="s">
        <v>180</v>
      </c>
      <c r="C188" s="240">
        <v>101753000</v>
      </c>
      <c r="D188" s="99">
        <v>2011581488</v>
      </c>
      <c r="E188" s="99"/>
      <c r="F188" s="197" t="str">
        <f>VLOOKUP(D188,'rà soát ĐK'!B181:C631,2,0)</f>
        <v>PB04090032442</v>
      </c>
      <c r="G188" s="99" t="s">
        <v>2859</v>
      </c>
      <c r="H188" s="99" t="s">
        <v>182</v>
      </c>
      <c r="I188" s="239">
        <v>113430694</v>
      </c>
      <c r="J188" s="239">
        <v>1065721969</v>
      </c>
      <c r="K188" s="197" t="s">
        <v>183</v>
      </c>
      <c r="L188" s="197" t="s">
        <v>87</v>
      </c>
      <c r="M188" s="197" t="s">
        <v>184</v>
      </c>
      <c r="N188" s="99" t="s">
        <v>110</v>
      </c>
      <c r="O188" s="99"/>
      <c r="P188" s="99">
        <v>338</v>
      </c>
      <c r="Q188" s="99">
        <f t="shared" si="25"/>
        <v>338</v>
      </c>
      <c r="R188" s="102" t="s">
        <v>90</v>
      </c>
      <c r="S188" s="102" t="s">
        <v>91</v>
      </c>
      <c r="T188" s="102" t="s">
        <v>91</v>
      </c>
      <c r="U188" s="102" t="s">
        <v>90</v>
      </c>
      <c r="V188" s="102" t="s">
        <v>111</v>
      </c>
      <c r="W188" s="102"/>
      <c r="X188" s="102"/>
      <c r="Y188" s="102"/>
      <c r="Z188" s="102"/>
      <c r="AA188" s="102">
        <v>9</v>
      </c>
      <c r="AB188" s="102"/>
      <c r="AC188" s="197">
        <f t="shared" si="22"/>
        <v>9</v>
      </c>
      <c r="AD188" s="99">
        <f t="shared" si="21"/>
        <v>9</v>
      </c>
      <c r="AE188" s="99"/>
      <c r="AF188" s="99"/>
      <c r="AG188" s="99">
        <f t="shared" si="23"/>
        <v>9</v>
      </c>
      <c r="AH188" s="99">
        <f t="shared" si="24"/>
        <v>9</v>
      </c>
      <c r="AI188" s="99"/>
      <c r="AJ188" s="99"/>
      <c r="AK188" s="99"/>
      <c r="AL188" s="99"/>
      <c r="AM188" s="99">
        <f t="shared" si="20"/>
        <v>9</v>
      </c>
      <c r="AN188" s="102" t="s">
        <v>185</v>
      </c>
      <c r="AO188" s="102">
        <v>3</v>
      </c>
      <c r="AP188" s="99"/>
    </row>
    <row r="189" spans="1:42" ht="39" customHeight="1" x14ac:dyDescent="0.25">
      <c r="A189" s="99">
        <v>2246</v>
      </c>
      <c r="B189" s="242"/>
      <c r="C189" s="240"/>
      <c r="D189" s="99"/>
      <c r="E189" s="99"/>
      <c r="F189" s="197"/>
      <c r="G189" s="99"/>
      <c r="H189" s="99"/>
      <c r="I189" s="197"/>
      <c r="J189" s="197"/>
      <c r="K189" s="197" t="s">
        <v>186</v>
      </c>
      <c r="L189" s="197" t="s">
        <v>87</v>
      </c>
      <c r="M189" s="197"/>
      <c r="N189" s="99" t="s">
        <v>110</v>
      </c>
      <c r="O189" s="99"/>
      <c r="P189" s="99">
        <v>407</v>
      </c>
      <c r="Q189" s="99">
        <f t="shared" si="25"/>
        <v>407</v>
      </c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>
        <v>11</v>
      </c>
      <c r="AB189" s="102"/>
      <c r="AC189" s="197">
        <f t="shared" si="22"/>
        <v>11</v>
      </c>
      <c r="AD189" s="99">
        <f t="shared" si="21"/>
        <v>11</v>
      </c>
      <c r="AE189" s="99"/>
      <c r="AF189" s="99"/>
      <c r="AG189" s="99">
        <f t="shared" si="23"/>
        <v>11</v>
      </c>
      <c r="AH189" s="99">
        <f t="shared" si="24"/>
        <v>11</v>
      </c>
      <c r="AI189" s="99"/>
      <c r="AJ189" s="99"/>
      <c r="AK189" s="99"/>
      <c r="AL189" s="99"/>
      <c r="AM189" s="99">
        <f t="shared" si="20"/>
        <v>11</v>
      </c>
      <c r="AN189" s="102" t="s">
        <v>185</v>
      </c>
      <c r="AO189" s="102">
        <v>3</v>
      </c>
      <c r="AP189" s="99" t="s">
        <v>1637</v>
      </c>
    </row>
    <row r="190" spans="1:42" ht="39" customHeight="1" x14ac:dyDescent="0.25">
      <c r="A190" s="99">
        <v>2247</v>
      </c>
      <c r="B190" s="242" t="s">
        <v>188</v>
      </c>
      <c r="C190" s="240">
        <v>101751000</v>
      </c>
      <c r="D190" s="99">
        <v>2320105427</v>
      </c>
      <c r="E190" s="99"/>
      <c r="F190" s="197" t="str">
        <f>VLOOKUP(D190,'rà soát ĐK'!B183:C633,2,0)</f>
        <v>PB04090030089</v>
      </c>
      <c r="G190" s="99" t="s">
        <v>2861</v>
      </c>
      <c r="H190" s="99" t="s">
        <v>190</v>
      </c>
      <c r="I190" s="239">
        <v>113412964</v>
      </c>
      <c r="J190" s="239">
        <v>1065712611</v>
      </c>
      <c r="K190" s="197" t="s">
        <v>191</v>
      </c>
      <c r="L190" s="197" t="s">
        <v>87</v>
      </c>
      <c r="M190" s="197" t="s">
        <v>192</v>
      </c>
      <c r="N190" s="99" t="s">
        <v>110</v>
      </c>
      <c r="O190" s="99"/>
      <c r="P190" s="99">
        <v>456</v>
      </c>
      <c r="Q190" s="99">
        <f t="shared" si="25"/>
        <v>456</v>
      </c>
      <c r="R190" s="102" t="s">
        <v>90</v>
      </c>
      <c r="S190" s="102" t="s">
        <v>91</v>
      </c>
      <c r="T190" s="102" t="s">
        <v>91</v>
      </c>
      <c r="U190" s="102" t="s">
        <v>90</v>
      </c>
      <c r="V190" s="102" t="s">
        <v>92</v>
      </c>
      <c r="W190" s="102"/>
      <c r="X190" s="102"/>
      <c r="Y190" s="102"/>
      <c r="Z190" s="102"/>
      <c r="AA190" s="102">
        <v>12</v>
      </c>
      <c r="AB190" s="102"/>
      <c r="AC190" s="197">
        <f t="shared" si="22"/>
        <v>12</v>
      </c>
      <c r="AD190" s="99">
        <f t="shared" si="21"/>
        <v>12</v>
      </c>
      <c r="AE190" s="99"/>
      <c r="AF190" s="99"/>
      <c r="AG190" s="99">
        <f t="shared" si="23"/>
        <v>12</v>
      </c>
      <c r="AH190" s="99">
        <f t="shared" si="24"/>
        <v>12</v>
      </c>
      <c r="AI190" s="99"/>
      <c r="AJ190" s="99"/>
      <c r="AK190" s="99"/>
      <c r="AL190" s="99"/>
      <c r="AM190" s="99">
        <f t="shared" si="20"/>
        <v>12</v>
      </c>
      <c r="AN190" s="102" t="s">
        <v>185</v>
      </c>
      <c r="AO190" s="102">
        <v>3</v>
      </c>
      <c r="AP190" s="99"/>
    </row>
    <row r="191" spans="1:42" ht="39" customHeight="1" x14ac:dyDescent="0.25">
      <c r="A191" s="99">
        <v>2248</v>
      </c>
      <c r="B191" s="242" t="s">
        <v>193</v>
      </c>
      <c r="C191" s="240">
        <v>101752000</v>
      </c>
      <c r="D191" s="99">
        <v>2011580669</v>
      </c>
      <c r="E191" s="99"/>
      <c r="F191" s="197" t="str">
        <f>VLOOKUP(D191,'rà soát ĐK'!B184:C634,2,0)</f>
        <v>PB04090032443</v>
      </c>
      <c r="G191" s="99" t="s">
        <v>2863</v>
      </c>
      <c r="H191" s="99" t="s">
        <v>195</v>
      </c>
      <c r="I191" s="239">
        <v>113427639</v>
      </c>
      <c r="J191" s="239">
        <v>1065711067</v>
      </c>
      <c r="K191" s="197" t="s">
        <v>196</v>
      </c>
      <c r="L191" s="197" t="s">
        <v>87</v>
      </c>
      <c r="M191" s="197" t="s">
        <v>197</v>
      </c>
      <c r="N191" s="99" t="s">
        <v>198</v>
      </c>
      <c r="O191" s="99"/>
      <c r="P191" s="99">
        <v>290</v>
      </c>
      <c r="Q191" s="99">
        <f t="shared" si="25"/>
        <v>290</v>
      </c>
      <c r="R191" s="102" t="s">
        <v>91</v>
      </c>
      <c r="S191" s="102" t="s">
        <v>90</v>
      </c>
      <c r="T191" s="102" t="s">
        <v>91</v>
      </c>
      <c r="U191" s="102" t="s">
        <v>90</v>
      </c>
      <c r="V191" s="102" t="s">
        <v>111</v>
      </c>
      <c r="W191" s="102"/>
      <c r="X191" s="102"/>
      <c r="Y191" s="102"/>
      <c r="Z191" s="102"/>
      <c r="AA191" s="102">
        <v>5</v>
      </c>
      <c r="AB191" s="102"/>
      <c r="AC191" s="197">
        <f t="shared" si="22"/>
        <v>5</v>
      </c>
      <c r="AD191" s="99">
        <f t="shared" si="21"/>
        <v>5</v>
      </c>
      <c r="AE191" s="99"/>
      <c r="AF191" s="99"/>
      <c r="AG191" s="99">
        <f t="shared" si="23"/>
        <v>5</v>
      </c>
      <c r="AH191" s="99">
        <f t="shared" si="24"/>
        <v>5</v>
      </c>
      <c r="AI191" s="99"/>
      <c r="AJ191" s="99"/>
      <c r="AK191" s="99"/>
      <c r="AL191" s="99"/>
      <c r="AM191" s="99">
        <f t="shared" si="20"/>
        <v>5</v>
      </c>
      <c r="AN191" s="102" t="s">
        <v>185</v>
      </c>
      <c r="AO191" s="102">
        <v>3</v>
      </c>
      <c r="AP191" s="99"/>
    </row>
    <row r="192" spans="1:42" ht="39" customHeight="1" x14ac:dyDescent="0.25">
      <c r="A192" s="99">
        <v>2249</v>
      </c>
      <c r="B192" s="242" t="s">
        <v>199</v>
      </c>
      <c r="C192" s="240">
        <v>101749000</v>
      </c>
      <c r="D192" s="99">
        <v>221100332305</v>
      </c>
      <c r="E192" s="99"/>
      <c r="F192" s="197" t="str">
        <f>VLOOKUP(D192,'rà soát ĐK'!B185:C635,2,0)</f>
        <v>PB04090028732</v>
      </c>
      <c r="G192" s="99" t="s">
        <v>2865</v>
      </c>
      <c r="H192" s="99" t="s">
        <v>201</v>
      </c>
      <c r="I192" s="239">
        <v>113425892</v>
      </c>
      <c r="J192" s="239">
        <v>1065699054</v>
      </c>
      <c r="K192" s="197" t="s">
        <v>202</v>
      </c>
      <c r="L192" s="197" t="s">
        <v>87</v>
      </c>
      <c r="M192" s="197" t="s">
        <v>203</v>
      </c>
      <c r="N192" s="99" t="s">
        <v>110</v>
      </c>
      <c r="O192" s="99"/>
      <c r="P192" s="99">
        <v>480</v>
      </c>
      <c r="Q192" s="99">
        <f t="shared" si="25"/>
        <v>480</v>
      </c>
      <c r="R192" s="102" t="s">
        <v>91</v>
      </c>
      <c r="S192" s="102" t="s">
        <v>90</v>
      </c>
      <c r="T192" s="102" t="s">
        <v>91</v>
      </c>
      <c r="U192" s="102" t="s">
        <v>90</v>
      </c>
      <c r="V192" s="102" t="s">
        <v>92</v>
      </c>
      <c r="W192" s="102"/>
      <c r="X192" s="102"/>
      <c r="Y192" s="102"/>
      <c r="Z192" s="102"/>
      <c r="AA192" s="102">
        <v>13</v>
      </c>
      <c r="AB192" s="102"/>
      <c r="AC192" s="197">
        <f t="shared" si="22"/>
        <v>13</v>
      </c>
      <c r="AD192" s="99">
        <f t="shared" si="21"/>
        <v>13</v>
      </c>
      <c r="AE192" s="99"/>
      <c r="AF192" s="99"/>
      <c r="AG192" s="99">
        <f t="shared" si="23"/>
        <v>13</v>
      </c>
      <c r="AH192" s="99">
        <f t="shared" si="24"/>
        <v>13</v>
      </c>
      <c r="AI192" s="99"/>
      <c r="AJ192" s="99"/>
      <c r="AK192" s="99"/>
      <c r="AL192" s="99"/>
      <c r="AM192" s="99">
        <f t="shared" si="20"/>
        <v>13</v>
      </c>
      <c r="AN192" s="102" t="s">
        <v>93</v>
      </c>
      <c r="AO192" s="102">
        <v>2</v>
      </c>
      <c r="AP192" s="99"/>
    </row>
    <row r="193" spans="1:52" ht="39" customHeight="1" x14ac:dyDescent="0.25">
      <c r="A193" s="99">
        <v>2250</v>
      </c>
      <c r="B193" s="242" t="s">
        <v>204</v>
      </c>
      <c r="C193" s="240">
        <v>101750000</v>
      </c>
      <c r="D193" s="99">
        <v>221100332309</v>
      </c>
      <c r="E193" s="99"/>
      <c r="F193" s="197" t="str">
        <f>VLOOKUP(D193,'rà soát ĐK'!B186:C636,2,0)</f>
        <v>PB04090028731</v>
      </c>
      <c r="G193" s="99" t="s">
        <v>2867</v>
      </c>
      <c r="H193" s="99" t="s">
        <v>206</v>
      </c>
      <c r="I193" s="239">
        <v>113424616</v>
      </c>
      <c r="J193" s="239">
        <v>1065699234</v>
      </c>
      <c r="K193" s="197" t="s">
        <v>207</v>
      </c>
      <c r="L193" s="197" t="s">
        <v>87</v>
      </c>
      <c r="M193" s="197" t="s">
        <v>208</v>
      </c>
      <c r="N193" s="99" t="s">
        <v>110</v>
      </c>
      <c r="O193" s="99"/>
      <c r="P193" s="99">
        <v>358</v>
      </c>
      <c r="Q193" s="99">
        <f t="shared" si="25"/>
        <v>358</v>
      </c>
      <c r="R193" s="102" t="s">
        <v>91</v>
      </c>
      <c r="S193" s="102" t="s">
        <v>90</v>
      </c>
      <c r="T193" s="102" t="s">
        <v>91</v>
      </c>
      <c r="U193" s="102" t="s">
        <v>90</v>
      </c>
      <c r="V193" s="102" t="s">
        <v>92</v>
      </c>
      <c r="W193" s="102"/>
      <c r="X193" s="102"/>
      <c r="Y193" s="102"/>
      <c r="Z193" s="102"/>
      <c r="AA193" s="102">
        <v>10</v>
      </c>
      <c r="AB193" s="102"/>
      <c r="AC193" s="197">
        <f t="shared" si="22"/>
        <v>10</v>
      </c>
      <c r="AD193" s="99">
        <f t="shared" si="21"/>
        <v>10</v>
      </c>
      <c r="AE193" s="99"/>
      <c r="AF193" s="99"/>
      <c r="AG193" s="99">
        <f t="shared" si="23"/>
        <v>10</v>
      </c>
      <c r="AH193" s="99">
        <f t="shared" si="24"/>
        <v>10</v>
      </c>
      <c r="AI193" s="99"/>
      <c r="AJ193" s="99"/>
      <c r="AK193" s="99"/>
      <c r="AL193" s="99"/>
      <c r="AM193" s="99">
        <f t="shared" si="20"/>
        <v>10</v>
      </c>
      <c r="AN193" s="102" t="s">
        <v>93</v>
      </c>
      <c r="AO193" s="102">
        <v>2</v>
      </c>
      <c r="AP193" s="99"/>
    </row>
    <row r="194" spans="1:52" ht="39" customHeight="1" x14ac:dyDescent="0.25">
      <c r="A194" s="99">
        <v>2251</v>
      </c>
      <c r="B194" s="242" t="s">
        <v>100</v>
      </c>
      <c r="C194" s="240"/>
      <c r="D194" s="99"/>
      <c r="E194" s="99"/>
      <c r="F194" s="197"/>
      <c r="G194" s="99"/>
      <c r="H194" s="99"/>
      <c r="I194" s="197"/>
      <c r="J194" s="197"/>
      <c r="K194" s="197" t="s">
        <v>209</v>
      </c>
      <c r="L194" s="197" t="s">
        <v>87</v>
      </c>
      <c r="M194" s="197" t="s">
        <v>103</v>
      </c>
      <c r="N194" s="99" t="s">
        <v>210</v>
      </c>
      <c r="O194" s="99"/>
      <c r="P194" s="99">
        <v>341</v>
      </c>
      <c r="Q194" s="99">
        <f t="shared" si="25"/>
        <v>341</v>
      </c>
      <c r="R194" s="102" t="s">
        <v>90</v>
      </c>
      <c r="S194" s="102" t="s">
        <v>91</v>
      </c>
      <c r="T194" s="102" t="s">
        <v>91</v>
      </c>
      <c r="U194" s="102" t="s">
        <v>90</v>
      </c>
      <c r="V194" s="102" t="s">
        <v>92</v>
      </c>
      <c r="W194" s="102"/>
      <c r="X194" s="102">
        <v>5</v>
      </c>
      <c r="Y194" s="102"/>
      <c r="Z194" s="102"/>
      <c r="AA194" s="102"/>
      <c r="AB194" s="102"/>
      <c r="AC194" s="197">
        <f t="shared" si="22"/>
        <v>5</v>
      </c>
      <c r="AD194" s="99">
        <f t="shared" si="21"/>
        <v>5</v>
      </c>
      <c r="AE194" s="99"/>
      <c r="AF194" s="99"/>
      <c r="AG194" s="99">
        <f t="shared" si="23"/>
        <v>5</v>
      </c>
      <c r="AH194" s="99">
        <f t="shared" si="24"/>
        <v>5</v>
      </c>
      <c r="AI194" s="99"/>
      <c r="AJ194" s="99"/>
      <c r="AK194" s="99"/>
      <c r="AL194" s="99"/>
      <c r="AM194" s="99">
        <f t="shared" si="20"/>
        <v>5</v>
      </c>
      <c r="AN194" s="102" t="s">
        <v>93</v>
      </c>
      <c r="AO194" s="102">
        <v>3</v>
      </c>
      <c r="AP194" s="99" t="s">
        <v>1628</v>
      </c>
    </row>
    <row r="195" spans="1:52" ht="39" customHeight="1" x14ac:dyDescent="0.25">
      <c r="A195" s="99">
        <v>2252</v>
      </c>
      <c r="B195" s="242" t="s">
        <v>212</v>
      </c>
      <c r="C195" s="240">
        <v>101743000</v>
      </c>
      <c r="D195" s="99">
        <v>221100332308</v>
      </c>
      <c r="E195" s="99"/>
      <c r="F195" s="197" t="str">
        <f>VLOOKUP(D195,'rà soát ĐK'!B188:C638,2,0)</f>
        <v>PB04090028730</v>
      </c>
      <c r="G195" s="99" t="s">
        <v>2869</v>
      </c>
      <c r="H195" s="99" t="s">
        <v>214</v>
      </c>
      <c r="I195" s="239">
        <v>113430801</v>
      </c>
      <c r="J195" s="239">
        <v>1065689762</v>
      </c>
      <c r="K195" s="197" t="s">
        <v>215</v>
      </c>
      <c r="L195" s="197" t="s">
        <v>87</v>
      </c>
      <c r="M195" s="197" t="s">
        <v>216</v>
      </c>
      <c r="N195" s="99" t="s">
        <v>110</v>
      </c>
      <c r="O195" s="99"/>
      <c r="P195" s="99">
        <f>350+39</f>
        <v>389</v>
      </c>
      <c r="Q195" s="99">
        <f t="shared" si="25"/>
        <v>389</v>
      </c>
      <c r="R195" s="102" t="s">
        <v>91</v>
      </c>
      <c r="S195" s="102" t="s">
        <v>90</v>
      </c>
      <c r="T195" s="102" t="s">
        <v>91</v>
      </c>
      <c r="U195" s="102" t="s">
        <v>90</v>
      </c>
      <c r="V195" s="102" t="s">
        <v>111</v>
      </c>
      <c r="W195" s="102"/>
      <c r="X195" s="102"/>
      <c r="Y195" s="102"/>
      <c r="Z195" s="102"/>
      <c r="AA195" s="102">
        <v>11</v>
      </c>
      <c r="AB195" s="102"/>
      <c r="AC195" s="197">
        <f t="shared" si="22"/>
        <v>11</v>
      </c>
      <c r="AD195" s="99">
        <f t="shared" si="21"/>
        <v>11</v>
      </c>
      <c r="AE195" s="99"/>
      <c r="AF195" s="99"/>
      <c r="AG195" s="99">
        <f t="shared" si="23"/>
        <v>11</v>
      </c>
      <c r="AH195" s="99">
        <f t="shared" si="24"/>
        <v>11</v>
      </c>
      <c r="AI195" s="99"/>
      <c r="AJ195" s="99"/>
      <c r="AK195" s="99"/>
      <c r="AL195" s="99"/>
      <c r="AM195" s="99">
        <f t="shared" si="20"/>
        <v>11</v>
      </c>
      <c r="AN195" s="102" t="s">
        <v>93</v>
      </c>
      <c r="AO195" s="102">
        <v>3</v>
      </c>
      <c r="AP195" s="99"/>
    </row>
    <row r="196" spans="1:52" ht="39" customHeight="1" x14ac:dyDescent="0.25">
      <c r="A196" s="99">
        <v>2253</v>
      </c>
      <c r="B196" s="242" t="s">
        <v>217</v>
      </c>
      <c r="C196" s="240">
        <v>101742000</v>
      </c>
      <c r="D196" s="118" t="s">
        <v>1650</v>
      </c>
      <c r="E196" s="118"/>
      <c r="F196" s="197" t="str">
        <f>VLOOKUP(D196,'rà soát ĐK'!B189:C639,2,0)</f>
        <v>PB04090032444</v>
      </c>
      <c r="G196" s="118" t="s">
        <v>2871</v>
      </c>
      <c r="H196" s="99" t="s">
        <v>218</v>
      </c>
      <c r="I196" s="239">
        <v>113422405</v>
      </c>
      <c r="J196" s="239">
        <v>1065682863</v>
      </c>
      <c r="K196" s="197" t="s">
        <v>219</v>
      </c>
      <c r="L196" s="197" t="s">
        <v>87</v>
      </c>
      <c r="M196" s="197" t="s">
        <v>220</v>
      </c>
      <c r="N196" s="99" t="s">
        <v>221</v>
      </c>
      <c r="O196" s="99"/>
      <c r="P196" s="99">
        <v>327</v>
      </c>
      <c r="Q196" s="99">
        <f t="shared" si="25"/>
        <v>327</v>
      </c>
      <c r="R196" s="102" t="s">
        <v>91</v>
      </c>
      <c r="S196" s="102" t="s">
        <v>90</v>
      </c>
      <c r="T196" s="102" t="s">
        <v>91</v>
      </c>
      <c r="U196" s="102" t="s">
        <v>90</v>
      </c>
      <c r="V196" s="102" t="s">
        <v>92</v>
      </c>
      <c r="W196" s="102"/>
      <c r="X196" s="102"/>
      <c r="Y196" s="102"/>
      <c r="Z196" s="102"/>
      <c r="AA196" s="102">
        <v>10</v>
      </c>
      <c r="AB196" s="102"/>
      <c r="AC196" s="197">
        <f t="shared" si="22"/>
        <v>10</v>
      </c>
      <c r="AD196" s="99">
        <f t="shared" si="21"/>
        <v>10</v>
      </c>
      <c r="AE196" s="99"/>
      <c r="AF196" s="99"/>
      <c r="AG196" s="99">
        <f t="shared" si="23"/>
        <v>10</v>
      </c>
      <c r="AH196" s="99">
        <f t="shared" si="24"/>
        <v>10</v>
      </c>
      <c r="AI196" s="99"/>
      <c r="AJ196" s="99"/>
      <c r="AK196" s="99"/>
      <c r="AL196" s="99"/>
      <c r="AM196" s="99">
        <f t="shared" si="20"/>
        <v>10</v>
      </c>
      <c r="AN196" s="102" t="s">
        <v>93</v>
      </c>
      <c r="AO196" s="102">
        <v>3</v>
      </c>
      <c r="AP196" s="99"/>
    </row>
    <row r="197" spans="1:52" ht="39" customHeight="1" x14ac:dyDescent="0.25">
      <c r="A197" s="99">
        <v>2254</v>
      </c>
      <c r="B197" s="242"/>
      <c r="C197" s="240"/>
      <c r="D197" s="99"/>
      <c r="E197" s="99"/>
      <c r="F197" s="197"/>
      <c r="G197" s="99"/>
      <c r="H197" s="99"/>
      <c r="I197" s="197"/>
      <c r="J197" s="197"/>
      <c r="K197" s="197" t="s">
        <v>222</v>
      </c>
      <c r="L197" s="197" t="s">
        <v>87</v>
      </c>
      <c r="M197" s="197"/>
      <c r="N197" s="99" t="s">
        <v>223</v>
      </c>
      <c r="O197" s="99"/>
      <c r="P197" s="99">
        <v>230</v>
      </c>
      <c r="Q197" s="99">
        <f t="shared" si="25"/>
        <v>230</v>
      </c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>
        <v>6</v>
      </c>
      <c r="AB197" s="102"/>
      <c r="AC197" s="197">
        <f t="shared" si="22"/>
        <v>6</v>
      </c>
      <c r="AD197" s="99">
        <f t="shared" si="21"/>
        <v>6</v>
      </c>
      <c r="AE197" s="99"/>
      <c r="AF197" s="99"/>
      <c r="AG197" s="99">
        <f t="shared" si="23"/>
        <v>6</v>
      </c>
      <c r="AH197" s="99">
        <f t="shared" si="24"/>
        <v>6</v>
      </c>
      <c r="AI197" s="99"/>
      <c r="AJ197" s="99"/>
      <c r="AK197" s="99"/>
      <c r="AL197" s="99"/>
      <c r="AM197" s="99">
        <f t="shared" si="20"/>
        <v>6</v>
      </c>
      <c r="AN197" s="102" t="s">
        <v>93</v>
      </c>
      <c r="AO197" s="102">
        <v>3</v>
      </c>
      <c r="AP197" s="99" t="s">
        <v>1638</v>
      </c>
    </row>
    <row r="198" spans="1:52" ht="39" customHeight="1" x14ac:dyDescent="0.25">
      <c r="A198" s="99">
        <v>2255</v>
      </c>
      <c r="B198" s="242" t="s">
        <v>225</v>
      </c>
      <c r="C198" s="240">
        <v>102272000</v>
      </c>
      <c r="D198" s="99">
        <v>23901594</v>
      </c>
      <c r="E198" s="99"/>
      <c r="F198" s="197" t="str">
        <f>VLOOKUP(D198,'rà soát ĐK'!B191:C641,2,0)</f>
        <v>PB04090026172</v>
      </c>
      <c r="G198" s="99" t="s">
        <v>2873</v>
      </c>
      <c r="H198" s="99" t="s">
        <v>227</v>
      </c>
      <c r="I198" s="239">
        <v>1134619210382090</v>
      </c>
      <c r="J198" s="239">
        <v>1.0656848377558E+16</v>
      </c>
      <c r="K198" s="197" t="s">
        <v>228</v>
      </c>
      <c r="L198" s="197" t="s">
        <v>87</v>
      </c>
      <c r="M198" s="197" t="s">
        <v>229</v>
      </c>
      <c r="N198" s="99" t="s">
        <v>230</v>
      </c>
      <c r="O198" s="99"/>
      <c r="P198" s="99">
        <v>1550</v>
      </c>
      <c r="Q198" s="99">
        <f t="shared" si="25"/>
        <v>1550</v>
      </c>
      <c r="R198" s="102" t="s">
        <v>91</v>
      </c>
      <c r="S198" s="102" t="s">
        <v>90</v>
      </c>
      <c r="T198" s="102" t="s">
        <v>91</v>
      </c>
      <c r="U198" s="102" t="s">
        <v>90</v>
      </c>
      <c r="V198" s="102" t="s">
        <v>111</v>
      </c>
      <c r="W198" s="102"/>
      <c r="X198" s="102">
        <v>26</v>
      </c>
      <c r="Y198" s="102"/>
      <c r="Z198" s="102"/>
      <c r="AA198" s="102"/>
      <c r="AB198" s="102"/>
      <c r="AC198" s="197">
        <f t="shared" si="22"/>
        <v>26</v>
      </c>
      <c r="AD198" s="99">
        <f t="shared" si="21"/>
        <v>26</v>
      </c>
      <c r="AE198" s="99"/>
      <c r="AF198" s="99"/>
      <c r="AG198" s="99">
        <f t="shared" si="23"/>
        <v>26</v>
      </c>
      <c r="AH198" s="99">
        <f t="shared" si="24"/>
        <v>26</v>
      </c>
      <c r="AI198" s="99"/>
      <c r="AJ198" s="99"/>
      <c r="AK198" s="99"/>
      <c r="AL198" s="99"/>
      <c r="AM198" s="99">
        <f t="shared" si="20"/>
        <v>26</v>
      </c>
      <c r="AN198" s="102" t="s">
        <v>93</v>
      </c>
      <c r="AO198" s="102">
        <v>3</v>
      </c>
      <c r="AP198" s="99"/>
    </row>
    <row r="199" spans="1:52" ht="39" customHeight="1" x14ac:dyDescent="0.25">
      <c r="A199" s="99">
        <v>2256</v>
      </c>
      <c r="B199" s="242" t="s">
        <v>231</v>
      </c>
      <c r="C199" s="240">
        <v>101791000</v>
      </c>
      <c r="D199" s="99">
        <v>221100338952</v>
      </c>
      <c r="E199" s="99"/>
      <c r="F199" s="197" t="str">
        <f>VLOOKUP(D199,'rà soát ĐK'!B192:C642,2,0)</f>
        <v>PB04090028737</v>
      </c>
      <c r="G199" s="99" t="s">
        <v>2875</v>
      </c>
      <c r="H199" s="99" t="s">
        <v>233</v>
      </c>
      <c r="I199" s="239">
        <v>113402417</v>
      </c>
      <c r="J199" s="239">
        <v>1065632833</v>
      </c>
      <c r="K199" s="197" t="s">
        <v>234</v>
      </c>
      <c r="L199" s="197" t="s">
        <v>87</v>
      </c>
      <c r="M199" s="197" t="s">
        <v>235</v>
      </c>
      <c r="N199" s="99" t="s">
        <v>236</v>
      </c>
      <c r="O199" s="99"/>
      <c r="P199" s="99">
        <v>250</v>
      </c>
      <c r="Q199" s="99">
        <f t="shared" si="25"/>
        <v>250</v>
      </c>
      <c r="R199" s="102" t="s">
        <v>91</v>
      </c>
      <c r="S199" s="102" t="s">
        <v>90</v>
      </c>
      <c r="T199" s="102" t="s">
        <v>91</v>
      </c>
      <c r="U199" s="102" t="s">
        <v>90</v>
      </c>
      <c r="V199" s="102" t="s">
        <v>111</v>
      </c>
      <c r="W199" s="102"/>
      <c r="X199" s="102"/>
      <c r="Y199" s="102"/>
      <c r="Z199" s="102"/>
      <c r="AA199" s="102">
        <v>6</v>
      </c>
      <c r="AB199" s="102"/>
      <c r="AC199" s="197">
        <f t="shared" si="22"/>
        <v>6</v>
      </c>
      <c r="AD199" s="99">
        <f t="shared" si="21"/>
        <v>6</v>
      </c>
      <c r="AE199" s="99"/>
      <c r="AF199" s="99"/>
      <c r="AG199" s="99">
        <f t="shared" si="23"/>
        <v>6</v>
      </c>
      <c r="AH199" s="99">
        <f t="shared" si="24"/>
        <v>6</v>
      </c>
      <c r="AI199" s="99"/>
      <c r="AJ199" s="99"/>
      <c r="AK199" s="99"/>
      <c r="AL199" s="99"/>
      <c r="AM199" s="99">
        <f t="shared" si="20"/>
        <v>6</v>
      </c>
      <c r="AN199" s="102" t="s">
        <v>93</v>
      </c>
      <c r="AO199" s="102">
        <v>3</v>
      </c>
      <c r="AP199" s="99"/>
    </row>
    <row r="200" spans="1:52" ht="39" customHeight="1" x14ac:dyDescent="0.25">
      <c r="A200" s="99">
        <v>2257</v>
      </c>
      <c r="B200" s="242" t="s">
        <v>237</v>
      </c>
      <c r="C200" s="240">
        <v>101719000</v>
      </c>
      <c r="D200" s="99">
        <v>1511187169</v>
      </c>
      <c r="E200" s="99"/>
      <c r="F200" s="197" t="str">
        <f>VLOOKUP(D200,'rà soát ĐK'!B193:C643,2,0)</f>
        <v>PB04090032445</v>
      </c>
      <c r="G200" s="99" t="s">
        <v>2877</v>
      </c>
      <c r="H200" s="103" t="s">
        <v>239</v>
      </c>
      <c r="I200" s="251">
        <v>113393666</v>
      </c>
      <c r="J200" s="251">
        <v>1065590379</v>
      </c>
      <c r="K200" s="197" t="s">
        <v>240</v>
      </c>
      <c r="L200" s="197" t="s">
        <v>87</v>
      </c>
      <c r="M200" s="197" t="s">
        <v>241</v>
      </c>
      <c r="N200" s="99" t="s">
        <v>110</v>
      </c>
      <c r="O200" s="99"/>
      <c r="P200" s="99">
        <v>240</v>
      </c>
      <c r="Q200" s="99">
        <f t="shared" si="25"/>
        <v>240</v>
      </c>
      <c r="R200" s="102" t="s">
        <v>91</v>
      </c>
      <c r="S200" s="102" t="s">
        <v>90</v>
      </c>
      <c r="T200" s="102" t="s">
        <v>91</v>
      </c>
      <c r="U200" s="102" t="s">
        <v>90</v>
      </c>
      <c r="V200" s="102" t="s">
        <v>92</v>
      </c>
      <c r="W200" s="102"/>
      <c r="X200" s="102"/>
      <c r="Y200" s="102"/>
      <c r="Z200" s="102"/>
      <c r="AA200" s="102">
        <v>8</v>
      </c>
      <c r="AB200" s="102"/>
      <c r="AC200" s="197">
        <f t="shared" ref="AC200:AC231" si="26">W200+X200+Y200+Z200+AA200+AB200</f>
        <v>8</v>
      </c>
      <c r="AD200" s="99">
        <f t="shared" si="21"/>
        <v>8</v>
      </c>
      <c r="AE200" s="99"/>
      <c r="AF200" s="99"/>
      <c r="AG200" s="99">
        <f t="shared" ref="AG200:AG231" si="27">AF200+AE200+AD200</f>
        <v>8</v>
      </c>
      <c r="AH200" s="99">
        <f t="shared" ref="AH200:AH231" si="28">AC200</f>
        <v>8</v>
      </c>
      <c r="AI200" s="99"/>
      <c r="AJ200" s="99"/>
      <c r="AK200" s="99"/>
      <c r="AL200" s="99"/>
      <c r="AM200" s="99">
        <f t="shared" si="20"/>
        <v>8</v>
      </c>
      <c r="AN200" s="102" t="s">
        <v>93</v>
      </c>
      <c r="AO200" s="102">
        <v>3</v>
      </c>
      <c r="AP200" s="99"/>
    </row>
    <row r="201" spans="1:52" s="105" customFormat="1" ht="28.5" customHeight="1" x14ac:dyDescent="0.25">
      <c r="A201" s="99">
        <v>2258</v>
      </c>
      <c r="B201" s="242" t="s">
        <v>242</v>
      </c>
      <c r="C201" s="240">
        <v>101717000</v>
      </c>
      <c r="D201" s="18" t="s">
        <v>1651</v>
      </c>
      <c r="E201" s="18"/>
      <c r="F201" s="197" t="str">
        <f>VLOOKUP(D201,'rà soát ĐK'!B194:C644,2,0)</f>
        <v>PB04090032446</v>
      </c>
      <c r="G201" s="18" t="s">
        <v>2879</v>
      </c>
      <c r="H201" s="103" t="s">
        <v>243</v>
      </c>
      <c r="I201" s="251">
        <v>113392406</v>
      </c>
      <c r="J201" s="251">
        <v>1065573931</v>
      </c>
      <c r="K201" s="197" t="s">
        <v>244</v>
      </c>
      <c r="L201" s="197" t="s">
        <v>87</v>
      </c>
      <c r="M201" s="197" t="s">
        <v>245</v>
      </c>
      <c r="N201" s="99" t="s">
        <v>110</v>
      </c>
      <c r="O201" s="99"/>
      <c r="P201" s="99">
        <v>490</v>
      </c>
      <c r="Q201" s="99">
        <f t="shared" si="25"/>
        <v>490</v>
      </c>
      <c r="R201" s="102" t="s">
        <v>91</v>
      </c>
      <c r="S201" s="102" t="s">
        <v>90</v>
      </c>
      <c r="T201" s="102" t="s">
        <v>91</v>
      </c>
      <c r="U201" s="102" t="s">
        <v>90</v>
      </c>
      <c r="V201" s="102" t="s">
        <v>92</v>
      </c>
      <c r="W201" s="102"/>
      <c r="X201" s="102"/>
      <c r="Y201" s="102"/>
      <c r="Z201" s="102"/>
      <c r="AA201" s="102">
        <v>9</v>
      </c>
      <c r="AB201" s="102"/>
      <c r="AC201" s="197">
        <f t="shared" si="26"/>
        <v>9</v>
      </c>
      <c r="AD201" s="99">
        <f t="shared" si="21"/>
        <v>9</v>
      </c>
      <c r="AE201" s="99"/>
      <c r="AF201" s="99"/>
      <c r="AG201" s="99">
        <f t="shared" si="27"/>
        <v>9</v>
      </c>
      <c r="AH201" s="99">
        <f t="shared" si="28"/>
        <v>9</v>
      </c>
      <c r="AI201" s="99"/>
      <c r="AJ201" s="99"/>
      <c r="AK201" s="99"/>
      <c r="AL201" s="99"/>
      <c r="AM201" s="99">
        <f t="shared" ref="AM201:AM264" si="29">SUM(AH201:AL201)</f>
        <v>9</v>
      </c>
      <c r="AN201" s="102" t="s">
        <v>93</v>
      </c>
      <c r="AO201" s="102">
        <v>3</v>
      </c>
      <c r="AP201" s="99"/>
      <c r="AQ201" s="90"/>
      <c r="AR201" s="90"/>
      <c r="AS201" s="90"/>
      <c r="AT201" s="90"/>
      <c r="AU201" s="90"/>
      <c r="AV201" s="90"/>
      <c r="AW201" s="90"/>
      <c r="AX201" s="90"/>
      <c r="AY201" s="90"/>
      <c r="AZ201" s="90"/>
    </row>
    <row r="202" spans="1:52" ht="39" customHeight="1" x14ac:dyDescent="0.25">
      <c r="A202" s="99">
        <v>2259</v>
      </c>
      <c r="B202" s="242" t="s">
        <v>246</v>
      </c>
      <c r="C202" s="240">
        <v>101744000</v>
      </c>
      <c r="D202" s="99">
        <v>1511230035</v>
      </c>
      <c r="E202" s="99"/>
      <c r="F202" s="197" t="str">
        <f>VLOOKUP(D202,'rà soát ĐK'!B195:C645,2,0)</f>
        <v>PB04090032447</v>
      </c>
      <c r="G202" s="99" t="s">
        <v>2881</v>
      </c>
      <c r="H202" s="99" t="s">
        <v>248</v>
      </c>
      <c r="I202" s="239">
        <v>113382603</v>
      </c>
      <c r="J202" s="239">
        <v>1065550423</v>
      </c>
      <c r="K202" s="197" t="s">
        <v>249</v>
      </c>
      <c r="L202" s="197" t="s">
        <v>87</v>
      </c>
      <c r="M202" s="197"/>
      <c r="N202" s="99"/>
      <c r="O202" s="99"/>
      <c r="P202" s="99">
        <v>298</v>
      </c>
      <c r="Q202" s="99">
        <f t="shared" si="25"/>
        <v>298</v>
      </c>
      <c r="R202" s="102" t="s">
        <v>91</v>
      </c>
      <c r="S202" s="102" t="s">
        <v>90</v>
      </c>
      <c r="T202" s="102" t="s">
        <v>91</v>
      </c>
      <c r="U202" s="102" t="s">
        <v>90</v>
      </c>
      <c r="V202" s="102" t="s">
        <v>92</v>
      </c>
      <c r="W202" s="102"/>
      <c r="X202" s="102"/>
      <c r="Y202" s="102"/>
      <c r="Z202" s="102"/>
      <c r="AA202" s="102">
        <v>6</v>
      </c>
      <c r="AB202" s="102"/>
      <c r="AC202" s="197">
        <f t="shared" si="26"/>
        <v>6</v>
      </c>
      <c r="AD202" s="99">
        <f t="shared" si="21"/>
        <v>6</v>
      </c>
      <c r="AE202" s="99"/>
      <c r="AF202" s="99"/>
      <c r="AG202" s="99">
        <f t="shared" si="27"/>
        <v>6</v>
      </c>
      <c r="AH202" s="99">
        <f t="shared" si="28"/>
        <v>6</v>
      </c>
      <c r="AI202" s="99"/>
      <c r="AJ202" s="99"/>
      <c r="AK202" s="99"/>
      <c r="AL202" s="99"/>
      <c r="AM202" s="99">
        <f t="shared" si="29"/>
        <v>6</v>
      </c>
      <c r="AN202" s="102" t="s">
        <v>93</v>
      </c>
      <c r="AO202" s="102">
        <v>3</v>
      </c>
      <c r="AP202" s="99"/>
    </row>
    <row r="203" spans="1:52" ht="39" customHeight="1" x14ac:dyDescent="0.25">
      <c r="A203" s="99">
        <v>2260</v>
      </c>
      <c r="B203" s="242" t="s">
        <v>250</v>
      </c>
      <c r="C203" s="240">
        <v>101745000</v>
      </c>
      <c r="D203" s="99">
        <v>1511173277</v>
      </c>
      <c r="E203" s="99"/>
      <c r="F203" s="197" t="str">
        <f>VLOOKUP(D203,'rà soát ĐK'!B196:C646,2,0)</f>
        <v>PB04090032448</v>
      </c>
      <c r="G203" s="99" t="s">
        <v>2883</v>
      </c>
      <c r="H203" s="99" t="s">
        <v>252</v>
      </c>
      <c r="I203" s="239">
        <v>113361605</v>
      </c>
      <c r="J203" s="239">
        <v>1065528308</v>
      </c>
      <c r="K203" s="197" t="s">
        <v>253</v>
      </c>
      <c r="L203" s="197" t="s">
        <v>87</v>
      </c>
      <c r="M203" s="197"/>
      <c r="N203" s="99"/>
      <c r="O203" s="99"/>
      <c r="P203" s="99">
        <v>273</v>
      </c>
      <c r="Q203" s="99">
        <f t="shared" si="25"/>
        <v>273</v>
      </c>
      <c r="R203" s="102" t="s">
        <v>91</v>
      </c>
      <c r="S203" s="102" t="s">
        <v>90</v>
      </c>
      <c r="T203" s="102" t="s">
        <v>91</v>
      </c>
      <c r="U203" s="102" t="s">
        <v>90</v>
      </c>
      <c r="V203" s="102" t="s">
        <v>92</v>
      </c>
      <c r="W203" s="102"/>
      <c r="X203" s="102"/>
      <c r="Y203" s="102"/>
      <c r="Z203" s="102"/>
      <c r="AA203" s="102">
        <v>5</v>
      </c>
      <c r="AB203" s="102"/>
      <c r="AC203" s="197">
        <f t="shared" si="26"/>
        <v>5</v>
      </c>
      <c r="AD203" s="99">
        <f t="shared" si="21"/>
        <v>5</v>
      </c>
      <c r="AE203" s="99"/>
      <c r="AF203" s="99"/>
      <c r="AG203" s="99">
        <f t="shared" si="27"/>
        <v>5</v>
      </c>
      <c r="AH203" s="99">
        <f t="shared" si="28"/>
        <v>5</v>
      </c>
      <c r="AI203" s="99"/>
      <c r="AJ203" s="99"/>
      <c r="AK203" s="99"/>
      <c r="AL203" s="99"/>
      <c r="AM203" s="99">
        <f t="shared" si="29"/>
        <v>5</v>
      </c>
      <c r="AN203" s="102" t="s">
        <v>93</v>
      </c>
      <c r="AO203" s="102">
        <v>3</v>
      </c>
      <c r="AP203" s="99"/>
    </row>
    <row r="204" spans="1:52" ht="39" customHeight="1" x14ac:dyDescent="0.25">
      <c r="A204" s="99">
        <v>2261</v>
      </c>
      <c r="B204" s="242" t="s">
        <v>254</v>
      </c>
      <c r="C204" s="240">
        <v>101746000</v>
      </c>
      <c r="D204" s="99">
        <v>21089985</v>
      </c>
      <c r="E204" s="99"/>
      <c r="F204" s="197" t="str">
        <f>VLOOKUP(D204,'rà soát ĐK'!B197:C647,2,0)</f>
        <v>PB04090028736</v>
      </c>
      <c r="G204" s="99" t="s">
        <v>2885</v>
      </c>
      <c r="H204" s="99" t="s">
        <v>256</v>
      </c>
      <c r="I204" s="239">
        <v>11332584</v>
      </c>
      <c r="J204" s="239">
        <v>1065499964</v>
      </c>
      <c r="K204" s="197" t="s">
        <v>257</v>
      </c>
      <c r="L204" s="197" t="s">
        <v>87</v>
      </c>
      <c r="M204" s="197"/>
      <c r="N204" s="99"/>
      <c r="O204" s="99"/>
      <c r="P204" s="99">
        <v>670</v>
      </c>
      <c r="Q204" s="99">
        <f t="shared" si="25"/>
        <v>670</v>
      </c>
      <c r="R204" s="102" t="s">
        <v>90</v>
      </c>
      <c r="S204" s="102" t="s">
        <v>91</v>
      </c>
      <c r="T204" s="102" t="s">
        <v>91</v>
      </c>
      <c r="U204" s="102" t="s">
        <v>90</v>
      </c>
      <c r="V204" s="102" t="s">
        <v>111</v>
      </c>
      <c r="W204" s="102"/>
      <c r="X204" s="102"/>
      <c r="Y204" s="102"/>
      <c r="Z204" s="102"/>
      <c r="AA204" s="102">
        <v>15</v>
      </c>
      <c r="AB204" s="102"/>
      <c r="AC204" s="197">
        <f t="shared" si="26"/>
        <v>15</v>
      </c>
      <c r="AD204" s="99">
        <f t="shared" si="21"/>
        <v>15</v>
      </c>
      <c r="AE204" s="99"/>
      <c r="AF204" s="99"/>
      <c r="AG204" s="99">
        <f t="shared" si="27"/>
        <v>15</v>
      </c>
      <c r="AH204" s="99">
        <f t="shared" si="28"/>
        <v>15</v>
      </c>
      <c r="AI204" s="99"/>
      <c r="AJ204" s="99"/>
      <c r="AK204" s="99"/>
      <c r="AL204" s="99"/>
      <c r="AM204" s="99">
        <f t="shared" si="29"/>
        <v>15</v>
      </c>
      <c r="AN204" s="102" t="s">
        <v>93</v>
      </c>
      <c r="AO204" s="102">
        <v>3</v>
      </c>
      <c r="AP204" s="99"/>
    </row>
    <row r="205" spans="1:52" ht="39" customHeight="1" x14ac:dyDescent="0.25">
      <c r="A205" s="99">
        <v>2262</v>
      </c>
      <c r="B205" s="242" t="s">
        <v>258</v>
      </c>
      <c r="C205" s="240">
        <v>101747000</v>
      </c>
      <c r="D205" s="99">
        <v>21110215</v>
      </c>
      <c r="E205" s="99"/>
      <c r="F205" s="197" t="str">
        <f>VLOOKUP(D205,'rà soát ĐK'!B198:C648,2,0)</f>
        <v>PB04090028735</v>
      </c>
      <c r="G205" s="99" t="s">
        <v>2887</v>
      </c>
      <c r="H205" s="99" t="s">
        <v>260</v>
      </c>
      <c r="I205" s="239">
        <v>113382415</v>
      </c>
      <c r="J205" s="239">
        <v>1065487476</v>
      </c>
      <c r="K205" s="197" t="s">
        <v>261</v>
      </c>
      <c r="L205" s="197" t="s">
        <v>87</v>
      </c>
      <c r="M205" s="197"/>
      <c r="N205" s="99"/>
      <c r="O205" s="99"/>
      <c r="P205" s="99">
        <v>581</v>
      </c>
      <c r="Q205" s="99">
        <f t="shared" si="25"/>
        <v>581</v>
      </c>
      <c r="R205" s="102" t="s">
        <v>90</v>
      </c>
      <c r="S205" s="102" t="s">
        <v>91</v>
      </c>
      <c r="T205" s="102" t="s">
        <v>91</v>
      </c>
      <c r="U205" s="102" t="s">
        <v>90</v>
      </c>
      <c r="V205" s="102" t="s">
        <v>111</v>
      </c>
      <c r="W205" s="102"/>
      <c r="X205" s="102"/>
      <c r="Y205" s="102"/>
      <c r="Z205" s="102"/>
      <c r="AA205" s="102">
        <v>15</v>
      </c>
      <c r="AB205" s="102"/>
      <c r="AC205" s="197">
        <f t="shared" si="26"/>
        <v>15</v>
      </c>
      <c r="AD205" s="99">
        <f t="shared" si="21"/>
        <v>15</v>
      </c>
      <c r="AE205" s="99"/>
      <c r="AF205" s="99"/>
      <c r="AG205" s="99">
        <f t="shared" si="27"/>
        <v>15</v>
      </c>
      <c r="AH205" s="99">
        <f t="shared" si="28"/>
        <v>15</v>
      </c>
      <c r="AI205" s="99"/>
      <c r="AJ205" s="99"/>
      <c r="AK205" s="99"/>
      <c r="AL205" s="99"/>
      <c r="AM205" s="99">
        <f t="shared" si="29"/>
        <v>15</v>
      </c>
      <c r="AN205" s="102" t="s">
        <v>93</v>
      </c>
      <c r="AO205" s="102">
        <v>3</v>
      </c>
      <c r="AP205" s="99"/>
    </row>
    <row r="206" spans="1:52" s="105" customFormat="1" ht="28.5" customHeight="1" x14ac:dyDescent="0.25">
      <c r="A206" s="99">
        <v>2263</v>
      </c>
      <c r="B206" s="242" t="s">
        <v>262</v>
      </c>
      <c r="C206" s="240">
        <v>101748000</v>
      </c>
      <c r="D206" s="99">
        <v>1511187170</v>
      </c>
      <c r="E206" s="99"/>
      <c r="F206" s="197" t="str">
        <f>VLOOKUP(D206,'rà soát ĐK'!B199:C649,2,0)</f>
        <v>PB04090032449</v>
      </c>
      <c r="G206" s="99" t="s">
        <v>2889</v>
      </c>
      <c r="H206" s="99" t="s">
        <v>264</v>
      </c>
      <c r="I206" s="239">
        <v>113355921</v>
      </c>
      <c r="J206" s="239">
        <v>1065479564</v>
      </c>
      <c r="K206" s="197" t="s">
        <v>265</v>
      </c>
      <c r="L206" s="197" t="s">
        <v>87</v>
      </c>
      <c r="M206" s="197"/>
      <c r="N206" s="99"/>
      <c r="O206" s="99"/>
      <c r="P206" s="99">
        <v>338</v>
      </c>
      <c r="Q206" s="99">
        <f t="shared" si="25"/>
        <v>338</v>
      </c>
      <c r="R206" s="102" t="s">
        <v>90</v>
      </c>
      <c r="S206" s="102" t="s">
        <v>91</v>
      </c>
      <c r="T206" s="102" t="s">
        <v>91</v>
      </c>
      <c r="U206" s="102" t="s">
        <v>90</v>
      </c>
      <c r="V206" s="102" t="s">
        <v>92</v>
      </c>
      <c r="W206" s="102"/>
      <c r="X206" s="102"/>
      <c r="Y206" s="102"/>
      <c r="Z206" s="102"/>
      <c r="AA206" s="102">
        <v>11</v>
      </c>
      <c r="AB206" s="102"/>
      <c r="AC206" s="197">
        <f t="shared" si="26"/>
        <v>11</v>
      </c>
      <c r="AD206" s="99">
        <f t="shared" si="21"/>
        <v>11</v>
      </c>
      <c r="AE206" s="99"/>
      <c r="AF206" s="99"/>
      <c r="AG206" s="99">
        <f t="shared" si="27"/>
        <v>11</v>
      </c>
      <c r="AH206" s="99">
        <f t="shared" si="28"/>
        <v>11</v>
      </c>
      <c r="AI206" s="99"/>
      <c r="AJ206" s="99"/>
      <c r="AK206" s="99"/>
      <c r="AL206" s="99"/>
      <c r="AM206" s="99">
        <f t="shared" si="29"/>
        <v>11</v>
      </c>
      <c r="AN206" s="102" t="s">
        <v>93</v>
      </c>
      <c r="AO206" s="102">
        <v>3</v>
      </c>
      <c r="AP206" s="99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</row>
    <row r="207" spans="1:52" ht="39" customHeight="1" x14ac:dyDescent="0.25">
      <c r="A207" s="99">
        <v>2264</v>
      </c>
      <c r="B207" s="242"/>
      <c r="C207" s="240"/>
      <c r="D207" s="99"/>
      <c r="E207" s="99"/>
      <c r="F207" s="197"/>
      <c r="G207" s="99"/>
      <c r="H207" s="99"/>
      <c r="I207" s="197"/>
      <c r="J207" s="197"/>
      <c r="K207" s="197" t="s">
        <v>266</v>
      </c>
      <c r="L207" s="197" t="s">
        <v>87</v>
      </c>
      <c r="M207" s="197"/>
      <c r="N207" s="99"/>
      <c r="O207" s="99"/>
      <c r="P207" s="99">
        <v>250</v>
      </c>
      <c r="Q207" s="99">
        <f t="shared" si="25"/>
        <v>250</v>
      </c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>
        <v>7</v>
      </c>
      <c r="AB207" s="102"/>
      <c r="AC207" s="197">
        <f t="shared" si="26"/>
        <v>7</v>
      </c>
      <c r="AD207" s="99">
        <f t="shared" si="21"/>
        <v>7</v>
      </c>
      <c r="AE207" s="99"/>
      <c r="AF207" s="99"/>
      <c r="AG207" s="99">
        <f t="shared" si="27"/>
        <v>7</v>
      </c>
      <c r="AH207" s="99">
        <f t="shared" si="28"/>
        <v>7</v>
      </c>
      <c r="AI207" s="99"/>
      <c r="AJ207" s="99"/>
      <c r="AK207" s="99"/>
      <c r="AL207" s="99"/>
      <c r="AM207" s="99">
        <f t="shared" si="29"/>
        <v>7</v>
      </c>
      <c r="AN207" s="102" t="s">
        <v>93</v>
      </c>
      <c r="AO207" s="102">
        <v>3</v>
      </c>
      <c r="AP207" s="99" t="s">
        <v>1639</v>
      </c>
    </row>
    <row r="208" spans="1:52" ht="39" customHeight="1" x14ac:dyDescent="0.25">
      <c r="A208" s="99">
        <v>2265</v>
      </c>
      <c r="B208" s="242" t="s">
        <v>268</v>
      </c>
      <c r="C208" s="240">
        <v>101714000</v>
      </c>
      <c r="D208" s="99">
        <v>211100047103</v>
      </c>
      <c r="E208" s="99"/>
      <c r="F208" s="197" t="str">
        <f>VLOOKUP(D208,'rà soát ĐK'!B201:C651,2,0)</f>
        <v>PB04090024792</v>
      </c>
      <c r="G208" s="99" t="s">
        <v>2891</v>
      </c>
      <c r="H208" s="103" t="s">
        <v>270</v>
      </c>
      <c r="I208" s="251">
        <v>1.13206417452996E+16</v>
      </c>
      <c r="J208" s="251">
        <v>1.06564468854912E+16</v>
      </c>
      <c r="K208" s="197" t="s">
        <v>271</v>
      </c>
      <c r="L208" s="197" t="s">
        <v>87</v>
      </c>
      <c r="M208" s="197" t="s">
        <v>272</v>
      </c>
      <c r="N208" s="99" t="s">
        <v>273</v>
      </c>
      <c r="O208" s="99"/>
      <c r="P208" s="99">
        <v>900</v>
      </c>
      <c r="Q208" s="99">
        <f t="shared" si="25"/>
        <v>900</v>
      </c>
      <c r="R208" s="102" t="s">
        <v>91</v>
      </c>
      <c r="S208" s="102" t="s">
        <v>90</v>
      </c>
      <c r="T208" s="102" t="s">
        <v>91</v>
      </c>
      <c r="U208" s="102" t="s">
        <v>90</v>
      </c>
      <c r="V208" s="102" t="s">
        <v>111</v>
      </c>
      <c r="W208" s="102"/>
      <c r="X208" s="102">
        <v>18</v>
      </c>
      <c r="Y208" s="102"/>
      <c r="Z208" s="102"/>
      <c r="AA208" s="102"/>
      <c r="AB208" s="102"/>
      <c r="AC208" s="197">
        <f t="shared" si="26"/>
        <v>18</v>
      </c>
      <c r="AD208" s="99">
        <f t="shared" si="21"/>
        <v>18</v>
      </c>
      <c r="AE208" s="99"/>
      <c r="AF208" s="99"/>
      <c r="AG208" s="99">
        <f t="shared" si="27"/>
        <v>18</v>
      </c>
      <c r="AH208" s="99">
        <f t="shared" si="28"/>
        <v>18</v>
      </c>
      <c r="AI208" s="99"/>
      <c r="AJ208" s="99"/>
      <c r="AK208" s="99"/>
      <c r="AL208" s="99"/>
      <c r="AM208" s="99">
        <f t="shared" si="29"/>
        <v>18</v>
      </c>
      <c r="AN208" s="102" t="s">
        <v>93</v>
      </c>
      <c r="AO208" s="102">
        <v>2</v>
      </c>
      <c r="AP208" s="99"/>
    </row>
    <row r="209" spans="1:52" ht="39" customHeight="1" x14ac:dyDescent="0.25">
      <c r="A209" s="99">
        <v>2266</v>
      </c>
      <c r="B209" s="242" t="s">
        <v>274</v>
      </c>
      <c r="C209" s="240">
        <v>101716000</v>
      </c>
      <c r="D209" s="99">
        <v>1611024150</v>
      </c>
      <c r="E209" s="99"/>
      <c r="F209" s="197" t="str">
        <f>VLOOKUP(D209,'rà soát ĐK'!B202:C652,2,0)</f>
        <v>PB04090024998</v>
      </c>
      <c r="G209" s="99" t="s">
        <v>2893</v>
      </c>
      <c r="H209" s="103" t="s">
        <v>276</v>
      </c>
      <c r="I209" s="251">
        <v>1.13156876711961E+16</v>
      </c>
      <c r="J209" s="251">
        <v>1.06563799850054E+16</v>
      </c>
      <c r="K209" s="197" t="s">
        <v>277</v>
      </c>
      <c r="L209" s="197" t="s">
        <v>87</v>
      </c>
      <c r="M209" s="197" t="s">
        <v>278</v>
      </c>
      <c r="N209" s="99" t="s">
        <v>279</v>
      </c>
      <c r="O209" s="99"/>
      <c r="P209" s="99">
        <v>680</v>
      </c>
      <c r="Q209" s="99">
        <f t="shared" si="25"/>
        <v>680</v>
      </c>
      <c r="R209" s="102" t="s">
        <v>91</v>
      </c>
      <c r="S209" s="102" t="s">
        <v>90</v>
      </c>
      <c r="T209" s="102" t="s">
        <v>91</v>
      </c>
      <c r="U209" s="102" t="s">
        <v>90</v>
      </c>
      <c r="V209" s="102" t="s">
        <v>111</v>
      </c>
      <c r="W209" s="102"/>
      <c r="X209" s="102">
        <v>18</v>
      </c>
      <c r="Y209" s="102"/>
      <c r="Z209" s="102"/>
      <c r="AA209" s="102"/>
      <c r="AB209" s="102"/>
      <c r="AC209" s="197">
        <f t="shared" si="26"/>
        <v>18</v>
      </c>
      <c r="AD209" s="99">
        <f t="shared" si="21"/>
        <v>18</v>
      </c>
      <c r="AE209" s="99"/>
      <c r="AF209" s="99"/>
      <c r="AG209" s="99">
        <f t="shared" si="27"/>
        <v>18</v>
      </c>
      <c r="AH209" s="99">
        <f t="shared" si="28"/>
        <v>18</v>
      </c>
      <c r="AI209" s="99"/>
      <c r="AJ209" s="99"/>
      <c r="AK209" s="99"/>
      <c r="AL209" s="99"/>
      <c r="AM209" s="99">
        <f t="shared" si="29"/>
        <v>18</v>
      </c>
      <c r="AN209" s="102" t="s">
        <v>93</v>
      </c>
      <c r="AO209" s="102">
        <v>3</v>
      </c>
      <c r="AP209" s="99"/>
    </row>
    <row r="210" spans="1:52" ht="39" customHeight="1" x14ac:dyDescent="0.25">
      <c r="A210" s="99">
        <v>2267</v>
      </c>
      <c r="B210" s="242"/>
      <c r="C210" s="240"/>
      <c r="D210" s="99"/>
      <c r="E210" s="99"/>
      <c r="F210" s="197"/>
      <c r="G210" s="99"/>
      <c r="H210" s="99"/>
      <c r="I210" s="197"/>
      <c r="J210" s="197"/>
      <c r="K210" s="197" t="s">
        <v>280</v>
      </c>
      <c r="L210" s="197" t="s">
        <v>87</v>
      </c>
      <c r="M210" s="197"/>
      <c r="N210" s="99" t="s">
        <v>279</v>
      </c>
      <c r="O210" s="99"/>
      <c r="P210" s="99">
        <v>700</v>
      </c>
      <c r="Q210" s="99">
        <f t="shared" si="25"/>
        <v>700</v>
      </c>
      <c r="R210" s="102" t="s">
        <v>91</v>
      </c>
      <c r="S210" s="102" t="s">
        <v>91</v>
      </c>
      <c r="T210" s="102" t="s">
        <v>91</v>
      </c>
      <c r="U210" s="102" t="s">
        <v>111</v>
      </c>
      <c r="V210" s="102" t="s">
        <v>111</v>
      </c>
      <c r="W210" s="102"/>
      <c r="X210" s="102"/>
      <c r="Y210" s="102"/>
      <c r="Z210" s="102"/>
      <c r="AA210" s="102">
        <v>17</v>
      </c>
      <c r="AB210" s="102"/>
      <c r="AC210" s="197">
        <f t="shared" si="26"/>
        <v>17</v>
      </c>
      <c r="AD210" s="99">
        <f t="shared" si="21"/>
        <v>17</v>
      </c>
      <c r="AE210" s="99"/>
      <c r="AF210" s="99"/>
      <c r="AG210" s="99">
        <f t="shared" si="27"/>
        <v>17</v>
      </c>
      <c r="AH210" s="99">
        <f t="shared" si="28"/>
        <v>17</v>
      </c>
      <c r="AI210" s="99"/>
      <c r="AJ210" s="99"/>
      <c r="AK210" s="99"/>
      <c r="AL210" s="99"/>
      <c r="AM210" s="99">
        <f t="shared" si="29"/>
        <v>17</v>
      </c>
      <c r="AN210" s="102" t="s">
        <v>93</v>
      </c>
      <c r="AO210" s="102">
        <v>3</v>
      </c>
      <c r="AP210" s="99" t="s">
        <v>1640</v>
      </c>
    </row>
    <row r="211" spans="1:52" ht="39" customHeight="1" x14ac:dyDescent="0.25">
      <c r="A211" s="99">
        <v>2268</v>
      </c>
      <c r="B211" s="242" t="s">
        <v>282</v>
      </c>
      <c r="C211" s="240">
        <v>101711000</v>
      </c>
      <c r="D211" s="99">
        <v>1511111364</v>
      </c>
      <c r="E211" s="99"/>
      <c r="F211" s="197" t="str">
        <f>VLOOKUP(D211,'rà soát ĐK'!B204:C654,2,0)</f>
        <v>PB04090032450</v>
      </c>
      <c r="G211" s="99" t="s">
        <v>2895</v>
      </c>
      <c r="H211" s="103" t="s">
        <v>284</v>
      </c>
      <c r="I211" s="251">
        <v>1129951888039360</v>
      </c>
      <c r="J211" s="251">
        <v>1.06559931717814E+16</v>
      </c>
      <c r="K211" s="197" t="s">
        <v>285</v>
      </c>
      <c r="L211" s="197" t="s">
        <v>87</v>
      </c>
      <c r="M211" s="197" t="s">
        <v>286</v>
      </c>
      <c r="N211" s="99" t="s">
        <v>287</v>
      </c>
      <c r="O211" s="99"/>
      <c r="P211" s="99">
        <v>1730</v>
      </c>
      <c r="Q211" s="99">
        <f t="shared" si="25"/>
        <v>1730</v>
      </c>
      <c r="R211" s="102" t="s">
        <v>91</v>
      </c>
      <c r="S211" s="102" t="s">
        <v>90</v>
      </c>
      <c r="T211" s="102" t="s">
        <v>91</v>
      </c>
      <c r="U211" s="102" t="s">
        <v>90</v>
      </c>
      <c r="V211" s="102" t="s">
        <v>92</v>
      </c>
      <c r="W211" s="102"/>
      <c r="X211" s="102"/>
      <c r="Y211" s="102"/>
      <c r="Z211" s="102"/>
      <c r="AA211" s="102">
        <v>24</v>
      </c>
      <c r="AB211" s="102"/>
      <c r="AC211" s="197">
        <f t="shared" si="26"/>
        <v>24</v>
      </c>
      <c r="AD211" s="99">
        <f t="shared" si="21"/>
        <v>24</v>
      </c>
      <c r="AE211" s="99"/>
      <c r="AF211" s="99"/>
      <c r="AG211" s="99">
        <f t="shared" si="27"/>
        <v>24</v>
      </c>
      <c r="AH211" s="99">
        <f t="shared" si="28"/>
        <v>24</v>
      </c>
      <c r="AI211" s="99"/>
      <c r="AJ211" s="99"/>
      <c r="AK211" s="99"/>
      <c r="AL211" s="99"/>
      <c r="AM211" s="99">
        <f t="shared" si="29"/>
        <v>24</v>
      </c>
      <c r="AN211" s="102" t="s">
        <v>93</v>
      </c>
      <c r="AO211" s="102">
        <v>2</v>
      </c>
      <c r="AP211" s="99"/>
    </row>
    <row r="212" spans="1:52" ht="39" customHeight="1" x14ac:dyDescent="0.25">
      <c r="A212" s="99">
        <v>2269</v>
      </c>
      <c r="B212" s="242" t="s">
        <v>288</v>
      </c>
      <c r="C212" s="240">
        <v>101741000</v>
      </c>
      <c r="D212" s="99">
        <v>21078613</v>
      </c>
      <c r="E212" s="99"/>
      <c r="F212" s="197" t="str">
        <f>VLOOKUP(D212,'rà soát ĐK'!B205:C655,2,0)</f>
        <v>PB04090024999</v>
      </c>
      <c r="G212" s="99" t="s">
        <v>2897</v>
      </c>
      <c r="H212" s="103" t="s">
        <v>290</v>
      </c>
      <c r="I212" s="251">
        <v>113185248</v>
      </c>
      <c r="J212" s="251">
        <v>106565142</v>
      </c>
      <c r="K212" s="197" t="s">
        <v>291</v>
      </c>
      <c r="L212" s="197" t="s">
        <v>87</v>
      </c>
      <c r="M212" s="197" t="s">
        <v>292</v>
      </c>
      <c r="N212" s="99" t="s">
        <v>293</v>
      </c>
      <c r="O212" s="99"/>
      <c r="P212" s="99">
        <v>920</v>
      </c>
      <c r="Q212" s="99">
        <f t="shared" si="25"/>
        <v>920</v>
      </c>
      <c r="R212" s="102" t="s">
        <v>91</v>
      </c>
      <c r="S212" s="102" t="s">
        <v>90</v>
      </c>
      <c r="T212" s="102" t="s">
        <v>91</v>
      </c>
      <c r="U212" s="102" t="s">
        <v>90</v>
      </c>
      <c r="V212" s="102" t="s">
        <v>111</v>
      </c>
      <c r="W212" s="102"/>
      <c r="X212" s="102">
        <v>18</v>
      </c>
      <c r="Y212" s="102"/>
      <c r="Z212" s="102"/>
      <c r="AA212" s="102"/>
      <c r="AB212" s="102"/>
      <c r="AC212" s="197">
        <f t="shared" si="26"/>
        <v>18</v>
      </c>
      <c r="AD212" s="99">
        <f t="shared" si="21"/>
        <v>18</v>
      </c>
      <c r="AE212" s="99"/>
      <c r="AF212" s="99"/>
      <c r="AG212" s="99">
        <f t="shared" si="27"/>
        <v>18</v>
      </c>
      <c r="AH212" s="99">
        <f t="shared" si="28"/>
        <v>18</v>
      </c>
      <c r="AI212" s="99"/>
      <c r="AJ212" s="99"/>
      <c r="AK212" s="99"/>
      <c r="AL212" s="99"/>
      <c r="AM212" s="99">
        <f t="shared" si="29"/>
        <v>18</v>
      </c>
      <c r="AN212" s="102" t="s">
        <v>93</v>
      </c>
      <c r="AO212" s="102">
        <v>3</v>
      </c>
      <c r="AP212" s="99"/>
    </row>
    <row r="213" spans="1:52" s="112" customFormat="1" ht="30" customHeight="1" x14ac:dyDescent="0.25">
      <c r="A213" s="111">
        <v>2270</v>
      </c>
      <c r="B213" s="255" t="s">
        <v>294</v>
      </c>
      <c r="C213" s="241">
        <v>101715000</v>
      </c>
      <c r="D213" s="111">
        <v>22110033081</v>
      </c>
      <c r="E213" s="111"/>
      <c r="F213" s="248" t="str">
        <f>VLOOKUP(D213,'rà soát ĐK'!B206:C656,2,0)</f>
        <v>Không tìm thấy mã</v>
      </c>
      <c r="G213" s="111" t="s">
        <v>2898</v>
      </c>
      <c r="H213" s="116" t="s">
        <v>296</v>
      </c>
      <c r="I213" s="252">
        <v>1.13148615975036E+16</v>
      </c>
      <c r="J213" s="252">
        <v>1.06564648719603E+16</v>
      </c>
      <c r="K213" s="248" t="s">
        <v>297</v>
      </c>
      <c r="L213" s="248" t="s">
        <v>87</v>
      </c>
      <c r="M213" s="248" t="s">
        <v>298</v>
      </c>
      <c r="N213" s="111" t="s">
        <v>299</v>
      </c>
      <c r="O213" s="111"/>
      <c r="P213" s="111">
        <v>350</v>
      </c>
      <c r="Q213" s="111">
        <f t="shared" si="25"/>
        <v>350</v>
      </c>
      <c r="R213" s="113" t="s">
        <v>91</v>
      </c>
      <c r="S213" s="113" t="s">
        <v>90</v>
      </c>
      <c r="T213" s="113" t="s">
        <v>91</v>
      </c>
      <c r="U213" s="113" t="s">
        <v>90</v>
      </c>
      <c r="V213" s="113" t="s">
        <v>111</v>
      </c>
      <c r="W213" s="113"/>
      <c r="X213" s="113"/>
      <c r="Y213" s="113"/>
      <c r="Z213" s="113"/>
      <c r="AA213" s="113">
        <v>7</v>
      </c>
      <c r="AB213" s="113"/>
      <c r="AC213" s="248">
        <f t="shared" si="26"/>
        <v>7</v>
      </c>
      <c r="AD213" s="111">
        <f t="shared" si="21"/>
        <v>7</v>
      </c>
      <c r="AE213" s="111"/>
      <c r="AF213" s="111"/>
      <c r="AG213" s="111">
        <f t="shared" si="27"/>
        <v>7</v>
      </c>
      <c r="AH213" s="111">
        <f t="shared" si="28"/>
        <v>7</v>
      </c>
      <c r="AI213" s="111"/>
      <c r="AJ213" s="111"/>
      <c r="AK213" s="111"/>
      <c r="AL213" s="111"/>
      <c r="AM213" s="111">
        <f t="shared" si="29"/>
        <v>7</v>
      </c>
      <c r="AN213" s="113" t="s">
        <v>93</v>
      </c>
      <c r="AO213" s="113">
        <v>3</v>
      </c>
      <c r="AP213" s="111"/>
    </row>
    <row r="214" spans="1:52" ht="39" customHeight="1" x14ac:dyDescent="0.25">
      <c r="A214" s="99">
        <v>2270</v>
      </c>
      <c r="B214" s="242"/>
      <c r="C214" s="240"/>
      <c r="D214" s="99"/>
      <c r="E214" s="99"/>
      <c r="F214" s="197"/>
      <c r="G214" s="99"/>
      <c r="H214" s="99"/>
      <c r="I214" s="197"/>
      <c r="J214" s="197"/>
      <c r="K214" s="197" t="s">
        <v>297</v>
      </c>
      <c r="L214" s="197" t="s">
        <v>87</v>
      </c>
      <c r="M214" s="197"/>
      <c r="N214" s="99" t="s">
        <v>300</v>
      </c>
      <c r="O214" s="99"/>
      <c r="P214" s="99">
        <v>400</v>
      </c>
      <c r="Q214" s="99">
        <f t="shared" si="25"/>
        <v>400</v>
      </c>
      <c r="R214" s="102"/>
      <c r="S214" s="102"/>
      <c r="T214" s="102"/>
      <c r="U214" s="102"/>
      <c r="V214" s="102"/>
      <c r="W214" s="102"/>
      <c r="X214" s="102">
        <v>10</v>
      </c>
      <c r="Y214" s="102"/>
      <c r="Z214" s="102"/>
      <c r="AA214" s="102"/>
      <c r="AB214" s="102"/>
      <c r="AC214" s="197">
        <f t="shared" si="26"/>
        <v>10</v>
      </c>
      <c r="AD214" s="99">
        <f t="shared" si="21"/>
        <v>10</v>
      </c>
      <c r="AE214" s="99"/>
      <c r="AF214" s="99"/>
      <c r="AG214" s="99">
        <f t="shared" si="27"/>
        <v>10</v>
      </c>
      <c r="AH214" s="99">
        <f t="shared" si="28"/>
        <v>10</v>
      </c>
      <c r="AI214" s="99"/>
      <c r="AJ214" s="99"/>
      <c r="AK214" s="99"/>
      <c r="AL214" s="99"/>
      <c r="AM214" s="99">
        <f t="shared" si="29"/>
        <v>10</v>
      </c>
      <c r="AN214" s="102" t="s">
        <v>93</v>
      </c>
      <c r="AO214" s="102">
        <v>3</v>
      </c>
      <c r="AP214" s="99" t="s">
        <v>1641</v>
      </c>
    </row>
    <row r="215" spans="1:52" ht="39" customHeight="1" x14ac:dyDescent="0.25">
      <c r="A215" s="99">
        <v>2271</v>
      </c>
      <c r="B215" s="242"/>
      <c r="C215" s="240"/>
      <c r="D215" s="99"/>
      <c r="E215" s="99"/>
      <c r="F215" s="197"/>
      <c r="G215" s="99"/>
      <c r="H215" s="99"/>
      <c r="I215" s="197"/>
      <c r="J215" s="197"/>
      <c r="K215" s="197" t="s">
        <v>302</v>
      </c>
      <c r="L215" s="197" t="s">
        <v>87</v>
      </c>
      <c r="M215" s="242"/>
      <c r="N215" s="99" t="s">
        <v>303</v>
      </c>
      <c r="O215" s="102"/>
      <c r="P215" s="99">
        <v>200</v>
      </c>
      <c r="Q215" s="99">
        <f t="shared" si="25"/>
        <v>200</v>
      </c>
      <c r="R215" s="99"/>
      <c r="S215" s="99"/>
      <c r="T215" s="99"/>
      <c r="U215" s="99"/>
      <c r="V215" s="99"/>
      <c r="W215" s="99"/>
      <c r="X215" s="99">
        <v>4</v>
      </c>
      <c r="Y215" s="99"/>
      <c r="Z215" s="99"/>
      <c r="AA215" s="99"/>
      <c r="AB215" s="99"/>
      <c r="AC215" s="197">
        <f t="shared" si="26"/>
        <v>4</v>
      </c>
      <c r="AD215" s="99">
        <v>3</v>
      </c>
      <c r="AE215" s="99"/>
      <c r="AF215" s="99"/>
      <c r="AG215" s="99">
        <f t="shared" si="27"/>
        <v>3</v>
      </c>
      <c r="AH215" s="99">
        <f t="shared" si="28"/>
        <v>4</v>
      </c>
      <c r="AI215" s="99"/>
      <c r="AJ215" s="99"/>
      <c r="AK215" s="99"/>
      <c r="AL215" s="99"/>
      <c r="AM215" s="99">
        <f t="shared" si="29"/>
        <v>4</v>
      </c>
      <c r="AN215" s="102"/>
      <c r="AO215" s="102"/>
      <c r="AP215" s="99" t="s">
        <v>1642</v>
      </c>
    </row>
    <row r="216" spans="1:52" ht="30" customHeight="1" x14ac:dyDescent="0.25">
      <c r="A216" s="111">
        <v>2272</v>
      </c>
      <c r="B216" s="255" t="s">
        <v>305</v>
      </c>
      <c r="C216" s="241">
        <v>101737000</v>
      </c>
      <c r="D216" s="111">
        <v>201578466</v>
      </c>
      <c r="E216" s="111"/>
      <c r="F216" s="197" t="str">
        <f>VLOOKUP(D216,'rà soát ĐK'!B209:C659,2,0)</f>
        <v>Không tìm thấy mã</v>
      </c>
      <c r="G216" s="111" t="s">
        <v>2898</v>
      </c>
      <c r="H216" s="116" t="s">
        <v>307</v>
      </c>
      <c r="I216" s="252">
        <v>113569689</v>
      </c>
      <c r="J216" s="252">
        <v>1066370168</v>
      </c>
      <c r="K216" s="248" t="s">
        <v>308</v>
      </c>
      <c r="L216" s="248" t="s">
        <v>87</v>
      </c>
      <c r="M216" s="248" t="s">
        <v>309</v>
      </c>
      <c r="N216" s="111" t="s">
        <v>310</v>
      </c>
      <c r="O216" s="111"/>
      <c r="P216" s="111">
        <v>702</v>
      </c>
      <c r="Q216" s="111">
        <f t="shared" si="25"/>
        <v>702</v>
      </c>
      <c r="R216" s="113" t="s">
        <v>91</v>
      </c>
      <c r="S216" s="113" t="s">
        <v>90</v>
      </c>
      <c r="T216" s="113" t="s">
        <v>91</v>
      </c>
      <c r="U216" s="113" t="s">
        <v>90</v>
      </c>
      <c r="V216" s="113" t="s">
        <v>111</v>
      </c>
      <c r="W216" s="113"/>
      <c r="X216" s="113">
        <v>5</v>
      </c>
      <c r="Y216" s="113"/>
      <c r="Z216" s="113"/>
      <c r="AA216" s="113">
        <v>13</v>
      </c>
      <c r="AB216" s="113"/>
      <c r="AC216" s="248">
        <f t="shared" si="26"/>
        <v>18</v>
      </c>
      <c r="AD216" s="111">
        <f t="shared" ref="AD216:AD250" si="30">AC216</f>
        <v>18</v>
      </c>
      <c r="AE216" s="111"/>
      <c r="AF216" s="111"/>
      <c r="AG216" s="111">
        <f t="shared" si="27"/>
        <v>18</v>
      </c>
      <c r="AH216" s="111">
        <f t="shared" si="28"/>
        <v>18</v>
      </c>
      <c r="AI216" s="111"/>
      <c r="AJ216" s="111"/>
      <c r="AK216" s="111"/>
      <c r="AL216" s="111"/>
      <c r="AM216" s="111">
        <f t="shared" si="29"/>
        <v>18</v>
      </c>
      <c r="AN216" s="113" t="s">
        <v>93</v>
      </c>
      <c r="AO216" s="113">
        <v>2</v>
      </c>
      <c r="AP216" s="111"/>
      <c r="AQ216" s="112"/>
      <c r="AR216" s="112"/>
      <c r="AS216" s="112"/>
      <c r="AT216" s="112"/>
      <c r="AU216" s="112"/>
      <c r="AV216" s="112"/>
      <c r="AW216" s="112"/>
      <c r="AX216" s="112"/>
      <c r="AY216" s="112"/>
      <c r="AZ216" s="112"/>
    </row>
    <row r="217" spans="1:52" ht="39" customHeight="1" x14ac:dyDescent="0.25">
      <c r="A217" s="111">
        <v>2273</v>
      </c>
      <c r="B217" s="255" t="s">
        <v>311</v>
      </c>
      <c r="C217" s="241">
        <v>101736000</v>
      </c>
      <c r="D217" s="111">
        <v>2011579658</v>
      </c>
      <c r="E217" s="111"/>
      <c r="F217" s="197" t="str">
        <f>VLOOKUP(D217,'rà soát ĐK'!B210:C660,2,0)</f>
        <v>PB04090029027</v>
      </c>
      <c r="G217" s="111" t="s">
        <v>2900</v>
      </c>
      <c r="H217" s="116" t="s">
        <v>313</v>
      </c>
      <c r="I217" s="252">
        <v>113528641</v>
      </c>
      <c r="J217" s="252">
        <v>1066381612</v>
      </c>
      <c r="K217" s="248" t="s">
        <v>314</v>
      </c>
      <c r="L217" s="248" t="s">
        <v>87</v>
      </c>
      <c r="M217" s="248" t="s">
        <v>315</v>
      </c>
      <c r="N217" s="111" t="s">
        <v>316</v>
      </c>
      <c r="O217" s="111"/>
      <c r="P217" s="111">
        <v>808</v>
      </c>
      <c r="Q217" s="111">
        <f t="shared" si="25"/>
        <v>808</v>
      </c>
      <c r="R217" s="113" t="s">
        <v>91</v>
      </c>
      <c r="S217" s="113" t="s">
        <v>90</v>
      </c>
      <c r="T217" s="113" t="s">
        <v>91</v>
      </c>
      <c r="U217" s="113" t="s">
        <v>90</v>
      </c>
      <c r="V217" s="113" t="s">
        <v>111</v>
      </c>
      <c r="W217" s="113"/>
      <c r="X217" s="113">
        <v>2</v>
      </c>
      <c r="Y217" s="113"/>
      <c r="Z217" s="113"/>
      <c r="AA217" s="113">
        <v>18</v>
      </c>
      <c r="AB217" s="113"/>
      <c r="AC217" s="248">
        <f t="shared" si="26"/>
        <v>20</v>
      </c>
      <c r="AD217" s="111">
        <f t="shared" si="30"/>
        <v>20</v>
      </c>
      <c r="AE217" s="111"/>
      <c r="AF217" s="111"/>
      <c r="AG217" s="111">
        <f t="shared" si="27"/>
        <v>20</v>
      </c>
      <c r="AH217" s="111">
        <f t="shared" si="28"/>
        <v>20</v>
      </c>
      <c r="AI217" s="111"/>
      <c r="AJ217" s="111"/>
      <c r="AK217" s="111"/>
      <c r="AL217" s="111"/>
      <c r="AM217" s="111">
        <f t="shared" si="29"/>
        <v>20</v>
      </c>
      <c r="AN217" s="113" t="s">
        <v>93</v>
      </c>
      <c r="AO217" s="113">
        <v>2</v>
      </c>
      <c r="AP217" s="111"/>
      <c r="AQ217" s="112"/>
      <c r="AR217" s="112"/>
      <c r="AS217" s="112"/>
      <c r="AT217" s="112"/>
      <c r="AU217" s="112"/>
      <c r="AV217" s="112"/>
      <c r="AW217" s="112"/>
      <c r="AX217" s="112"/>
      <c r="AY217" s="112"/>
      <c r="AZ217" s="112"/>
    </row>
    <row r="218" spans="1:52" ht="39" customHeight="1" x14ac:dyDescent="0.25">
      <c r="A218" s="111">
        <v>2274</v>
      </c>
      <c r="B218" s="255"/>
      <c r="C218" s="241"/>
      <c r="D218" s="111"/>
      <c r="E218" s="111"/>
      <c r="F218" s="197"/>
      <c r="G218" s="111"/>
      <c r="H218" s="111"/>
      <c r="I218" s="248"/>
      <c r="J218" s="248"/>
      <c r="K218" s="248" t="s">
        <v>317</v>
      </c>
      <c r="L218" s="248" t="s">
        <v>87</v>
      </c>
      <c r="M218" s="248" t="s">
        <v>315</v>
      </c>
      <c r="N218" s="111" t="s">
        <v>318</v>
      </c>
      <c r="O218" s="111"/>
      <c r="P218" s="111">
        <v>374</v>
      </c>
      <c r="Q218" s="111">
        <f t="shared" si="25"/>
        <v>374</v>
      </c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>
        <v>9</v>
      </c>
      <c r="AB218" s="113"/>
      <c r="AC218" s="248">
        <f t="shared" si="26"/>
        <v>9</v>
      </c>
      <c r="AD218" s="111">
        <f t="shared" si="30"/>
        <v>9</v>
      </c>
      <c r="AE218" s="111"/>
      <c r="AF218" s="111"/>
      <c r="AG218" s="111">
        <f t="shared" si="27"/>
        <v>9</v>
      </c>
      <c r="AH218" s="111">
        <f t="shared" si="28"/>
        <v>9</v>
      </c>
      <c r="AI218" s="111"/>
      <c r="AJ218" s="111"/>
      <c r="AK218" s="111"/>
      <c r="AL218" s="111"/>
      <c r="AM218" s="111">
        <f t="shared" si="29"/>
        <v>9</v>
      </c>
      <c r="AN218" s="113" t="s">
        <v>93</v>
      </c>
      <c r="AO218" s="113">
        <v>2</v>
      </c>
      <c r="AP218" s="111" t="s">
        <v>1643</v>
      </c>
      <c r="AQ218" s="112"/>
      <c r="AR218" s="112"/>
      <c r="AS218" s="112"/>
      <c r="AT218" s="112"/>
      <c r="AU218" s="112"/>
      <c r="AV218" s="112"/>
      <c r="AW218" s="112"/>
      <c r="AX218" s="112"/>
      <c r="AY218" s="112"/>
      <c r="AZ218" s="112"/>
    </row>
    <row r="219" spans="1:52" ht="39" customHeight="1" x14ac:dyDescent="0.25">
      <c r="A219" s="111">
        <v>2274</v>
      </c>
      <c r="B219" s="255"/>
      <c r="C219" s="241"/>
      <c r="D219" s="111"/>
      <c r="E219" s="111"/>
      <c r="F219" s="197"/>
      <c r="G219" s="111"/>
      <c r="H219" s="111"/>
      <c r="I219" s="248"/>
      <c r="J219" s="248"/>
      <c r="K219" s="248" t="s">
        <v>317</v>
      </c>
      <c r="L219" s="248" t="s">
        <v>87</v>
      </c>
      <c r="M219" s="248" t="s">
        <v>309</v>
      </c>
      <c r="N219" s="111" t="s">
        <v>320</v>
      </c>
      <c r="O219" s="111"/>
      <c r="P219" s="111">
        <v>211</v>
      </c>
      <c r="Q219" s="111">
        <f t="shared" si="25"/>
        <v>211</v>
      </c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>
        <v>5</v>
      </c>
      <c r="AB219" s="113"/>
      <c r="AC219" s="248">
        <f t="shared" si="26"/>
        <v>5</v>
      </c>
      <c r="AD219" s="111">
        <f t="shared" si="30"/>
        <v>5</v>
      </c>
      <c r="AE219" s="111"/>
      <c r="AF219" s="111"/>
      <c r="AG219" s="111">
        <f t="shared" si="27"/>
        <v>5</v>
      </c>
      <c r="AH219" s="111">
        <f t="shared" si="28"/>
        <v>5</v>
      </c>
      <c r="AI219" s="111"/>
      <c r="AJ219" s="111"/>
      <c r="AK219" s="111"/>
      <c r="AL219" s="111"/>
      <c r="AM219" s="111">
        <f t="shared" si="29"/>
        <v>5</v>
      </c>
      <c r="AN219" s="113" t="s">
        <v>93</v>
      </c>
      <c r="AO219" s="113">
        <v>2</v>
      </c>
      <c r="AP219" s="111" t="s">
        <v>1644</v>
      </c>
      <c r="AQ219" s="112"/>
      <c r="AR219" s="112"/>
      <c r="AS219" s="112"/>
      <c r="AT219" s="112"/>
      <c r="AU219" s="112"/>
      <c r="AV219" s="112"/>
      <c r="AW219" s="112"/>
      <c r="AX219" s="112"/>
      <c r="AY219" s="112"/>
      <c r="AZ219" s="112"/>
    </row>
    <row r="220" spans="1:52" ht="39" customHeight="1" x14ac:dyDescent="0.25">
      <c r="A220" s="99">
        <v>2275</v>
      </c>
      <c r="B220" s="242" t="s">
        <v>322</v>
      </c>
      <c r="C220" s="240">
        <v>101735000</v>
      </c>
      <c r="D220" s="99" t="s">
        <v>323</v>
      </c>
      <c r="E220" s="99"/>
      <c r="F220" s="197"/>
      <c r="G220" s="99"/>
      <c r="H220" s="103" t="s">
        <v>324</v>
      </c>
      <c r="I220" s="251">
        <v>113471247</v>
      </c>
      <c r="J220" s="251">
        <v>1066389519</v>
      </c>
      <c r="K220" s="197" t="s">
        <v>325</v>
      </c>
      <c r="L220" s="197" t="s">
        <v>87</v>
      </c>
      <c r="M220" s="197" t="s">
        <v>326</v>
      </c>
      <c r="N220" s="99" t="s">
        <v>327</v>
      </c>
      <c r="O220" s="99"/>
      <c r="P220" s="99">
        <v>200</v>
      </c>
      <c r="Q220" s="99">
        <f t="shared" si="25"/>
        <v>200</v>
      </c>
      <c r="R220" s="102" t="s">
        <v>91</v>
      </c>
      <c r="S220" s="102" t="s">
        <v>90</v>
      </c>
      <c r="T220" s="102" t="s">
        <v>91</v>
      </c>
      <c r="U220" s="102" t="s">
        <v>90</v>
      </c>
      <c r="V220" s="102" t="s">
        <v>111</v>
      </c>
      <c r="W220" s="102"/>
      <c r="X220" s="102">
        <v>3</v>
      </c>
      <c r="Y220" s="102"/>
      <c r="Z220" s="102"/>
      <c r="AA220" s="102"/>
      <c r="AB220" s="102"/>
      <c r="AC220" s="197">
        <f t="shared" si="26"/>
        <v>3</v>
      </c>
      <c r="AD220" s="99">
        <f t="shared" si="30"/>
        <v>3</v>
      </c>
      <c r="AE220" s="99"/>
      <c r="AF220" s="99"/>
      <c r="AG220" s="99">
        <f t="shared" si="27"/>
        <v>3</v>
      </c>
      <c r="AH220" s="99">
        <f t="shared" si="28"/>
        <v>3</v>
      </c>
      <c r="AI220" s="99"/>
      <c r="AJ220" s="99"/>
      <c r="AK220" s="99"/>
      <c r="AL220" s="99"/>
      <c r="AM220" s="99">
        <f t="shared" si="29"/>
        <v>3</v>
      </c>
      <c r="AN220" s="102" t="s">
        <v>93</v>
      </c>
      <c r="AO220" s="102">
        <v>3</v>
      </c>
      <c r="AP220" s="99"/>
    </row>
    <row r="221" spans="1:52" ht="39" customHeight="1" x14ac:dyDescent="0.25">
      <c r="A221" s="99">
        <v>2276</v>
      </c>
      <c r="B221" s="242" t="s">
        <v>328</v>
      </c>
      <c r="C221" s="240">
        <v>101267000</v>
      </c>
      <c r="D221" s="99">
        <v>221100339304</v>
      </c>
      <c r="E221" s="99"/>
      <c r="F221" s="197" t="str">
        <f>VLOOKUP(D221,'rà soát ĐK'!B214:C664,2,0)</f>
        <v>PB04090029023</v>
      </c>
      <c r="G221" s="99" t="s">
        <v>2904</v>
      </c>
      <c r="H221" s="103" t="s">
        <v>330</v>
      </c>
      <c r="I221" s="251">
        <v>1.13501826441019E+16</v>
      </c>
      <c r="J221" s="251">
        <v>1066509018560000</v>
      </c>
      <c r="K221" s="197" t="s">
        <v>331</v>
      </c>
      <c r="L221" s="197" t="s">
        <v>87</v>
      </c>
      <c r="M221" s="197" t="s">
        <v>332</v>
      </c>
      <c r="N221" s="99" t="s">
        <v>333</v>
      </c>
      <c r="O221" s="99"/>
      <c r="P221" s="99">
        <v>750</v>
      </c>
      <c r="Q221" s="99">
        <f t="shared" si="25"/>
        <v>750</v>
      </c>
      <c r="R221" s="102" t="s">
        <v>91</v>
      </c>
      <c r="S221" s="102" t="s">
        <v>90</v>
      </c>
      <c r="T221" s="102" t="s">
        <v>91</v>
      </c>
      <c r="U221" s="102" t="s">
        <v>90</v>
      </c>
      <c r="V221" s="102" t="s">
        <v>111</v>
      </c>
      <c r="W221" s="102"/>
      <c r="X221" s="102"/>
      <c r="Y221" s="102"/>
      <c r="Z221" s="102"/>
      <c r="AA221" s="102">
        <v>21</v>
      </c>
      <c r="AB221" s="102"/>
      <c r="AC221" s="197">
        <f t="shared" si="26"/>
        <v>21</v>
      </c>
      <c r="AD221" s="99">
        <f t="shared" si="30"/>
        <v>21</v>
      </c>
      <c r="AE221" s="99"/>
      <c r="AF221" s="99"/>
      <c r="AG221" s="99">
        <f t="shared" si="27"/>
        <v>21</v>
      </c>
      <c r="AH221" s="99">
        <f t="shared" si="28"/>
        <v>21</v>
      </c>
      <c r="AI221" s="99"/>
      <c r="AJ221" s="99"/>
      <c r="AK221" s="99"/>
      <c r="AL221" s="99"/>
      <c r="AM221" s="99">
        <f t="shared" si="29"/>
        <v>21</v>
      </c>
      <c r="AN221" s="102" t="s">
        <v>93</v>
      </c>
      <c r="AO221" s="102">
        <v>2</v>
      </c>
      <c r="AP221" s="99"/>
    </row>
    <row r="222" spans="1:52" ht="39" customHeight="1" x14ac:dyDescent="0.25">
      <c r="A222" s="99">
        <v>2276</v>
      </c>
      <c r="B222" s="242" t="s">
        <v>334</v>
      </c>
      <c r="C222" s="240">
        <v>101268000</v>
      </c>
      <c r="D222" s="99">
        <v>1511290363</v>
      </c>
      <c r="E222" s="99"/>
      <c r="F222" s="197" t="str">
        <f>VLOOKUP(D222,'rà soát ĐK'!B215:C665,2,0)</f>
        <v>PB04090029022</v>
      </c>
      <c r="G222" s="99" t="s">
        <v>2902</v>
      </c>
      <c r="H222" s="103" t="s">
        <v>336</v>
      </c>
      <c r="I222" s="251">
        <v>1.13466372247888E+16</v>
      </c>
      <c r="J222" s="251">
        <v>1066475504358360</v>
      </c>
      <c r="K222" s="197" t="s">
        <v>331</v>
      </c>
      <c r="L222" s="197" t="s">
        <v>87</v>
      </c>
      <c r="M222" s="197" t="s">
        <v>337</v>
      </c>
      <c r="N222" s="99" t="s">
        <v>338</v>
      </c>
      <c r="O222" s="99"/>
      <c r="P222" s="99">
        <v>550</v>
      </c>
      <c r="Q222" s="99">
        <f t="shared" si="25"/>
        <v>550</v>
      </c>
      <c r="R222" s="102" t="s">
        <v>91</v>
      </c>
      <c r="S222" s="102" t="s">
        <v>90</v>
      </c>
      <c r="T222" s="102" t="s">
        <v>91</v>
      </c>
      <c r="U222" s="102" t="s">
        <v>90</v>
      </c>
      <c r="V222" s="102" t="s">
        <v>111</v>
      </c>
      <c r="W222" s="102"/>
      <c r="X222" s="102"/>
      <c r="Y222" s="102"/>
      <c r="Z222" s="102"/>
      <c r="AA222" s="102">
        <v>18</v>
      </c>
      <c r="AB222" s="102"/>
      <c r="AC222" s="197">
        <f t="shared" si="26"/>
        <v>18</v>
      </c>
      <c r="AD222" s="99">
        <f t="shared" si="30"/>
        <v>18</v>
      </c>
      <c r="AE222" s="99"/>
      <c r="AF222" s="99"/>
      <c r="AG222" s="99">
        <f t="shared" si="27"/>
        <v>18</v>
      </c>
      <c r="AH222" s="99">
        <f t="shared" si="28"/>
        <v>18</v>
      </c>
      <c r="AI222" s="99"/>
      <c r="AJ222" s="99"/>
      <c r="AK222" s="99"/>
      <c r="AL222" s="99"/>
      <c r="AM222" s="99">
        <f t="shared" si="29"/>
        <v>18</v>
      </c>
      <c r="AN222" s="102" t="s">
        <v>93</v>
      </c>
      <c r="AO222" s="102">
        <v>3</v>
      </c>
      <c r="AP222" s="99"/>
    </row>
    <row r="223" spans="1:52" ht="39" customHeight="1" x14ac:dyDescent="0.25">
      <c r="A223" s="99">
        <v>2277</v>
      </c>
      <c r="B223" s="242"/>
      <c r="C223" s="240"/>
      <c r="D223" s="99"/>
      <c r="E223" s="99"/>
      <c r="F223" s="197"/>
      <c r="G223" s="99"/>
      <c r="H223" s="99"/>
      <c r="I223" s="197"/>
      <c r="J223" s="197"/>
      <c r="K223" s="197" t="s">
        <v>339</v>
      </c>
      <c r="L223" s="197" t="s">
        <v>87</v>
      </c>
      <c r="M223" s="197" t="s">
        <v>326</v>
      </c>
      <c r="N223" s="99" t="s">
        <v>340</v>
      </c>
      <c r="O223" s="99"/>
      <c r="P223" s="99">
        <v>189</v>
      </c>
      <c r="Q223" s="99">
        <f t="shared" si="25"/>
        <v>189</v>
      </c>
      <c r="R223" s="102" t="s">
        <v>91</v>
      </c>
      <c r="S223" s="102" t="s">
        <v>90</v>
      </c>
      <c r="T223" s="102" t="s">
        <v>91</v>
      </c>
      <c r="U223" s="102" t="s">
        <v>90</v>
      </c>
      <c r="V223" s="102" t="s">
        <v>111</v>
      </c>
      <c r="W223" s="102"/>
      <c r="X223" s="102">
        <v>3</v>
      </c>
      <c r="Y223" s="102"/>
      <c r="Z223" s="102"/>
      <c r="AA223" s="102"/>
      <c r="AB223" s="102"/>
      <c r="AC223" s="197">
        <f t="shared" si="26"/>
        <v>3</v>
      </c>
      <c r="AD223" s="99">
        <f t="shared" si="30"/>
        <v>3</v>
      </c>
      <c r="AE223" s="99"/>
      <c r="AF223" s="99"/>
      <c r="AG223" s="99">
        <f t="shared" si="27"/>
        <v>3</v>
      </c>
      <c r="AH223" s="99">
        <f t="shared" si="28"/>
        <v>3</v>
      </c>
      <c r="AI223" s="99"/>
      <c r="AJ223" s="99"/>
      <c r="AK223" s="99"/>
      <c r="AL223" s="99"/>
      <c r="AM223" s="99">
        <f t="shared" si="29"/>
        <v>3</v>
      </c>
      <c r="AN223" s="102" t="s">
        <v>93</v>
      </c>
      <c r="AO223" s="102">
        <v>3</v>
      </c>
      <c r="AP223" s="99" t="s">
        <v>1632</v>
      </c>
    </row>
    <row r="224" spans="1:52" ht="39" customHeight="1" x14ac:dyDescent="0.25">
      <c r="A224" s="99">
        <v>2278</v>
      </c>
      <c r="B224" s="242"/>
      <c r="C224" s="240"/>
      <c r="D224" s="99"/>
      <c r="E224" s="99"/>
      <c r="F224" s="197"/>
      <c r="G224" s="99"/>
      <c r="H224" s="99"/>
      <c r="I224" s="197"/>
      <c r="J224" s="197"/>
      <c r="K224" s="197" t="s">
        <v>341</v>
      </c>
      <c r="L224" s="197" t="s">
        <v>87</v>
      </c>
      <c r="M224" s="197" t="s">
        <v>326</v>
      </c>
      <c r="N224" s="99" t="s">
        <v>342</v>
      </c>
      <c r="O224" s="99"/>
      <c r="P224" s="99">
        <v>940</v>
      </c>
      <c r="Q224" s="99">
        <f t="shared" si="25"/>
        <v>940</v>
      </c>
      <c r="R224" s="102" t="s">
        <v>91</v>
      </c>
      <c r="S224" s="102" t="s">
        <v>90</v>
      </c>
      <c r="T224" s="102" t="s">
        <v>91</v>
      </c>
      <c r="U224" s="102" t="s">
        <v>90</v>
      </c>
      <c r="V224" s="102" t="s">
        <v>111</v>
      </c>
      <c r="W224" s="102"/>
      <c r="X224" s="102">
        <v>13</v>
      </c>
      <c r="Y224" s="102"/>
      <c r="Z224" s="102"/>
      <c r="AA224" s="102"/>
      <c r="AB224" s="102"/>
      <c r="AC224" s="197">
        <f t="shared" si="26"/>
        <v>13</v>
      </c>
      <c r="AD224" s="99">
        <f t="shared" si="30"/>
        <v>13</v>
      </c>
      <c r="AE224" s="99"/>
      <c r="AF224" s="99"/>
      <c r="AG224" s="99">
        <f t="shared" si="27"/>
        <v>13</v>
      </c>
      <c r="AH224" s="99">
        <f t="shared" si="28"/>
        <v>13</v>
      </c>
      <c r="AI224" s="99"/>
      <c r="AJ224" s="99"/>
      <c r="AK224" s="99"/>
      <c r="AL224" s="99"/>
      <c r="AM224" s="99">
        <f t="shared" si="29"/>
        <v>13</v>
      </c>
      <c r="AN224" s="102" t="s">
        <v>93</v>
      </c>
      <c r="AO224" s="102">
        <v>3</v>
      </c>
      <c r="AP224" s="99" t="s">
        <v>1632</v>
      </c>
    </row>
    <row r="225" spans="1:52" ht="39" customHeight="1" x14ac:dyDescent="0.25">
      <c r="A225" s="99">
        <v>2279</v>
      </c>
      <c r="B225" s="242" t="s">
        <v>343</v>
      </c>
      <c r="C225" s="240">
        <v>101705000</v>
      </c>
      <c r="D225" s="99">
        <v>221100365360</v>
      </c>
      <c r="E225" s="99"/>
      <c r="F225" s="197" t="str">
        <f>VLOOKUP(D225,'rà soát ĐK'!B218:C668,2,0)</f>
        <v>PB04090029030</v>
      </c>
      <c r="G225" s="99" t="s">
        <v>2908</v>
      </c>
      <c r="H225" s="103" t="s">
        <v>345</v>
      </c>
      <c r="I225" s="251">
        <v>1.13531246502055E+16</v>
      </c>
      <c r="J225" s="251">
        <v>1.06624271627614E+16</v>
      </c>
      <c r="K225" s="197" t="s">
        <v>346</v>
      </c>
      <c r="L225" s="197" t="s">
        <v>87</v>
      </c>
      <c r="M225" s="197" t="s">
        <v>347</v>
      </c>
      <c r="N225" s="99" t="s">
        <v>348</v>
      </c>
      <c r="O225" s="99"/>
      <c r="P225" s="99">
        <v>850</v>
      </c>
      <c r="Q225" s="99">
        <f t="shared" si="25"/>
        <v>850</v>
      </c>
      <c r="R225" s="102" t="s">
        <v>91</v>
      </c>
      <c r="S225" s="102" t="s">
        <v>90</v>
      </c>
      <c r="T225" s="102" t="s">
        <v>91</v>
      </c>
      <c r="U225" s="102" t="s">
        <v>90</v>
      </c>
      <c r="V225" s="102" t="s">
        <v>111</v>
      </c>
      <c r="W225" s="102"/>
      <c r="X225" s="102"/>
      <c r="Y225" s="102"/>
      <c r="Z225" s="102"/>
      <c r="AA225" s="102">
        <v>22</v>
      </c>
      <c r="AB225" s="102"/>
      <c r="AC225" s="197">
        <f t="shared" si="26"/>
        <v>22</v>
      </c>
      <c r="AD225" s="99">
        <f t="shared" si="30"/>
        <v>22</v>
      </c>
      <c r="AE225" s="99"/>
      <c r="AF225" s="99"/>
      <c r="AG225" s="99">
        <f t="shared" si="27"/>
        <v>22</v>
      </c>
      <c r="AH225" s="99">
        <f t="shared" si="28"/>
        <v>22</v>
      </c>
      <c r="AI225" s="99"/>
      <c r="AJ225" s="99"/>
      <c r="AK225" s="99"/>
      <c r="AL225" s="99"/>
      <c r="AM225" s="99">
        <f t="shared" si="29"/>
        <v>22</v>
      </c>
      <c r="AN225" s="102" t="s">
        <v>93</v>
      </c>
      <c r="AO225" s="102">
        <v>3</v>
      </c>
      <c r="AP225" s="99"/>
    </row>
    <row r="226" spans="1:52" ht="39" customHeight="1" x14ac:dyDescent="0.25">
      <c r="A226" s="99">
        <v>2279</v>
      </c>
      <c r="B226" s="242" t="s">
        <v>349</v>
      </c>
      <c r="C226" s="240">
        <v>101704000</v>
      </c>
      <c r="D226" s="99">
        <v>21072747</v>
      </c>
      <c r="E226" s="99"/>
      <c r="F226" s="197" t="str">
        <f>VLOOKUP(D226,'rà soát ĐK'!B219:C669,2,0)</f>
        <v>PB04090029029</v>
      </c>
      <c r="G226" s="99" t="s">
        <v>2910</v>
      </c>
      <c r="H226" s="103" t="s">
        <v>351</v>
      </c>
      <c r="I226" s="251">
        <v>1.13458199473201E+16</v>
      </c>
      <c r="J226" s="251">
        <v>1.06626194520021E+16</v>
      </c>
      <c r="K226" s="197" t="s">
        <v>346</v>
      </c>
      <c r="L226" s="197" t="s">
        <v>87</v>
      </c>
      <c r="M226" s="197" t="s">
        <v>352</v>
      </c>
      <c r="N226" s="99" t="s">
        <v>353</v>
      </c>
      <c r="O226" s="99"/>
      <c r="P226" s="99">
        <v>570</v>
      </c>
      <c r="Q226" s="99">
        <f t="shared" si="25"/>
        <v>570</v>
      </c>
      <c r="R226" s="102" t="s">
        <v>91</v>
      </c>
      <c r="S226" s="102" t="s">
        <v>90</v>
      </c>
      <c r="T226" s="102" t="s">
        <v>91</v>
      </c>
      <c r="U226" s="102" t="s">
        <v>90</v>
      </c>
      <c r="V226" s="102" t="s">
        <v>111</v>
      </c>
      <c r="W226" s="102"/>
      <c r="X226" s="102">
        <v>4</v>
      </c>
      <c r="Y226" s="102"/>
      <c r="Z226" s="102"/>
      <c r="AA226" s="102">
        <v>10</v>
      </c>
      <c r="AB226" s="102"/>
      <c r="AC226" s="197">
        <f t="shared" si="26"/>
        <v>14</v>
      </c>
      <c r="AD226" s="99">
        <f t="shared" si="30"/>
        <v>14</v>
      </c>
      <c r="AE226" s="99"/>
      <c r="AF226" s="99"/>
      <c r="AG226" s="99">
        <f t="shared" si="27"/>
        <v>14</v>
      </c>
      <c r="AH226" s="99">
        <f t="shared" si="28"/>
        <v>14</v>
      </c>
      <c r="AI226" s="99"/>
      <c r="AJ226" s="99"/>
      <c r="AK226" s="99"/>
      <c r="AL226" s="99"/>
      <c r="AM226" s="99">
        <f t="shared" si="29"/>
        <v>14</v>
      </c>
      <c r="AN226" s="102" t="s">
        <v>93</v>
      </c>
      <c r="AO226" s="102">
        <v>3</v>
      </c>
      <c r="AP226" s="99"/>
    </row>
    <row r="227" spans="1:52" ht="39" customHeight="1" x14ac:dyDescent="0.25">
      <c r="A227" s="99">
        <v>2280</v>
      </c>
      <c r="B227" s="242" t="s">
        <v>354</v>
      </c>
      <c r="C227" s="240">
        <v>102273000</v>
      </c>
      <c r="D227" s="99">
        <v>1511289029</v>
      </c>
      <c r="E227" s="99"/>
      <c r="F227" s="197" t="str">
        <f>VLOOKUP(D227,'rà soát ĐK'!B220:C670,2,0)</f>
        <v>PB04090032438</v>
      </c>
      <c r="G227" s="99" t="s">
        <v>2918</v>
      </c>
      <c r="H227" s="103" t="s">
        <v>356</v>
      </c>
      <c r="I227" s="251">
        <v>1.13859230792253E+16</v>
      </c>
      <c r="J227" s="251">
        <v>1.06607498349721E+16</v>
      </c>
      <c r="K227" s="197" t="s">
        <v>357</v>
      </c>
      <c r="L227" s="197" t="s">
        <v>87</v>
      </c>
      <c r="M227" s="197" t="s">
        <v>358</v>
      </c>
      <c r="N227" s="99" t="s">
        <v>359</v>
      </c>
      <c r="O227" s="99"/>
      <c r="P227" s="99">
        <v>320</v>
      </c>
      <c r="Q227" s="99">
        <f t="shared" si="25"/>
        <v>320</v>
      </c>
      <c r="R227" s="102" t="s">
        <v>90</v>
      </c>
      <c r="S227" s="102" t="s">
        <v>91</v>
      </c>
      <c r="T227" s="102" t="s">
        <v>91</v>
      </c>
      <c r="U227" s="102" t="s">
        <v>90</v>
      </c>
      <c r="V227" s="102" t="s">
        <v>111</v>
      </c>
      <c r="W227" s="102"/>
      <c r="X227" s="102"/>
      <c r="Y227" s="102"/>
      <c r="Z227" s="102"/>
      <c r="AA227" s="102">
        <v>9</v>
      </c>
      <c r="AB227" s="102"/>
      <c r="AC227" s="197">
        <f t="shared" si="26"/>
        <v>9</v>
      </c>
      <c r="AD227" s="99">
        <f t="shared" si="30"/>
        <v>9</v>
      </c>
      <c r="AE227" s="99"/>
      <c r="AF227" s="99"/>
      <c r="AG227" s="99">
        <f t="shared" si="27"/>
        <v>9</v>
      </c>
      <c r="AH227" s="99">
        <f t="shared" si="28"/>
        <v>9</v>
      </c>
      <c r="AI227" s="99"/>
      <c r="AJ227" s="99"/>
      <c r="AK227" s="99"/>
      <c r="AL227" s="99"/>
      <c r="AM227" s="99">
        <f t="shared" si="29"/>
        <v>9</v>
      </c>
      <c r="AN227" s="102" t="s">
        <v>93</v>
      </c>
      <c r="AO227" s="102">
        <v>3</v>
      </c>
      <c r="AP227" s="99"/>
    </row>
    <row r="228" spans="1:52" ht="39" customHeight="1" x14ac:dyDescent="0.25">
      <c r="A228" s="99">
        <v>2280</v>
      </c>
      <c r="B228" s="242" t="s">
        <v>360</v>
      </c>
      <c r="C228" s="240">
        <v>102274000</v>
      </c>
      <c r="D228" s="99">
        <v>1511288374</v>
      </c>
      <c r="E228" s="99"/>
      <c r="F228" s="197" t="str">
        <f>VLOOKUP(D228,'rà soát ĐK'!B221:C671,2,0)</f>
        <v>PB04090032437</v>
      </c>
      <c r="G228" s="99" t="s">
        <v>2916</v>
      </c>
      <c r="H228" s="103" t="s">
        <v>362</v>
      </c>
      <c r="I228" s="251">
        <v>1.13832698296861E+16</v>
      </c>
      <c r="J228" s="251">
        <v>1.06607514610613E+16</v>
      </c>
      <c r="K228" s="197" t="s">
        <v>357</v>
      </c>
      <c r="L228" s="197" t="s">
        <v>87</v>
      </c>
      <c r="M228" s="197" t="s">
        <v>363</v>
      </c>
      <c r="N228" s="99" t="s">
        <v>364</v>
      </c>
      <c r="O228" s="99"/>
      <c r="P228" s="99">
        <v>220</v>
      </c>
      <c r="Q228" s="99">
        <f t="shared" si="25"/>
        <v>220</v>
      </c>
      <c r="R228" s="102" t="s">
        <v>91</v>
      </c>
      <c r="S228" s="102" t="s">
        <v>90</v>
      </c>
      <c r="T228" s="102" t="s">
        <v>91</v>
      </c>
      <c r="U228" s="102" t="s">
        <v>90</v>
      </c>
      <c r="V228" s="102" t="s">
        <v>92</v>
      </c>
      <c r="W228" s="102"/>
      <c r="X228" s="102"/>
      <c r="Y228" s="102"/>
      <c r="Z228" s="102"/>
      <c r="AA228" s="102">
        <v>8</v>
      </c>
      <c r="AB228" s="102"/>
      <c r="AC228" s="197">
        <f t="shared" si="26"/>
        <v>8</v>
      </c>
      <c r="AD228" s="99">
        <f t="shared" si="30"/>
        <v>8</v>
      </c>
      <c r="AE228" s="99"/>
      <c r="AF228" s="99"/>
      <c r="AG228" s="99">
        <f t="shared" si="27"/>
        <v>8</v>
      </c>
      <c r="AH228" s="99">
        <f t="shared" si="28"/>
        <v>8</v>
      </c>
      <c r="AI228" s="99"/>
      <c r="AJ228" s="99"/>
      <c r="AK228" s="99"/>
      <c r="AL228" s="99"/>
      <c r="AM228" s="99">
        <f t="shared" si="29"/>
        <v>8</v>
      </c>
      <c r="AN228" s="102" t="s">
        <v>93</v>
      </c>
      <c r="AO228" s="102">
        <v>3</v>
      </c>
      <c r="AP228" s="99"/>
    </row>
    <row r="229" spans="1:52" ht="39" customHeight="1" x14ac:dyDescent="0.25">
      <c r="A229" s="99">
        <v>2280</v>
      </c>
      <c r="B229" s="242" t="s">
        <v>365</v>
      </c>
      <c r="C229" s="240">
        <v>102275000</v>
      </c>
      <c r="D229" s="99">
        <v>21082728</v>
      </c>
      <c r="E229" s="99"/>
      <c r="F229" s="197" t="str">
        <f>VLOOKUP(D229,'rà soát ĐK'!B222:C672,2,0)</f>
        <v>PB04090029026</v>
      </c>
      <c r="G229" s="99" t="s">
        <v>2914</v>
      </c>
      <c r="H229" s="99" t="s">
        <v>367</v>
      </c>
      <c r="I229" s="239">
        <v>1.1380776590678E+16</v>
      </c>
      <c r="J229" s="239">
        <v>1.06606212817231E+16</v>
      </c>
      <c r="K229" s="197" t="s">
        <v>357</v>
      </c>
      <c r="L229" s="197" t="s">
        <v>87</v>
      </c>
      <c r="M229" s="197" t="s">
        <v>368</v>
      </c>
      <c r="N229" s="99" t="s">
        <v>369</v>
      </c>
      <c r="O229" s="99"/>
      <c r="P229" s="99">
        <v>600</v>
      </c>
      <c r="Q229" s="99">
        <f t="shared" si="25"/>
        <v>600</v>
      </c>
      <c r="R229" s="102" t="s">
        <v>91</v>
      </c>
      <c r="S229" s="102" t="s">
        <v>90</v>
      </c>
      <c r="T229" s="102" t="s">
        <v>91</v>
      </c>
      <c r="U229" s="102" t="s">
        <v>90</v>
      </c>
      <c r="V229" s="102" t="s">
        <v>111</v>
      </c>
      <c r="W229" s="102"/>
      <c r="X229" s="102"/>
      <c r="Y229" s="102"/>
      <c r="Z229" s="102"/>
      <c r="AA229" s="102">
        <v>16</v>
      </c>
      <c r="AB229" s="102"/>
      <c r="AC229" s="197">
        <f t="shared" si="26"/>
        <v>16</v>
      </c>
      <c r="AD229" s="99">
        <f t="shared" si="30"/>
        <v>16</v>
      </c>
      <c r="AE229" s="99"/>
      <c r="AF229" s="99"/>
      <c r="AG229" s="99">
        <f t="shared" si="27"/>
        <v>16</v>
      </c>
      <c r="AH229" s="99">
        <f t="shared" si="28"/>
        <v>16</v>
      </c>
      <c r="AI229" s="99"/>
      <c r="AJ229" s="99"/>
      <c r="AK229" s="99"/>
      <c r="AL229" s="99"/>
      <c r="AM229" s="99">
        <f t="shared" si="29"/>
        <v>16</v>
      </c>
      <c r="AN229" s="102" t="s">
        <v>93</v>
      </c>
      <c r="AO229" s="102">
        <v>2</v>
      </c>
      <c r="AP229" s="99"/>
    </row>
    <row r="230" spans="1:52" s="112" customFormat="1" ht="30" customHeight="1" x14ac:dyDescent="0.25">
      <c r="A230" s="111">
        <v>2280</v>
      </c>
      <c r="B230" s="255" t="s">
        <v>370</v>
      </c>
      <c r="C230" s="241">
        <v>102270000</v>
      </c>
      <c r="D230" s="111">
        <v>25100073533</v>
      </c>
      <c r="E230" s="111"/>
      <c r="F230" s="248" t="str">
        <f>VLOOKUP(D230,'rà soát ĐK'!B223:C673,2,0)</f>
        <v>Không tìm thấy mã</v>
      </c>
      <c r="G230" s="111" t="s">
        <v>2898</v>
      </c>
      <c r="H230" s="116" t="s">
        <v>372</v>
      </c>
      <c r="I230" s="252">
        <v>1.13764305738835E+16</v>
      </c>
      <c r="J230" s="252">
        <v>1.06605042200634E+16</v>
      </c>
      <c r="K230" s="248" t="s">
        <v>357</v>
      </c>
      <c r="L230" s="248" t="s">
        <v>87</v>
      </c>
      <c r="M230" s="248" t="s">
        <v>373</v>
      </c>
      <c r="N230" s="111" t="s">
        <v>374</v>
      </c>
      <c r="O230" s="111"/>
      <c r="P230" s="111">
        <v>380</v>
      </c>
      <c r="Q230" s="111">
        <f t="shared" si="25"/>
        <v>380</v>
      </c>
      <c r="R230" s="113" t="s">
        <v>91</v>
      </c>
      <c r="S230" s="113" t="s">
        <v>90</v>
      </c>
      <c r="T230" s="113" t="s">
        <v>91</v>
      </c>
      <c r="U230" s="113" t="s">
        <v>90</v>
      </c>
      <c r="V230" s="113" t="s">
        <v>111</v>
      </c>
      <c r="W230" s="113"/>
      <c r="X230" s="113"/>
      <c r="Y230" s="113"/>
      <c r="Z230" s="113"/>
      <c r="AA230" s="113">
        <v>12</v>
      </c>
      <c r="AB230" s="113"/>
      <c r="AC230" s="248">
        <f t="shared" si="26"/>
        <v>12</v>
      </c>
      <c r="AD230" s="111">
        <f t="shared" si="30"/>
        <v>12</v>
      </c>
      <c r="AE230" s="111"/>
      <c r="AF230" s="111"/>
      <c r="AG230" s="111">
        <f t="shared" si="27"/>
        <v>12</v>
      </c>
      <c r="AH230" s="111">
        <f t="shared" si="28"/>
        <v>12</v>
      </c>
      <c r="AI230" s="111"/>
      <c r="AJ230" s="111"/>
      <c r="AK230" s="111"/>
      <c r="AL230" s="111"/>
      <c r="AM230" s="111">
        <f t="shared" si="29"/>
        <v>12</v>
      </c>
      <c r="AN230" s="113" t="s">
        <v>93</v>
      </c>
      <c r="AO230" s="113">
        <v>2</v>
      </c>
      <c r="AP230" s="111"/>
    </row>
    <row r="231" spans="1:52" ht="39" customHeight="1" x14ac:dyDescent="0.25">
      <c r="A231" s="99">
        <v>2280</v>
      </c>
      <c r="B231" s="242" t="s">
        <v>375</v>
      </c>
      <c r="C231" s="240">
        <v>102271000</v>
      </c>
      <c r="D231" s="99">
        <v>241200504227</v>
      </c>
      <c r="E231" s="99"/>
      <c r="F231" s="197" t="str">
        <f>VLOOKUP(D231,'rà soát ĐK'!B224:C674,2,0)</f>
        <v>PB04090039556</v>
      </c>
      <c r="G231" s="99" t="s">
        <v>2912</v>
      </c>
      <c r="H231" s="103" t="s">
        <v>377</v>
      </c>
      <c r="I231" s="251">
        <v>1.13650082442182E+16</v>
      </c>
      <c r="J231" s="251">
        <v>1.06591174549418E+16</v>
      </c>
      <c r="K231" s="197" t="s">
        <v>357</v>
      </c>
      <c r="L231" s="197" t="s">
        <v>87</v>
      </c>
      <c r="M231" s="197" t="s">
        <v>378</v>
      </c>
      <c r="N231" s="99" t="s">
        <v>379</v>
      </c>
      <c r="O231" s="99"/>
      <c r="P231" s="99">
        <v>159</v>
      </c>
      <c r="Q231" s="99">
        <f t="shared" si="25"/>
        <v>159</v>
      </c>
      <c r="R231" s="102" t="s">
        <v>91</v>
      </c>
      <c r="S231" s="102" t="s">
        <v>90</v>
      </c>
      <c r="T231" s="102" t="s">
        <v>91</v>
      </c>
      <c r="U231" s="102" t="s">
        <v>90</v>
      </c>
      <c r="V231" s="102" t="s">
        <v>111</v>
      </c>
      <c r="W231" s="102"/>
      <c r="X231" s="102"/>
      <c r="Y231" s="102"/>
      <c r="Z231" s="102"/>
      <c r="AA231" s="102">
        <v>5</v>
      </c>
      <c r="AB231" s="102"/>
      <c r="AC231" s="197">
        <f t="shared" si="26"/>
        <v>5</v>
      </c>
      <c r="AD231" s="99">
        <f t="shared" si="30"/>
        <v>5</v>
      </c>
      <c r="AE231" s="99"/>
      <c r="AF231" s="99"/>
      <c r="AG231" s="99">
        <f t="shared" si="27"/>
        <v>5</v>
      </c>
      <c r="AH231" s="99">
        <f t="shared" si="28"/>
        <v>5</v>
      </c>
      <c r="AI231" s="99"/>
      <c r="AJ231" s="99"/>
      <c r="AK231" s="99"/>
      <c r="AL231" s="99"/>
      <c r="AM231" s="99">
        <f t="shared" si="29"/>
        <v>5</v>
      </c>
      <c r="AN231" s="102" t="s">
        <v>93</v>
      </c>
      <c r="AO231" s="102">
        <v>2</v>
      </c>
      <c r="AP231" s="99"/>
    </row>
    <row r="232" spans="1:52" s="112" customFormat="1" ht="39" customHeight="1" x14ac:dyDescent="0.25">
      <c r="A232" s="99">
        <v>2280</v>
      </c>
      <c r="B232" s="242" t="s">
        <v>380</v>
      </c>
      <c r="C232" s="240">
        <v>101712000</v>
      </c>
      <c r="D232" s="99">
        <v>23901594</v>
      </c>
      <c r="E232" s="99"/>
      <c r="F232" s="197" t="str">
        <f>VLOOKUP(D232,'rà soát ĐK'!B225:C675,2,0)</f>
        <v>PB04090026172</v>
      </c>
      <c r="G232" s="99" t="s">
        <v>2873</v>
      </c>
      <c r="H232" s="103" t="s">
        <v>382</v>
      </c>
      <c r="I232" s="251">
        <v>1.13460680284691E+16</v>
      </c>
      <c r="J232" s="251">
        <v>1065847304252930</v>
      </c>
      <c r="K232" s="197" t="s">
        <v>383</v>
      </c>
      <c r="L232" s="197" t="s">
        <v>87</v>
      </c>
      <c r="M232" s="197" t="s">
        <v>384</v>
      </c>
      <c r="N232" s="99" t="s">
        <v>385</v>
      </c>
      <c r="O232" s="99"/>
      <c r="P232" s="99">
        <v>1060</v>
      </c>
      <c r="Q232" s="99">
        <f t="shared" si="25"/>
        <v>1060</v>
      </c>
      <c r="R232" s="102" t="s">
        <v>90</v>
      </c>
      <c r="S232" s="102" t="s">
        <v>91</v>
      </c>
      <c r="T232" s="102" t="s">
        <v>91</v>
      </c>
      <c r="U232" s="102" t="s">
        <v>90</v>
      </c>
      <c r="V232" s="102" t="s">
        <v>92</v>
      </c>
      <c r="W232" s="102"/>
      <c r="X232" s="102">
        <v>22</v>
      </c>
      <c r="Y232" s="102"/>
      <c r="Z232" s="102"/>
      <c r="AA232" s="102"/>
      <c r="AB232" s="102"/>
      <c r="AC232" s="197">
        <f t="shared" ref="AC232:AC263" si="31">W232+X232+Y232+Z232+AA232+AB232</f>
        <v>22</v>
      </c>
      <c r="AD232" s="99">
        <f t="shared" si="30"/>
        <v>22</v>
      </c>
      <c r="AE232" s="99"/>
      <c r="AF232" s="99"/>
      <c r="AG232" s="99">
        <f t="shared" ref="AG232:AG263" si="32">AF232+AE232+AD232</f>
        <v>22</v>
      </c>
      <c r="AH232" s="99">
        <f t="shared" ref="AH232:AH252" si="33">AC232</f>
        <v>22</v>
      </c>
      <c r="AI232" s="99"/>
      <c r="AJ232" s="99"/>
      <c r="AK232" s="99"/>
      <c r="AL232" s="99"/>
      <c r="AM232" s="99">
        <f t="shared" si="29"/>
        <v>22</v>
      </c>
      <c r="AN232" s="102" t="s">
        <v>93</v>
      </c>
      <c r="AO232" s="102">
        <v>3</v>
      </c>
      <c r="AP232" s="99"/>
      <c r="AQ232" s="90"/>
      <c r="AR232" s="90"/>
      <c r="AS232" s="90"/>
      <c r="AT232" s="90"/>
      <c r="AU232" s="90"/>
      <c r="AV232" s="90"/>
      <c r="AW232" s="90"/>
      <c r="AX232" s="90"/>
      <c r="AY232" s="90"/>
      <c r="AZ232" s="90"/>
    </row>
    <row r="233" spans="1:52" s="112" customFormat="1" ht="30" customHeight="1" x14ac:dyDescent="0.25">
      <c r="A233" s="111">
        <v>2281</v>
      </c>
      <c r="B233" s="255" t="s">
        <v>386</v>
      </c>
      <c r="C233" s="241">
        <v>101708000</v>
      </c>
      <c r="D233" s="111">
        <v>1511288383</v>
      </c>
      <c r="E233" s="111"/>
      <c r="F233" s="248" t="e">
        <f>VLOOKUP(D233,'rà soát ĐK'!B226:C676,2,0)</f>
        <v>#N/A</v>
      </c>
      <c r="G233" s="111" t="e">
        <v>#N/A</v>
      </c>
      <c r="H233" s="116" t="s">
        <v>388</v>
      </c>
      <c r="I233" s="252">
        <v>1.13663920713694E+16</v>
      </c>
      <c r="J233" s="252">
        <v>1.06597375609079E+16</v>
      </c>
      <c r="K233" s="248" t="s">
        <v>389</v>
      </c>
      <c r="L233" s="248" t="s">
        <v>87</v>
      </c>
      <c r="M233" s="248" t="s">
        <v>390</v>
      </c>
      <c r="N233" s="111" t="s">
        <v>391</v>
      </c>
      <c r="O233" s="111"/>
      <c r="P233" s="111">
        <v>1320</v>
      </c>
      <c r="Q233" s="111">
        <f t="shared" si="25"/>
        <v>1320</v>
      </c>
      <c r="R233" s="113" t="s">
        <v>91</v>
      </c>
      <c r="S233" s="113" t="s">
        <v>90</v>
      </c>
      <c r="T233" s="113" t="s">
        <v>91</v>
      </c>
      <c r="U233" s="113" t="s">
        <v>90</v>
      </c>
      <c r="V233" s="113" t="s">
        <v>111</v>
      </c>
      <c r="W233" s="113"/>
      <c r="X233" s="113">
        <v>4</v>
      </c>
      <c r="Y233" s="113"/>
      <c r="Z233" s="113"/>
      <c r="AA233" s="113">
        <v>16</v>
      </c>
      <c r="AB233" s="113"/>
      <c r="AC233" s="248">
        <f t="shared" si="31"/>
        <v>20</v>
      </c>
      <c r="AD233" s="111">
        <f t="shared" si="30"/>
        <v>20</v>
      </c>
      <c r="AE233" s="111"/>
      <c r="AF233" s="111"/>
      <c r="AG233" s="111">
        <f t="shared" si="32"/>
        <v>20</v>
      </c>
      <c r="AH233" s="111">
        <f t="shared" si="33"/>
        <v>20</v>
      </c>
      <c r="AI233" s="111"/>
      <c r="AJ233" s="111"/>
      <c r="AK233" s="111"/>
      <c r="AL233" s="111"/>
      <c r="AM233" s="111">
        <f t="shared" si="29"/>
        <v>20</v>
      </c>
      <c r="AN233" s="113" t="s">
        <v>93</v>
      </c>
      <c r="AO233" s="113">
        <v>2</v>
      </c>
      <c r="AP233" s="111" t="s">
        <v>392</v>
      </c>
    </row>
    <row r="234" spans="1:52" s="112" customFormat="1" ht="30" customHeight="1" x14ac:dyDescent="0.25">
      <c r="A234" s="99">
        <v>2281</v>
      </c>
      <c r="B234" s="242" t="s">
        <v>393</v>
      </c>
      <c r="C234" s="240">
        <v>101709000</v>
      </c>
      <c r="D234" s="99">
        <v>21200356278</v>
      </c>
      <c r="E234" s="99"/>
      <c r="F234" s="197" t="e">
        <f>VLOOKUP(D234,'rà soát ĐK'!B227:C677,2,0)</f>
        <v>#N/A</v>
      </c>
      <c r="G234" s="99" t="e">
        <v>#N/A</v>
      </c>
      <c r="H234" s="103" t="s">
        <v>395</v>
      </c>
      <c r="I234" s="251">
        <v>1.13644495233999E+16</v>
      </c>
      <c r="J234" s="251">
        <v>1.06598889464611E+16</v>
      </c>
      <c r="K234" s="197" t="s">
        <v>396</v>
      </c>
      <c r="L234" s="197" t="s">
        <v>87</v>
      </c>
      <c r="M234" s="197" t="s">
        <v>397</v>
      </c>
      <c r="N234" s="99" t="s">
        <v>398</v>
      </c>
      <c r="O234" s="99"/>
      <c r="P234" s="99">
        <v>460</v>
      </c>
      <c r="Q234" s="99">
        <f t="shared" si="25"/>
        <v>460</v>
      </c>
      <c r="R234" s="102" t="s">
        <v>91</v>
      </c>
      <c r="S234" s="102" t="s">
        <v>90</v>
      </c>
      <c r="T234" s="102" t="s">
        <v>91</v>
      </c>
      <c r="U234" s="102" t="s">
        <v>90</v>
      </c>
      <c r="V234" s="102" t="s">
        <v>92</v>
      </c>
      <c r="W234" s="102"/>
      <c r="X234" s="102"/>
      <c r="Y234" s="102"/>
      <c r="Z234" s="102"/>
      <c r="AA234" s="102">
        <v>9</v>
      </c>
      <c r="AB234" s="102"/>
      <c r="AC234" s="197">
        <f t="shared" si="31"/>
        <v>9</v>
      </c>
      <c r="AD234" s="99">
        <f t="shared" si="30"/>
        <v>9</v>
      </c>
      <c r="AE234" s="99"/>
      <c r="AF234" s="99"/>
      <c r="AG234" s="99">
        <f t="shared" si="32"/>
        <v>9</v>
      </c>
      <c r="AH234" s="99">
        <f t="shared" si="33"/>
        <v>9</v>
      </c>
      <c r="AI234" s="99"/>
      <c r="AJ234" s="99"/>
      <c r="AK234" s="99"/>
      <c r="AL234" s="99"/>
      <c r="AM234" s="99">
        <f t="shared" si="29"/>
        <v>9</v>
      </c>
      <c r="AN234" s="102" t="s">
        <v>93</v>
      </c>
      <c r="AO234" s="102">
        <v>2</v>
      </c>
      <c r="AP234" s="99" t="s">
        <v>392</v>
      </c>
      <c r="AQ234" s="90"/>
      <c r="AR234" s="90"/>
      <c r="AS234" s="90"/>
      <c r="AT234" s="90"/>
      <c r="AU234" s="90"/>
      <c r="AV234" s="90"/>
      <c r="AW234" s="90"/>
      <c r="AX234" s="90"/>
      <c r="AY234" s="90"/>
      <c r="AZ234" s="90"/>
    </row>
    <row r="235" spans="1:52" s="112" customFormat="1" ht="30" customHeight="1" x14ac:dyDescent="0.25">
      <c r="A235" s="99">
        <v>2281</v>
      </c>
      <c r="B235" s="242" t="s">
        <v>399</v>
      </c>
      <c r="C235" s="240">
        <v>101710000</v>
      </c>
      <c r="D235" s="99">
        <v>22602454</v>
      </c>
      <c r="E235" s="99"/>
      <c r="F235" s="197" t="e">
        <f>VLOOKUP(D235,'rà soát ĐK'!B228:C678,2,0)</f>
        <v>#N/A</v>
      </c>
      <c r="G235" s="99" t="e">
        <v>#N/A</v>
      </c>
      <c r="H235" s="103" t="s">
        <v>401</v>
      </c>
      <c r="I235" s="251">
        <v>1.13620872097193E+16</v>
      </c>
      <c r="J235" s="251">
        <v>1.06605822472001E+16</v>
      </c>
      <c r="K235" s="197" t="s">
        <v>396</v>
      </c>
      <c r="L235" s="197" t="s">
        <v>87</v>
      </c>
      <c r="M235" s="197" t="s">
        <v>402</v>
      </c>
      <c r="N235" s="99" t="s">
        <v>403</v>
      </c>
      <c r="O235" s="99"/>
      <c r="P235" s="99">
        <v>920</v>
      </c>
      <c r="Q235" s="99">
        <f t="shared" si="25"/>
        <v>920</v>
      </c>
      <c r="R235" s="102" t="s">
        <v>91</v>
      </c>
      <c r="S235" s="102" t="s">
        <v>90</v>
      </c>
      <c r="T235" s="102" t="s">
        <v>91</v>
      </c>
      <c r="U235" s="102" t="s">
        <v>90</v>
      </c>
      <c r="V235" s="102" t="s">
        <v>92</v>
      </c>
      <c r="W235" s="102"/>
      <c r="X235" s="102"/>
      <c r="Y235" s="102"/>
      <c r="Z235" s="102"/>
      <c r="AA235" s="102">
        <v>21</v>
      </c>
      <c r="AB235" s="102"/>
      <c r="AC235" s="197">
        <f t="shared" si="31"/>
        <v>21</v>
      </c>
      <c r="AD235" s="99">
        <f t="shared" si="30"/>
        <v>21</v>
      </c>
      <c r="AE235" s="99"/>
      <c r="AF235" s="99"/>
      <c r="AG235" s="99">
        <f t="shared" si="32"/>
        <v>21</v>
      </c>
      <c r="AH235" s="99">
        <f t="shared" si="33"/>
        <v>21</v>
      </c>
      <c r="AI235" s="99"/>
      <c r="AJ235" s="99"/>
      <c r="AK235" s="99"/>
      <c r="AL235" s="99"/>
      <c r="AM235" s="99">
        <f t="shared" si="29"/>
        <v>21</v>
      </c>
      <c r="AN235" s="102" t="s">
        <v>93</v>
      </c>
      <c r="AO235" s="102">
        <v>2</v>
      </c>
      <c r="AP235" s="99" t="s">
        <v>392</v>
      </c>
      <c r="AQ235" s="90"/>
      <c r="AR235" s="90"/>
      <c r="AS235" s="90"/>
      <c r="AT235" s="90"/>
      <c r="AU235" s="90"/>
      <c r="AV235" s="90"/>
      <c r="AW235" s="90"/>
      <c r="AX235" s="90"/>
      <c r="AY235" s="90"/>
      <c r="AZ235" s="90"/>
    </row>
    <row r="236" spans="1:52" ht="30" customHeight="1" x14ac:dyDescent="0.25">
      <c r="A236" s="99">
        <v>2281</v>
      </c>
      <c r="B236" s="242" t="s">
        <v>404</v>
      </c>
      <c r="C236" s="240">
        <v>101707000</v>
      </c>
      <c r="D236" s="99">
        <v>221100238734</v>
      </c>
      <c r="E236" s="99"/>
      <c r="F236" s="197" t="e">
        <f>VLOOKUP(D236,'rà soát ĐK'!B229:C679,2,0)</f>
        <v>#N/A</v>
      </c>
      <c r="G236" s="99" t="e">
        <v>#N/A</v>
      </c>
      <c r="H236" s="103" t="s">
        <v>406</v>
      </c>
      <c r="I236" s="251">
        <v>1.13618683654162E+16</v>
      </c>
      <c r="J236" s="251">
        <v>1.06613667144912E+16</v>
      </c>
      <c r="K236" s="197" t="s">
        <v>396</v>
      </c>
      <c r="L236" s="197" t="s">
        <v>87</v>
      </c>
      <c r="M236" s="197" t="s">
        <v>407</v>
      </c>
      <c r="N236" s="99" t="s">
        <v>408</v>
      </c>
      <c r="O236" s="99"/>
      <c r="P236" s="99">
        <v>850</v>
      </c>
      <c r="Q236" s="99">
        <f t="shared" si="25"/>
        <v>850</v>
      </c>
      <c r="R236" s="102" t="s">
        <v>91</v>
      </c>
      <c r="S236" s="102" t="s">
        <v>90</v>
      </c>
      <c r="T236" s="102" t="s">
        <v>91</v>
      </c>
      <c r="U236" s="102" t="s">
        <v>90</v>
      </c>
      <c r="V236" s="102" t="s">
        <v>92</v>
      </c>
      <c r="W236" s="102"/>
      <c r="X236" s="102"/>
      <c r="Y236" s="102"/>
      <c r="Z236" s="102"/>
      <c r="AA236" s="102">
        <v>18</v>
      </c>
      <c r="AB236" s="102"/>
      <c r="AC236" s="197">
        <f t="shared" si="31"/>
        <v>18</v>
      </c>
      <c r="AD236" s="99">
        <f t="shared" si="30"/>
        <v>18</v>
      </c>
      <c r="AE236" s="99"/>
      <c r="AF236" s="99"/>
      <c r="AG236" s="99">
        <f t="shared" si="32"/>
        <v>18</v>
      </c>
      <c r="AH236" s="99">
        <f t="shared" si="33"/>
        <v>18</v>
      </c>
      <c r="AI236" s="99"/>
      <c r="AJ236" s="99"/>
      <c r="AK236" s="99"/>
      <c r="AL236" s="99"/>
      <c r="AM236" s="99">
        <f t="shared" si="29"/>
        <v>18</v>
      </c>
      <c r="AN236" s="102" t="s">
        <v>93</v>
      </c>
      <c r="AO236" s="102">
        <v>2</v>
      </c>
      <c r="AP236" s="99" t="s">
        <v>392</v>
      </c>
    </row>
    <row r="237" spans="1:52" ht="30" customHeight="1" x14ac:dyDescent="0.25">
      <c r="A237" s="99">
        <v>2281</v>
      </c>
      <c r="B237" s="242" t="s">
        <v>409</v>
      </c>
      <c r="C237" s="240">
        <v>101706000</v>
      </c>
      <c r="D237" s="99">
        <v>241200228546</v>
      </c>
      <c r="E237" s="99"/>
      <c r="F237" s="197" t="e">
        <f>VLOOKUP(D237,'rà soát ĐK'!B230:C680,2,0)</f>
        <v>#N/A</v>
      </c>
      <c r="G237" s="99" t="e">
        <v>#N/A</v>
      </c>
      <c r="H237" s="103" t="s">
        <v>411</v>
      </c>
      <c r="I237" s="251">
        <v>1135700403828760</v>
      </c>
      <c r="J237" s="251">
        <v>1.06626306686457E+16</v>
      </c>
      <c r="K237" s="197" t="s">
        <v>412</v>
      </c>
      <c r="L237" s="197" t="s">
        <v>87</v>
      </c>
      <c r="M237" s="197" t="s">
        <v>413</v>
      </c>
      <c r="N237" s="99" t="s">
        <v>414</v>
      </c>
      <c r="O237" s="99"/>
      <c r="P237" s="99">
        <v>2000</v>
      </c>
      <c r="Q237" s="99">
        <f t="shared" si="25"/>
        <v>2000</v>
      </c>
      <c r="R237" s="102" t="s">
        <v>91</v>
      </c>
      <c r="S237" s="102" t="s">
        <v>90</v>
      </c>
      <c r="T237" s="102" t="s">
        <v>91</v>
      </c>
      <c r="U237" s="102" t="s">
        <v>90</v>
      </c>
      <c r="V237" s="102" t="s">
        <v>111</v>
      </c>
      <c r="W237" s="102"/>
      <c r="X237" s="102">
        <v>28</v>
      </c>
      <c r="Y237" s="102"/>
      <c r="Z237" s="102"/>
      <c r="AA237" s="102">
        <v>1</v>
      </c>
      <c r="AB237" s="102"/>
      <c r="AC237" s="197">
        <f t="shared" si="31"/>
        <v>29</v>
      </c>
      <c r="AD237" s="99">
        <f t="shared" si="30"/>
        <v>29</v>
      </c>
      <c r="AE237" s="99"/>
      <c r="AF237" s="99"/>
      <c r="AG237" s="99">
        <f t="shared" si="32"/>
        <v>29</v>
      </c>
      <c r="AH237" s="99">
        <f t="shared" si="33"/>
        <v>29</v>
      </c>
      <c r="AI237" s="99"/>
      <c r="AJ237" s="99"/>
      <c r="AK237" s="99"/>
      <c r="AL237" s="99"/>
      <c r="AM237" s="99">
        <f t="shared" si="29"/>
        <v>29</v>
      </c>
      <c r="AN237" s="102" t="s">
        <v>93</v>
      </c>
      <c r="AO237" s="102">
        <v>2</v>
      </c>
      <c r="AP237" s="99" t="s">
        <v>392</v>
      </c>
    </row>
    <row r="238" spans="1:52" ht="30" customHeight="1" x14ac:dyDescent="0.25">
      <c r="A238" s="99">
        <v>2281</v>
      </c>
      <c r="B238" s="242" t="s">
        <v>415</v>
      </c>
      <c r="C238" s="240">
        <v>101713000</v>
      </c>
      <c r="D238" s="99">
        <v>1511221720</v>
      </c>
      <c r="E238" s="99"/>
      <c r="F238" s="197" t="e">
        <f>VLOOKUP(D238,'rà soát ĐK'!B231:C681,2,0)</f>
        <v>#N/A</v>
      </c>
      <c r="G238" s="99" t="e">
        <v>#N/A</v>
      </c>
      <c r="H238" s="103" t="s">
        <v>417</v>
      </c>
      <c r="I238" s="251">
        <v>1.13479744317115E+16</v>
      </c>
      <c r="J238" s="251">
        <v>1.06585747227171E+16</v>
      </c>
      <c r="K238" s="197" t="s">
        <v>302</v>
      </c>
      <c r="L238" s="197" t="s">
        <v>87</v>
      </c>
      <c r="M238" s="197" t="s">
        <v>418</v>
      </c>
      <c r="N238" s="99" t="s">
        <v>419</v>
      </c>
      <c r="O238" s="99"/>
      <c r="P238" s="99">
        <v>1310</v>
      </c>
      <c r="Q238" s="99">
        <f t="shared" si="25"/>
        <v>1310</v>
      </c>
      <c r="R238" s="102" t="s">
        <v>90</v>
      </c>
      <c r="S238" s="102" t="s">
        <v>91</v>
      </c>
      <c r="T238" s="102" t="s">
        <v>91</v>
      </c>
      <c r="U238" s="102" t="s">
        <v>90</v>
      </c>
      <c r="V238" s="102" t="s">
        <v>111</v>
      </c>
      <c r="W238" s="102"/>
      <c r="X238" s="102"/>
      <c r="Y238" s="102"/>
      <c r="Z238" s="102"/>
      <c r="AA238" s="102">
        <v>28</v>
      </c>
      <c r="AB238" s="102"/>
      <c r="AC238" s="197">
        <f t="shared" si="31"/>
        <v>28</v>
      </c>
      <c r="AD238" s="99">
        <f t="shared" si="30"/>
        <v>28</v>
      </c>
      <c r="AE238" s="99"/>
      <c r="AF238" s="99"/>
      <c r="AG238" s="99">
        <f t="shared" si="32"/>
        <v>28</v>
      </c>
      <c r="AH238" s="99">
        <f t="shared" si="33"/>
        <v>28</v>
      </c>
      <c r="AI238" s="99"/>
      <c r="AJ238" s="99"/>
      <c r="AK238" s="99"/>
      <c r="AL238" s="99"/>
      <c r="AM238" s="99">
        <f t="shared" si="29"/>
        <v>28</v>
      </c>
      <c r="AN238" s="102" t="s">
        <v>93</v>
      </c>
      <c r="AO238" s="102">
        <v>3</v>
      </c>
      <c r="AP238" s="99"/>
    </row>
    <row r="239" spans="1:52" ht="39" customHeight="1" x14ac:dyDescent="0.25">
      <c r="A239" s="99">
        <v>2282</v>
      </c>
      <c r="B239" s="242" t="s">
        <v>425</v>
      </c>
      <c r="C239" s="240">
        <v>102266000</v>
      </c>
      <c r="D239" s="232">
        <v>1611082751</v>
      </c>
      <c r="E239" s="118"/>
      <c r="F239" s="197" t="str">
        <f>VLOOKUP(D239,'rà soát ĐK'!B232:C682,2,0)</f>
        <v>PB04090027247</v>
      </c>
      <c r="G239" s="118" t="s">
        <v>2763</v>
      </c>
      <c r="H239" s="103" t="s">
        <v>426</v>
      </c>
      <c r="I239" s="251">
        <v>1.13422613684193E+16</v>
      </c>
      <c r="J239" s="251">
        <v>1.0664042062136E+16</v>
      </c>
      <c r="K239" s="197" t="s">
        <v>427</v>
      </c>
      <c r="L239" s="197" t="s">
        <v>87</v>
      </c>
      <c r="M239" s="197" t="s">
        <v>428</v>
      </c>
      <c r="N239" s="99" t="s">
        <v>429</v>
      </c>
      <c r="O239" s="99"/>
      <c r="P239" s="99">
        <v>790</v>
      </c>
      <c r="Q239" s="99">
        <f t="shared" si="25"/>
        <v>790</v>
      </c>
      <c r="R239" s="102" t="s">
        <v>91</v>
      </c>
      <c r="S239" s="102" t="s">
        <v>90</v>
      </c>
      <c r="T239" s="102" t="s">
        <v>91</v>
      </c>
      <c r="U239" s="102" t="s">
        <v>90</v>
      </c>
      <c r="V239" s="102" t="s">
        <v>111</v>
      </c>
      <c r="W239" s="102"/>
      <c r="X239" s="102"/>
      <c r="Y239" s="102"/>
      <c r="Z239" s="102"/>
      <c r="AA239" s="102">
        <v>19</v>
      </c>
      <c r="AB239" s="102"/>
      <c r="AC239" s="197">
        <f t="shared" si="31"/>
        <v>19</v>
      </c>
      <c r="AD239" s="99">
        <f t="shared" si="30"/>
        <v>19</v>
      </c>
      <c r="AE239" s="99"/>
      <c r="AF239" s="99"/>
      <c r="AG239" s="99">
        <f t="shared" si="32"/>
        <v>19</v>
      </c>
      <c r="AH239" s="99">
        <f t="shared" si="33"/>
        <v>19</v>
      </c>
      <c r="AI239" s="99"/>
      <c r="AJ239" s="99"/>
      <c r="AK239" s="99"/>
      <c r="AL239" s="99"/>
      <c r="AM239" s="99">
        <f t="shared" si="29"/>
        <v>19</v>
      </c>
      <c r="AN239" s="102" t="s">
        <v>93</v>
      </c>
      <c r="AO239" s="102">
        <v>3</v>
      </c>
      <c r="AP239" s="99"/>
    </row>
    <row r="240" spans="1:52" ht="39" customHeight="1" x14ac:dyDescent="0.25">
      <c r="A240" s="99">
        <v>2282</v>
      </c>
      <c r="B240" s="242" t="s">
        <v>420</v>
      </c>
      <c r="C240" s="240">
        <v>102269000</v>
      </c>
      <c r="D240" s="198">
        <v>1511288573</v>
      </c>
      <c r="E240" s="99"/>
      <c r="F240" s="197" t="str">
        <f>VLOOKUP(D240,'rà soát ĐK'!B233:C683,2,0)</f>
        <v>PB04090029246</v>
      </c>
      <c r="G240" s="198" t="s">
        <v>2766</v>
      </c>
      <c r="H240" s="103" t="s">
        <v>422</v>
      </c>
      <c r="I240" s="251">
        <v>1.13431081920967E+16</v>
      </c>
      <c r="J240" s="251">
        <v>1.06642530933121E+16</v>
      </c>
      <c r="K240" s="197" t="s">
        <v>423</v>
      </c>
      <c r="L240" s="197" t="s">
        <v>87</v>
      </c>
      <c r="M240" s="197" t="s">
        <v>424</v>
      </c>
      <c r="N240" s="99" t="s">
        <v>110</v>
      </c>
      <c r="O240" s="99"/>
      <c r="P240" s="99">
        <v>550</v>
      </c>
      <c r="Q240" s="99">
        <f t="shared" si="25"/>
        <v>550</v>
      </c>
      <c r="R240" s="102" t="s">
        <v>91</v>
      </c>
      <c r="S240" s="102" t="s">
        <v>90</v>
      </c>
      <c r="T240" s="102" t="s">
        <v>91</v>
      </c>
      <c r="U240" s="102" t="s">
        <v>90</v>
      </c>
      <c r="V240" s="102" t="s">
        <v>111</v>
      </c>
      <c r="W240" s="102"/>
      <c r="X240" s="102"/>
      <c r="Y240" s="102"/>
      <c r="Z240" s="102"/>
      <c r="AA240" s="102">
        <v>13</v>
      </c>
      <c r="AB240" s="102"/>
      <c r="AC240" s="197">
        <f t="shared" si="31"/>
        <v>13</v>
      </c>
      <c r="AD240" s="99">
        <f t="shared" si="30"/>
        <v>13</v>
      </c>
      <c r="AE240" s="99"/>
      <c r="AF240" s="99"/>
      <c r="AG240" s="99">
        <f t="shared" si="32"/>
        <v>13</v>
      </c>
      <c r="AH240" s="99">
        <f t="shared" si="33"/>
        <v>13</v>
      </c>
      <c r="AI240" s="99"/>
      <c r="AJ240" s="99"/>
      <c r="AK240" s="99"/>
      <c r="AL240" s="99"/>
      <c r="AM240" s="99">
        <f t="shared" si="29"/>
        <v>13</v>
      </c>
      <c r="AN240" s="102" t="s">
        <v>93</v>
      </c>
      <c r="AO240" s="102">
        <v>3</v>
      </c>
      <c r="AP240" s="99"/>
    </row>
    <row r="241" spans="1:52" ht="30" customHeight="1" x14ac:dyDescent="0.25">
      <c r="A241" s="99">
        <v>2282</v>
      </c>
      <c r="B241" s="242" t="s">
        <v>430</v>
      </c>
      <c r="C241" s="240">
        <v>101703000</v>
      </c>
      <c r="D241" s="99">
        <v>21034474</v>
      </c>
      <c r="E241" s="99"/>
      <c r="F241" s="197" t="e">
        <f>VLOOKUP(D241,'rà soát ĐK'!B234:C684,2,0)</f>
        <v>#N/A</v>
      </c>
      <c r="G241" s="99" t="e">
        <v>#N/A</v>
      </c>
      <c r="H241" s="103" t="s">
        <v>432</v>
      </c>
      <c r="I241" s="251">
        <v>1.13420700095699E+16</v>
      </c>
      <c r="J241" s="251">
        <v>1.06637674542243E+16</v>
      </c>
      <c r="K241" s="197" t="s">
        <v>433</v>
      </c>
      <c r="L241" s="197" t="s">
        <v>87</v>
      </c>
      <c r="M241" s="197" t="s">
        <v>434</v>
      </c>
      <c r="N241" s="99" t="s">
        <v>435</v>
      </c>
      <c r="O241" s="99"/>
      <c r="P241" s="99">
        <v>955</v>
      </c>
      <c r="Q241" s="99">
        <f t="shared" ref="Q241:Q304" si="34">SUM(O241:P241)</f>
        <v>955</v>
      </c>
      <c r="R241" s="102" t="s">
        <v>91</v>
      </c>
      <c r="S241" s="102" t="s">
        <v>90</v>
      </c>
      <c r="T241" s="102" t="s">
        <v>91</v>
      </c>
      <c r="U241" s="102" t="s">
        <v>90</v>
      </c>
      <c r="V241" s="102" t="s">
        <v>111</v>
      </c>
      <c r="W241" s="102"/>
      <c r="X241" s="102">
        <v>11</v>
      </c>
      <c r="Y241" s="102"/>
      <c r="Z241" s="102"/>
      <c r="AA241" s="102"/>
      <c r="AB241" s="102"/>
      <c r="AC241" s="197">
        <f t="shared" si="31"/>
        <v>11</v>
      </c>
      <c r="AD241" s="99">
        <f t="shared" si="30"/>
        <v>11</v>
      </c>
      <c r="AE241" s="99"/>
      <c r="AF241" s="99"/>
      <c r="AG241" s="99">
        <f t="shared" si="32"/>
        <v>11</v>
      </c>
      <c r="AH241" s="99">
        <f t="shared" si="33"/>
        <v>11</v>
      </c>
      <c r="AI241" s="99"/>
      <c r="AJ241" s="99"/>
      <c r="AK241" s="99"/>
      <c r="AL241" s="99"/>
      <c r="AM241" s="99">
        <f t="shared" si="29"/>
        <v>11</v>
      </c>
      <c r="AN241" s="102" t="s">
        <v>93</v>
      </c>
      <c r="AO241" s="102">
        <v>3</v>
      </c>
      <c r="AP241" s="99"/>
    </row>
    <row r="242" spans="1:52" s="105" customFormat="1" ht="28.5" customHeight="1" x14ac:dyDescent="0.25">
      <c r="A242" s="99">
        <v>2282</v>
      </c>
      <c r="B242" s="242" t="s">
        <v>436</v>
      </c>
      <c r="C242" s="240">
        <v>101702000</v>
      </c>
      <c r="D242" s="99">
        <v>21095491</v>
      </c>
      <c r="E242" s="99"/>
      <c r="F242" s="197" t="str">
        <f>VLOOKUP(D242,'rà soát ĐK'!B235:C685,2,0)</f>
        <v>PB04090023076</v>
      </c>
      <c r="G242" s="99" t="s">
        <v>2704</v>
      </c>
      <c r="H242" s="103" t="s">
        <v>438</v>
      </c>
      <c r="I242" s="251">
        <v>1134018932004560</v>
      </c>
      <c r="J242" s="251">
        <v>1.06636106874893E+16</v>
      </c>
      <c r="K242" s="197" t="s">
        <v>439</v>
      </c>
      <c r="L242" s="197" t="s">
        <v>87</v>
      </c>
      <c r="M242" s="197" t="s">
        <v>440</v>
      </c>
      <c r="N242" s="99" t="s">
        <v>441</v>
      </c>
      <c r="O242" s="99"/>
      <c r="P242" s="99">
        <v>550</v>
      </c>
      <c r="Q242" s="99">
        <f t="shared" si="34"/>
        <v>550</v>
      </c>
      <c r="R242" s="102" t="s">
        <v>91</v>
      </c>
      <c r="S242" s="102" t="s">
        <v>90</v>
      </c>
      <c r="T242" s="102" t="s">
        <v>91</v>
      </c>
      <c r="U242" s="102" t="s">
        <v>90</v>
      </c>
      <c r="V242" s="102" t="s">
        <v>111</v>
      </c>
      <c r="W242" s="102"/>
      <c r="X242" s="102">
        <v>6</v>
      </c>
      <c r="Y242" s="102"/>
      <c r="Z242" s="102"/>
      <c r="AA242" s="102">
        <v>6</v>
      </c>
      <c r="AB242" s="102"/>
      <c r="AC242" s="197">
        <f t="shared" si="31"/>
        <v>12</v>
      </c>
      <c r="AD242" s="99">
        <f t="shared" si="30"/>
        <v>12</v>
      </c>
      <c r="AE242" s="99"/>
      <c r="AF242" s="99"/>
      <c r="AG242" s="99">
        <f t="shared" si="32"/>
        <v>12</v>
      </c>
      <c r="AH242" s="99">
        <f t="shared" si="33"/>
        <v>12</v>
      </c>
      <c r="AI242" s="99"/>
      <c r="AJ242" s="99"/>
      <c r="AK242" s="99"/>
      <c r="AL242" s="99"/>
      <c r="AM242" s="99">
        <f t="shared" si="29"/>
        <v>12</v>
      </c>
      <c r="AN242" s="102" t="s">
        <v>93</v>
      </c>
      <c r="AO242" s="102">
        <v>3</v>
      </c>
      <c r="AP242" s="99"/>
      <c r="AQ242" s="90"/>
      <c r="AR242" s="90"/>
      <c r="AS242" s="90"/>
      <c r="AT242" s="90"/>
      <c r="AU242" s="90"/>
      <c r="AV242" s="90"/>
      <c r="AW242" s="90"/>
      <c r="AX242" s="90"/>
      <c r="AY242" s="90"/>
      <c r="AZ242" s="90"/>
    </row>
    <row r="243" spans="1:52" ht="39" customHeight="1" x14ac:dyDescent="0.25">
      <c r="A243" s="99">
        <v>2282</v>
      </c>
      <c r="B243" s="242" t="s">
        <v>442</v>
      </c>
      <c r="C243" s="240">
        <v>102265000</v>
      </c>
      <c r="D243" s="99">
        <v>21087439</v>
      </c>
      <c r="E243" s="99"/>
      <c r="F243" s="197" t="str">
        <f>VLOOKUP(D243,'rà soát ĐK'!B236:C686,2,0)</f>
        <v>PB04090023071</v>
      </c>
      <c r="G243" s="99" t="s">
        <v>2712</v>
      </c>
      <c r="H243" s="103" t="s">
        <v>444</v>
      </c>
      <c r="I243" s="251">
        <v>1.13384644920109E+16</v>
      </c>
      <c r="J243" s="251">
        <v>1.06640895120898E+16</v>
      </c>
      <c r="K243" s="197" t="s">
        <v>445</v>
      </c>
      <c r="L243" s="197" t="s">
        <v>87</v>
      </c>
      <c r="M243" s="197" t="s">
        <v>446</v>
      </c>
      <c r="N243" s="99" t="s">
        <v>447</v>
      </c>
      <c r="O243" s="99"/>
      <c r="P243" s="99">
        <v>900</v>
      </c>
      <c r="Q243" s="99">
        <f t="shared" si="34"/>
        <v>900</v>
      </c>
      <c r="R243" s="102" t="s">
        <v>91</v>
      </c>
      <c r="S243" s="102" t="s">
        <v>90</v>
      </c>
      <c r="T243" s="102" t="s">
        <v>91</v>
      </c>
      <c r="U243" s="102" t="s">
        <v>90</v>
      </c>
      <c r="V243" s="102" t="s">
        <v>111</v>
      </c>
      <c r="W243" s="102"/>
      <c r="X243" s="102">
        <v>8</v>
      </c>
      <c r="Y243" s="102"/>
      <c r="Z243" s="102"/>
      <c r="AA243" s="102">
        <v>11</v>
      </c>
      <c r="AB243" s="102"/>
      <c r="AC243" s="197">
        <f t="shared" si="31"/>
        <v>19</v>
      </c>
      <c r="AD243" s="99">
        <f t="shared" si="30"/>
        <v>19</v>
      </c>
      <c r="AE243" s="99"/>
      <c r="AF243" s="99"/>
      <c r="AG243" s="99">
        <f t="shared" si="32"/>
        <v>19</v>
      </c>
      <c r="AH243" s="99">
        <f t="shared" si="33"/>
        <v>19</v>
      </c>
      <c r="AI243" s="99"/>
      <c r="AJ243" s="99"/>
      <c r="AK243" s="99"/>
      <c r="AL243" s="99"/>
      <c r="AM243" s="99">
        <f t="shared" si="29"/>
        <v>19</v>
      </c>
      <c r="AN243" s="102" t="s">
        <v>93</v>
      </c>
      <c r="AO243" s="102">
        <v>3</v>
      </c>
      <c r="AP243" s="99"/>
    </row>
    <row r="244" spans="1:52" ht="39" customHeight="1" x14ac:dyDescent="0.25">
      <c r="A244" s="99">
        <v>2282</v>
      </c>
      <c r="B244" s="242" t="s">
        <v>448</v>
      </c>
      <c r="C244" s="240">
        <v>102264000</v>
      </c>
      <c r="D244" s="99">
        <v>21914642</v>
      </c>
      <c r="E244" s="99"/>
      <c r="F244" s="197" t="str">
        <f>VLOOKUP(D244,'rà soát ĐK'!B237:C687,2,0)</f>
        <v>PB04090004498</v>
      </c>
      <c r="G244" s="99" t="s">
        <v>2616</v>
      </c>
      <c r="H244" s="103" t="s">
        <v>450</v>
      </c>
      <c r="I244" s="251">
        <v>1.13382467720761E+16</v>
      </c>
      <c r="J244" s="251">
        <v>1.0663792499351E+16</v>
      </c>
      <c r="K244" s="197" t="s">
        <v>451</v>
      </c>
      <c r="L244" s="197" t="s">
        <v>87</v>
      </c>
      <c r="M244" s="197" t="s">
        <v>452</v>
      </c>
      <c r="N244" s="99" t="s">
        <v>453</v>
      </c>
      <c r="O244" s="99"/>
      <c r="P244" s="99">
        <v>200</v>
      </c>
      <c r="Q244" s="99">
        <f t="shared" si="34"/>
        <v>200</v>
      </c>
      <c r="R244" s="102" t="s">
        <v>91</v>
      </c>
      <c r="S244" s="102" t="s">
        <v>90</v>
      </c>
      <c r="T244" s="102" t="s">
        <v>91</v>
      </c>
      <c r="U244" s="102" t="s">
        <v>90</v>
      </c>
      <c r="V244" s="102" t="s">
        <v>111</v>
      </c>
      <c r="W244" s="102"/>
      <c r="X244" s="102"/>
      <c r="Y244" s="102"/>
      <c r="Z244" s="102"/>
      <c r="AA244" s="102">
        <v>6</v>
      </c>
      <c r="AB244" s="102"/>
      <c r="AC244" s="197">
        <f t="shared" si="31"/>
        <v>6</v>
      </c>
      <c r="AD244" s="99">
        <f t="shared" si="30"/>
        <v>6</v>
      </c>
      <c r="AE244" s="99"/>
      <c r="AF244" s="99"/>
      <c r="AG244" s="99">
        <f t="shared" si="32"/>
        <v>6</v>
      </c>
      <c r="AH244" s="99">
        <f t="shared" si="33"/>
        <v>6</v>
      </c>
      <c r="AI244" s="99"/>
      <c r="AJ244" s="99"/>
      <c r="AK244" s="99"/>
      <c r="AL244" s="99"/>
      <c r="AM244" s="99">
        <f t="shared" si="29"/>
        <v>6</v>
      </c>
      <c r="AN244" s="102" t="s">
        <v>93</v>
      </c>
      <c r="AO244" s="102">
        <v>3</v>
      </c>
      <c r="AP244" s="99"/>
    </row>
    <row r="245" spans="1:52" ht="39" customHeight="1" x14ac:dyDescent="0.25">
      <c r="A245" s="99">
        <v>2282</v>
      </c>
      <c r="B245" s="242" t="s">
        <v>454</v>
      </c>
      <c r="C245" s="240">
        <v>101701000</v>
      </c>
      <c r="D245" s="99">
        <v>25092202</v>
      </c>
      <c r="E245" s="99"/>
      <c r="F245" s="197" t="str">
        <f>VLOOKUP(D245,'rà soát ĐK'!B238:C688,2,0)</f>
        <v>PB04090027444</v>
      </c>
      <c r="G245" s="99" t="s">
        <v>2619</v>
      </c>
      <c r="H245" s="103" t="s">
        <v>456</v>
      </c>
      <c r="I245" s="251">
        <v>1.13365432759852E+16</v>
      </c>
      <c r="J245" s="251">
        <v>1.06634638533095E+16</v>
      </c>
      <c r="K245" s="197" t="s">
        <v>457</v>
      </c>
      <c r="L245" s="197" t="s">
        <v>87</v>
      </c>
      <c r="M245" s="197" t="s">
        <v>458</v>
      </c>
      <c r="N245" s="99" t="s">
        <v>459</v>
      </c>
      <c r="O245" s="99"/>
      <c r="P245" s="99">
        <v>1430</v>
      </c>
      <c r="Q245" s="99">
        <f t="shared" si="34"/>
        <v>1430</v>
      </c>
      <c r="R245" s="102" t="s">
        <v>91</v>
      </c>
      <c r="S245" s="102" t="s">
        <v>90</v>
      </c>
      <c r="T245" s="102" t="s">
        <v>91</v>
      </c>
      <c r="U245" s="102" t="s">
        <v>90</v>
      </c>
      <c r="V245" s="102" t="s">
        <v>111</v>
      </c>
      <c r="W245" s="102"/>
      <c r="X245" s="102"/>
      <c r="Y245" s="102"/>
      <c r="Z245" s="102"/>
      <c r="AA245" s="102">
        <v>33</v>
      </c>
      <c r="AB245" s="102"/>
      <c r="AC245" s="197">
        <f t="shared" si="31"/>
        <v>33</v>
      </c>
      <c r="AD245" s="99">
        <f t="shared" si="30"/>
        <v>33</v>
      </c>
      <c r="AE245" s="99"/>
      <c r="AF245" s="99"/>
      <c r="AG245" s="99">
        <f t="shared" si="32"/>
        <v>33</v>
      </c>
      <c r="AH245" s="99">
        <f t="shared" si="33"/>
        <v>33</v>
      </c>
      <c r="AI245" s="99"/>
      <c r="AJ245" s="99"/>
      <c r="AK245" s="99"/>
      <c r="AL245" s="99"/>
      <c r="AM245" s="99">
        <f t="shared" si="29"/>
        <v>33</v>
      </c>
      <c r="AN245" s="102" t="s">
        <v>93</v>
      </c>
      <c r="AO245" s="102">
        <v>3</v>
      </c>
      <c r="AP245" s="99"/>
    </row>
    <row r="246" spans="1:52" ht="39" customHeight="1" x14ac:dyDescent="0.25">
      <c r="A246" s="99">
        <v>2282</v>
      </c>
      <c r="B246" s="242" t="s">
        <v>460</v>
      </c>
      <c r="C246" s="240">
        <v>101696000</v>
      </c>
      <c r="D246" s="99">
        <v>1611166950</v>
      </c>
      <c r="E246" s="99"/>
      <c r="F246" s="197" t="str">
        <f>VLOOKUP(D246,'rà soát ĐK'!B239:C689,2,0)</f>
        <v>PB04090027445</v>
      </c>
      <c r="G246" s="99" t="s">
        <v>2622</v>
      </c>
      <c r="H246" s="103" t="s">
        <v>462</v>
      </c>
      <c r="I246" s="251">
        <v>1.13327581761508E+16</v>
      </c>
      <c r="J246" s="251">
        <v>1.06638328079233E+16</v>
      </c>
      <c r="K246" s="197" t="s">
        <v>463</v>
      </c>
      <c r="L246" s="197" t="s">
        <v>87</v>
      </c>
      <c r="M246" s="197" t="s">
        <v>464</v>
      </c>
      <c r="N246" s="99" t="s">
        <v>465</v>
      </c>
      <c r="O246" s="99"/>
      <c r="P246" s="99">
        <v>910</v>
      </c>
      <c r="Q246" s="99">
        <f t="shared" si="34"/>
        <v>910</v>
      </c>
      <c r="R246" s="102" t="s">
        <v>91</v>
      </c>
      <c r="S246" s="102" t="s">
        <v>90</v>
      </c>
      <c r="T246" s="102" t="s">
        <v>91</v>
      </c>
      <c r="U246" s="102" t="s">
        <v>90</v>
      </c>
      <c r="V246" s="102" t="s">
        <v>111</v>
      </c>
      <c r="W246" s="102"/>
      <c r="X246" s="102"/>
      <c r="Y246" s="102"/>
      <c r="Z246" s="102"/>
      <c r="AA246" s="102">
        <v>20</v>
      </c>
      <c r="AB246" s="102"/>
      <c r="AC246" s="197">
        <f t="shared" si="31"/>
        <v>20</v>
      </c>
      <c r="AD246" s="99">
        <f t="shared" si="30"/>
        <v>20</v>
      </c>
      <c r="AE246" s="99"/>
      <c r="AF246" s="99"/>
      <c r="AG246" s="99">
        <f t="shared" si="32"/>
        <v>20</v>
      </c>
      <c r="AH246" s="99">
        <f t="shared" si="33"/>
        <v>20</v>
      </c>
      <c r="AI246" s="99"/>
      <c r="AJ246" s="99"/>
      <c r="AK246" s="99"/>
      <c r="AL246" s="99"/>
      <c r="AM246" s="99">
        <f t="shared" si="29"/>
        <v>20</v>
      </c>
      <c r="AN246" s="102" t="s">
        <v>93</v>
      </c>
      <c r="AO246" s="102">
        <v>3</v>
      </c>
      <c r="AP246" s="99"/>
    </row>
    <row r="247" spans="1:52" ht="30" customHeight="1" x14ac:dyDescent="0.25">
      <c r="A247" s="99">
        <v>2282</v>
      </c>
      <c r="B247" s="242" t="s">
        <v>466</v>
      </c>
      <c r="C247" s="240">
        <v>101700000</v>
      </c>
      <c r="D247" s="99">
        <v>221100359568</v>
      </c>
      <c r="E247" s="99"/>
      <c r="F247" s="197" t="e">
        <f>VLOOKUP(D247,'rà soát ĐK'!B240:C690,2,0)</f>
        <v>#N/A</v>
      </c>
      <c r="G247" s="99" t="e">
        <v>#N/A</v>
      </c>
      <c r="H247" s="103" t="s">
        <v>468</v>
      </c>
      <c r="I247" s="251">
        <v>1.13321022503181E+16</v>
      </c>
      <c r="J247" s="251">
        <v>1.06635823650384E+16</v>
      </c>
      <c r="K247" s="197" t="s">
        <v>469</v>
      </c>
      <c r="L247" s="197" t="s">
        <v>87</v>
      </c>
      <c r="M247" s="197" t="s">
        <v>470</v>
      </c>
      <c r="N247" s="99" t="s">
        <v>471</v>
      </c>
      <c r="O247" s="99"/>
      <c r="P247" s="99">
        <v>810</v>
      </c>
      <c r="Q247" s="99">
        <f t="shared" si="34"/>
        <v>810</v>
      </c>
      <c r="R247" s="102" t="s">
        <v>91</v>
      </c>
      <c r="S247" s="102" t="s">
        <v>90</v>
      </c>
      <c r="T247" s="102" t="s">
        <v>91</v>
      </c>
      <c r="U247" s="102" t="s">
        <v>90</v>
      </c>
      <c r="V247" s="102" t="s">
        <v>111</v>
      </c>
      <c r="W247" s="102"/>
      <c r="X247" s="102"/>
      <c r="Y247" s="102"/>
      <c r="Z247" s="102"/>
      <c r="AA247" s="102">
        <v>13</v>
      </c>
      <c r="AB247" s="102"/>
      <c r="AC247" s="197">
        <f t="shared" si="31"/>
        <v>13</v>
      </c>
      <c r="AD247" s="99">
        <f t="shared" si="30"/>
        <v>13</v>
      </c>
      <c r="AE247" s="99"/>
      <c r="AF247" s="99"/>
      <c r="AG247" s="99">
        <f t="shared" si="32"/>
        <v>13</v>
      </c>
      <c r="AH247" s="99">
        <f t="shared" si="33"/>
        <v>13</v>
      </c>
      <c r="AI247" s="99"/>
      <c r="AJ247" s="99"/>
      <c r="AK247" s="99"/>
      <c r="AL247" s="99"/>
      <c r="AM247" s="99">
        <f t="shared" si="29"/>
        <v>13</v>
      </c>
      <c r="AN247" s="102" t="s">
        <v>93</v>
      </c>
      <c r="AO247" s="102">
        <v>3</v>
      </c>
      <c r="AP247" s="99"/>
    </row>
    <row r="248" spans="1:52" ht="39" customHeight="1" x14ac:dyDescent="0.25">
      <c r="A248" s="99">
        <v>2282</v>
      </c>
      <c r="B248" s="242" t="s">
        <v>472</v>
      </c>
      <c r="C248" s="240">
        <v>101699000</v>
      </c>
      <c r="D248" s="99">
        <v>1611028147</v>
      </c>
      <c r="E248" s="99"/>
      <c r="F248" s="197" t="str">
        <f>VLOOKUP(D248,'rà soát ĐK'!B241:C691,2,0)</f>
        <v>PB04090024871</v>
      </c>
      <c r="G248" s="99" t="s">
        <v>2625</v>
      </c>
      <c r="H248" s="103" t="s">
        <v>474</v>
      </c>
      <c r="I248" s="251">
        <v>1.13320960058004E+16</v>
      </c>
      <c r="J248" s="251">
        <v>1.06632549846644E+16</v>
      </c>
      <c r="K248" s="197" t="s">
        <v>475</v>
      </c>
      <c r="L248" s="197" t="s">
        <v>87</v>
      </c>
      <c r="M248" s="197" t="s">
        <v>476</v>
      </c>
      <c r="N248" s="99" t="s">
        <v>477</v>
      </c>
      <c r="O248" s="99"/>
      <c r="P248" s="99">
        <v>710</v>
      </c>
      <c r="Q248" s="99">
        <f t="shared" si="34"/>
        <v>710</v>
      </c>
      <c r="R248" s="102" t="s">
        <v>91</v>
      </c>
      <c r="S248" s="102" t="s">
        <v>90</v>
      </c>
      <c r="T248" s="102" t="s">
        <v>91</v>
      </c>
      <c r="U248" s="102" t="s">
        <v>90</v>
      </c>
      <c r="V248" s="102" t="s">
        <v>111</v>
      </c>
      <c r="W248" s="102"/>
      <c r="X248" s="102">
        <v>14</v>
      </c>
      <c r="Y248" s="102"/>
      <c r="Z248" s="102"/>
      <c r="AA248" s="102"/>
      <c r="AB248" s="102"/>
      <c r="AC248" s="197">
        <f t="shared" si="31"/>
        <v>14</v>
      </c>
      <c r="AD248" s="99">
        <f t="shared" si="30"/>
        <v>14</v>
      </c>
      <c r="AE248" s="99"/>
      <c r="AF248" s="99"/>
      <c r="AG248" s="99">
        <f t="shared" si="32"/>
        <v>14</v>
      </c>
      <c r="AH248" s="99">
        <f t="shared" si="33"/>
        <v>14</v>
      </c>
      <c r="AI248" s="99"/>
      <c r="AJ248" s="99"/>
      <c r="AK248" s="99"/>
      <c r="AL248" s="99"/>
      <c r="AM248" s="99">
        <f t="shared" si="29"/>
        <v>14</v>
      </c>
      <c r="AN248" s="102" t="s">
        <v>93</v>
      </c>
      <c r="AO248" s="102">
        <v>3</v>
      </c>
      <c r="AP248" s="99"/>
    </row>
    <row r="249" spans="1:52" ht="39" customHeight="1" x14ac:dyDescent="0.25">
      <c r="A249" s="99">
        <v>2282</v>
      </c>
      <c r="B249" s="242" t="s">
        <v>478</v>
      </c>
      <c r="C249" s="240">
        <v>101698000</v>
      </c>
      <c r="D249" s="99">
        <v>221100359577</v>
      </c>
      <c r="E249" s="99"/>
      <c r="F249" s="197" t="str">
        <f>VLOOKUP(D249,'rà soát ĐK'!B242:C692,2,0)</f>
        <v>PB04090029248</v>
      </c>
      <c r="G249" s="99" t="s">
        <v>2634</v>
      </c>
      <c r="H249" s="103" t="s">
        <v>480</v>
      </c>
      <c r="I249" s="251">
        <v>1.13300270766915E+16</v>
      </c>
      <c r="J249" s="251">
        <v>1066385159050940</v>
      </c>
      <c r="K249" s="197" t="s">
        <v>481</v>
      </c>
      <c r="L249" s="197" t="s">
        <v>87</v>
      </c>
      <c r="M249" s="197" t="s">
        <v>482</v>
      </c>
      <c r="N249" s="99" t="s">
        <v>483</v>
      </c>
      <c r="O249" s="99"/>
      <c r="P249" s="99">
        <v>265</v>
      </c>
      <c r="Q249" s="99">
        <f t="shared" si="34"/>
        <v>265</v>
      </c>
      <c r="R249" s="102" t="s">
        <v>91</v>
      </c>
      <c r="S249" s="102" t="s">
        <v>90</v>
      </c>
      <c r="T249" s="102" t="s">
        <v>91</v>
      </c>
      <c r="U249" s="102" t="s">
        <v>90</v>
      </c>
      <c r="V249" s="102" t="s">
        <v>111</v>
      </c>
      <c r="W249" s="102"/>
      <c r="X249" s="102"/>
      <c r="Y249" s="102"/>
      <c r="Z249" s="102"/>
      <c r="AA249" s="102">
        <v>8</v>
      </c>
      <c r="AB249" s="102"/>
      <c r="AC249" s="197">
        <f t="shared" si="31"/>
        <v>8</v>
      </c>
      <c r="AD249" s="99">
        <f t="shared" si="30"/>
        <v>8</v>
      </c>
      <c r="AE249" s="99"/>
      <c r="AF249" s="99"/>
      <c r="AG249" s="99">
        <f t="shared" si="32"/>
        <v>8</v>
      </c>
      <c r="AH249" s="99">
        <f t="shared" si="33"/>
        <v>8</v>
      </c>
      <c r="AI249" s="99"/>
      <c r="AJ249" s="99"/>
      <c r="AK249" s="99"/>
      <c r="AL249" s="99"/>
      <c r="AM249" s="99">
        <f t="shared" si="29"/>
        <v>8</v>
      </c>
      <c r="AN249" s="102" t="s">
        <v>93</v>
      </c>
      <c r="AO249" s="102">
        <v>3</v>
      </c>
      <c r="AP249" s="99"/>
    </row>
    <row r="250" spans="1:52" ht="39" customHeight="1" x14ac:dyDescent="0.25">
      <c r="A250" s="99">
        <v>2282</v>
      </c>
      <c r="B250" s="242" t="s">
        <v>484</v>
      </c>
      <c r="C250" s="240">
        <v>101697000</v>
      </c>
      <c r="D250" s="99">
        <v>231100090748</v>
      </c>
      <c r="E250" s="99"/>
      <c r="F250" s="197" t="str">
        <f>VLOOKUP(D250,'rà soát ĐK'!B243:C693,2,0)</f>
        <v>PB04090029247</v>
      </c>
      <c r="G250" s="99" t="s">
        <v>2607</v>
      </c>
      <c r="H250" s="103" t="s">
        <v>486</v>
      </c>
      <c r="I250" s="251">
        <v>1.13297137431903E+16</v>
      </c>
      <c r="J250" s="251">
        <v>1.06641588639567E+16</v>
      </c>
      <c r="K250" s="197" t="s">
        <v>487</v>
      </c>
      <c r="L250" s="197" t="s">
        <v>87</v>
      </c>
      <c r="M250" s="197" t="s">
        <v>488</v>
      </c>
      <c r="N250" s="99" t="s">
        <v>489</v>
      </c>
      <c r="O250" s="99"/>
      <c r="P250" s="99">
        <v>950</v>
      </c>
      <c r="Q250" s="99">
        <f t="shared" si="34"/>
        <v>950</v>
      </c>
      <c r="R250" s="102" t="s">
        <v>91</v>
      </c>
      <c r="S250" s="102" t="s">
        <v>90</v>
      </c>
      <c r="T250" s="102" t="s">
        <v>91</v>
      </c>
      <c r="U250" s="102" t="s">
        <v>90</v>
      </c>
      <c r="V250" s="102" t="s">
        <v>111</v>
      </c>
      <c r="W250" s="102"/>
      <c r="X250" s="102"/>
      <c r="Y250" s="102"/>
      <c r="Z250" s="102"/>
      <c r="AA250" s="102">
        <v>24</v>
      </c>
      <c r="AB250" s="102"/>
      <c r="AC250" s="197">
        <f t="shared" si="31"/>
        <v>24</v>
      </c>
      <c r="AD250" s="99">
        <f t="shared" si="30"/>
        <v>24</v>
      </c>
      <c r="AE250" s="99"/>
      <c r="AF250" s="99"/>
      <c r="AG250" s="99">
        <f t="shared" si="32"/>
        <v>24</v>
      </c>
      <c r="AH250" s="99">
        <f t="shared" si="33"/>
        <v>24</v>
      </c>
      <c r="AI250" s="99"/>
      <c r="AJ250" s="99"/>
      <c r="AK250" s="99"/>
      <c r="AL250" s="99"/>
      <c r="AM250" s="99">
        <f t="shared" si="29"/>
        <v>24</v>
      </c>
      <c r="AN250" s="102" t="s">
        <v>93</v>
      </c>
      <c r="AO250" s="102">
        <v>3</v>
      </c>
      <c r="AP250" s="99"/>
    </row>
    <row r="251" spans="1:52" ht="39" customHeight="1" x14ac:dyDescent="0.25">
      <c r="A251" s="99">
        <v>2283</v>
      </c>
      <c r="B251" s="242"/>
      <c r="C251" s="240"/>
      <c r="D251" s="99"/>
      <c r="E251" s="99"/>
      <c r="F251" s="197"/>
      <c r="G251" s="99"/>
      <c r="H251" s="99"/>
      <c r="I251" s="197"/>
      <c r="J251" s="197"/>
      <c r="K251" s="197" t="s">
        <v>493</v>
      </c>
      <c r="L251" s="197" t="s">
        <v>87</v>
      </c>
      <c r="M251" s="197" t="s">
        <v>518</v>
      </c>
      <c r="N251" s="99" t="s">
        <v>519</v>
      </c>
      <c r="O251" s="99"/>
      <c r="P251" s="99">
        <v>494</v>
      </c>
      <c r="Q251" s="99">
        <f t="shared" si="34"/>
        <v>494</v>
      </c>
      <c r="R251" s="102" t="s">
        <v>91</v>
      </c>
      <c r="S251" s="102" t="s">
        <v>90</v>
      </c>
      <c r="T251" s="102" t="s">
        <v>91</v>
      </c>
      <c r="U251" s="102" t="s">
        <v>90</v>
      </c>
      <c r="V251" s="102" t="s">
        <v>111</v>
      </c>
      <c r="W251" s="102"/>
      <c r="X251" s="102">
        <v>3</v>
      </c>
      <c r="Y251" s="102"/>
      <c r="Z251" s="102"/>
      <c r="AA251" s="102">
        <v>6</v>
      </c>
      <c r="AB251" s="102"/>
      <c r="AC251" s="197">
        <f t="shared" si="31"/>
        <v>9</v>
      </c>
      <c r="AD251" s="99">
        <v>8</v>
      </c>
      <c r="AE251" s="99"/>
      <c r="AF251" s="99"/>
      <c r="AG251" s="99">
        <f t="shared" si="32"/>
        <v>8</v>
      </c>
      <c r="AH251" s="99">
        <f t="shared" si="33"/>
        <v>9</v>
      </c>
      <c r="AI251" s="99"/>
      <c r="AJ251" s="99"/>
      <c r="AK251" s="99"/>
      <c r="AL251" s="99"/>
      <c r="AM251" s="99">
        <f t="shared" si="29"/>
        <v>9</v>
      </c>
      <c r="AN251" s="102" t="s">
        <v>93</v>
      </c>
      <c r="AO251" s="102">
        <v>3</v>
      </c>
      <c r="AP251" s="99" t="s">
        <v>1632</v>
      </c>
    </row>
    <row r="252" spans="1:52" ht="39" customHeight="1" x14ac:dyDescent="0.25">
      <c r="A252" s="99">
        <v>2283</v>
      </c>
      <c r="B252" s="242" t="s">
        <v>490</v>
      </c>
      <c r="C252" s="240">
        <v>102001000</v>
      </c>
      <c r="D252" s="99" t="s">
        <v>491</v>
      </c>
      <c r="E252" s="99"/>
      <c r="F252" s="197"/>
      <c r="G252" s="99"/>
      <c r="H252" s="103" t="s">
        <v>492</v>
      </c>
      <c r="I252" s="251">
        <v>113442438</v>
      </c>
      <c r="J252" s="251">
        <v>1066453377</v>
      </c>
      <c r="K252" s="197" t="s">
        <v>493</v>
      </c>
      <c r="L252" s="197" t="s">
        <v>87</v>
      </c>
      <c r="M252" s="197" t="s">
        <v>494</v>
      </c>
      <c r="N252" s="99" t="s">
        <v>495</v>
      </c>
      <c r="O252" s="99"/>
      <c r="P252" s="99">
        <v>848</v>
      </c>
      <c r="Q252" s="99">
        <f t="shared" si="34"/>
        <v>848</v>
      </c>
      <c r="R252" s="102" t="s">
        <v>90</v>
      </c>
      <c r="S252" s="102" t="s">
        <v>91</v>
      </c>
      <c r="T252" s="102" t="s">
        <v>91</v>
      </c>
      <c r="U252" s="102" t="s">
        <v>90</v>
      </c>
      <c r="V252" s="102" t="s">
        <v>111</v>
      </c>
      <c r="W252" s="102"/>
      <c r="X252" s="102"/>
      <c r="Y252" s="102"/>
      <c r="Z252" s="102"/>
      <c r="AA252" s="102">
        <v>12</v>
      </c>
      <c r="AB252" s="102"/>
      <c r="AC252" s="197">
        <f t="shared" si="31"/>
        <v>12</v>
      </c>
      <c r="AD252" s="99">
        <f>AC252</f>
        <v>12</v>
      </c>
      <c r="AE252" s="99"/>
      <c r="AF252" s="99"/>
      <c r="AG252" s="99">
        <f t="shared" si="32"/>
        <v>12</v>
      </c>
      <c r="AH252" s="99">
        <f t="shared" si="33"/>
        <v>12</v>
      </c>
      <c r="AI252" s="99"/>
      <c r="AJ252" s="99"/>
      <c r="AK252" s="99"/>
      <c r="AL252" s="99"/>
      <c r="AM252" s="99">
        <f t="shared" si="29"/>
        <v>12</v>
      </c>
      <c r="AN252" s="102" t="s">
        <v>93</v>
      </c>
      <c r="AO252" s="102">
        <v>2</v>
      </c>
      <c r="AP252" s="99"/>
    </row>
    <row r="253" spans="1:52" ht="39" customHeight="1" x14ac:dyDescent="0.25">
      <c r="A253" s="99">
        <v>2283</v>
      </c>
      <c r="B253" s="242" t="s">
        <v>496</v>
      </c>
      <c r="C253" s="240">
        <v>101734000</v>
      </c>
      <c r="D253" s="99" t="s">
        <v>497</v>
      </c>
      <c r="E253" s="99"/>
      <c r="F253" s="197"/>
      <c r="G253" s="99"/>
      <c r="H253" s="103" t="s">
        <v>498</v>
      </c>
      <c r="I253" s="251">
        <v>113447745</v>
      </c>
      <c r="J253" s="251">
        <v>106622477</v>
      </c>
      <c r="K253" s="197" t="s">
        <v>493</v>
      </c>
      <c r="L253" s="197" t="s">
        <v>87</v>
      </c>
      <c r="M253" s="197" t="s">
        <v>499</v>
      </c>
      <c r="N253" s="99" t="s">
        <v>500</v>
      </c>
      <c r="O253" s="99"/>
      <c r="P253" s="99">
        <v>2264</v>
      </c>
      <c r="Q253" s="99">
        <f t="shared" si="34"/>
        <v>2264</v>
      </c>
      <c r="R253" s="102" t="s">
        <v>91</v>
      </c>
      <c r="S253" s="102" t="s">
        <v>90</v>
      </c>
      <c r="T253" s="102" t="s">
        <v>91</v>
      </c>
      <c r="U253" s="102" t="s">
        <v>90</v>
      </c>
      <c r="V253" s="102" t="s">
        <v>111</v>
      </c>
      <c r="W253" s="102"/>
      <c r="X253" s="102"/>
      <c r="Y253" s="102"/>
      <c r="Z253" s="102"/>
      <c r="AA253" s="102">
        <v>26</v>
      </c>
      <c r="AB253" s="102">
        <v>13</v>
      </c>
      <c r="AC253" s="197">
        <f t="shared" si="31"/>
        <v>39</v>
      </c>
      <c r="AD253" s="99">
        <f>AC253</f>
        <v>39</v>
      </c>
      <c r="AE253" s="99"/>
      <c r="AF253" s="99"/>
      <c r="AG253" s="99">
        <f t="shared" si="32"/>
        <v>39</v>
      </c>
      <c r="AH253" s="99">
        <v>26</v>
      </c>
      <c r="AI253" s="99"/>
      <c r="AJ253" s="99"/>
      <c r="AK253" s="99"/>
      <c r="AL253" s="99"/>
      <c r="AM253" s="99">
        <f t="shared" si="29"/>
        <v>26</v>
      </c>
      <c r="AN253" s="102" t="s">
        <v>185</v>
      </c>
      <c r="AO253" s="102">
        <v>3</v>
      </c>
      <c r="AP253" s="99" t="s">
        <v>501</v>
      </c>
    </row>
    <row r="254" spans="1:52" ht="39" customHeight="1" x14ac:dyDescent="0.25">
      <c r="A254" s="99">
        <v>2283</v>
      </c>
      <c r="B254" s="242" t="s">
        <v>502</v>
      </c>
      <c r="C254" s="240">
        <v>101730000</v>
      </c>
      <c r="D254" s="99" t="s">
        <v>503</v>
      </c>
      <c r="E254" s="99"/>
      <c r="F254" s="197"/>
      <c r="G254" s="99"/>
      <c r="H254" s="103" t="s">
        <v>504</v>
      </c>
      <c r="I254" s="251">
        <v>113443087</v>
      </c>
      <c r="J254" s="251">
        <v>1065782337</v>
      </c>
      <c r="K254" s="197" t="s">
        <v>493</v>
      </c>
      <c r="L254" s="197" t="s">
        <v>87</v>
      </c>
      <c r="M254" s="197" t="s">
        <v>505</v>
      </c>
      <c r="N254" s="99" t="s">
        <v>506</v>
      </c>
      <c r="O254" s="99"/>
      <c r="P254" s="99">
        <v>2064</v>
      </c>
      <c r="Q254" s="99">
        <f t="shared" si="34"/>
        <v>2064</v>
      </c>
      <c r="R254" s="102" t="s">
        <v>90</v>
      </c>
      <c r="S254" s="102" t="s">
        <v>91</v>
      </c>
      <c r="T254" s="102" t="s">
        <v>91</v>
      </c>
      <c r="U254" s="102" t="s">
        <v>90</v>
      </c>
      <c r="V254" s="102" t="s">
        <v>111</v>
      </c>
      <c r="W254" s="102"/>
      <c r="X254" s="102"/>
      <c r="Y254" s="102"/>
      <c r="Z254" s="102"/>
      <c r="AA254" s="102">
        <v>30</v>
      </c>
      <c r="AB254" s="102"/>
      <c r="AC254" s="197">
        <f t="shared" si="31"/>
        <v>30</v>
      </c>
      <c r="AD254" s="99">
        <f>AC254</f>
        <v>30</v>
      </c>
      <c r="AE254" s="99"/>
      <c r="AF254" s="99"/>
      <c r="AG254" s="99">
        <f t="shared" si="32"/>
        <v>30</v>
      </c>
      <c r="AH254" s="99">
        <f>AC254</f>
        <v>30</v>
      </c>
      <c r="AI254" s="99"/>
      <c r="AJ254" s="99"/>
      <c r="AK254" s="99"/>
      <c r="AL254" s="99"/>
      <c r="AM254" s="99">
        <f t="shared" si="29"/>
        <v>30</v>
      </c>
      <c r="AN254" s="102" t="s">
        <v>185</v>
      </c>
      <c r="AO254" s="102">
        <v>3</v>
      </c>
      <c r="AP254" s="99"/>
    </row>
    <row r="255" spans="1:52" ht="39" customHeight="1" x14ac:dyDescent="0.25">
      <c r="A255" s="99">
        <v>2283</v>
      </c>
      <c r="B255" s="242" t="s">
        <v>507</v>
      </c>
      <c r="C255" s="240">
        <v>101733000</v>
      </c>
      <c r="D255" s="99" t="s">
        <v>508</v>
      </c>
      <c r="E255" s="99"/>
      <c r="F255" s="197"/>
      <c r="G255" s="99"/>
      <c r="H255" s="103" t="s">
        <v>509</v>
      </c>
      <c r="I255" s="251">
        <v>113422511</v>
      </c>
      <c r="J255" s="251">
        <v>1065983901</v>
      </c>
      <c r="K255" s="197" t="s">
        <v>493</v>
      </c>
      <c r="L255" s="197" t="s">
        <v>87</v>
      </c>
      <c r="M255" s="197" t="s">
        <v>510</v>
      </c>
      <c r="N255" s="99" t="s">
        <v>511</v>
      </c>
      <c r="O255" s="99"/>
      <c r="P255" s="99">
        <v>3511</v>
      </c>
      <c r="Q255" s="99">
        <f t="shared" si="34"/>
        <v>3511</v>
      </c>
      <c r="R255" s="102" t="s">
        <v>91</v>
      </c>
      <c r="S255" s="102" t="s">
        <v>90</v>
      </c>
      <c r="T255" s="102" t="s">
        <v>91</v>
      </c>
      <c r="U255" s="102" t="s">
        <v>90</v>
      </c>
      <c r="V255" s="102" t="s">
        <v>111</v>
      </c>
      <c r="W255" s="102"/>
      <c r="X255" s="102">
        <v>7</v>
      </c>
      <c r="Y255" s="102"/>
      <c r="Z255" s="102"/>
      <c r="AA255" s="102">
        <v>46</v>
      </c>
      <c r="AB255" s="102">
        <v>8</v>
      </c>
      <c r="AC255" s="197">
        <f t="shared" si="31"/>
        <v>61</v>
      </c>
      <c r="AD255" s="99">
        <f>AC255</f>
        <v>61</v>
      </c>
      <c r="AE255" s="99"/>
      <c r="AF255" s="99"/>
      <c r="AG255" s="99">
        <f t="shared" si="32"/>
        <v>61</v>
      </c>
      <c r="AH255" s="99">
        <v>55</v>
      </c>
      <c r="AI255" s="99"/>
      <c r="AJ255" s="99"/>
      <c r="AK255" s="99"/>
      <c r="AL255" s="99"/>
      <c r="AM255" s="99">
        <f t="shared" si="29"/>
        <v>55</v>
      </c>
      <c r="AN255" s="102" t="s">
        <v>185</v>
      </c>
      <c r="AO255" s="102">
        <v>3</v>
      </c>
      <c r="AP255" s="99" t="s">
        <v>512</v>
      </c>
    </row>
    <row r="256" spans="1:52" ht="30" customHeight="1" x14ac:dyDescent="0.25">
      <c r="A256" s="99">
        <v>2283</v>
      </c>
      <c r="B256" s="242" t="s">
        <v>513</v>
      </c>
      <c r="C256" s="240">
        <v>101718000</v>
      </c>
      <c r="D256" s="99">
        <v>239101593</v>
      </c>
      <c r="E256" s="99"/>
      <c r="F256" s="197" t="str">
        <f>VLOOKUP(D256,'rà soát ĐK'!B249:C699,2,0)</f>
        <v>Không tìm thấy mã</v>
      </c>
      <c r="G256" s="99" t="s">
        <v>2898</v>
      </c>
      <c r="H256" s="103" t="s">
        <v>515</v>
      </c>
      <c r="I256" s="251">
        <v>113385983</v>
      </c>
      <c r="J256" s="251">
        <v>10655787</v>
      </c>
      <c r="K256" s="197" t="s">
        <v>493</v>
      </c>
      <c r="L256" s="197" t="s">
        <v>87</v>
      </c>
      <c r="M256" s="197" t="s">
        <v>516</v>
      </c>
      <c r="N256" s="99" t="s">
        <v>517</v>
      </c>
      <c r="O256" s="99"/>
      <c r="P256" s="99">
        <v>2450</v>
      </c>
      <c r="Q256" s="99">
        <f t="shared" si="34"/>
        <v>2450</v>
      </c>
      <c r="R256" s="102" t="s">
        <v>91</v>
      </c>
      <c r="S256" s="102" t="s">
        <v>90</v>
      </c>
      <c r="T256" s="102" t="s">
        <v>91</v>
      </c>
      <c r="U256" s="102" t="s">
        <v>90</v>
      </c>
      <c r="V256" s="102" t="s">
        <v>111</v>
      </c>
      <c r="W256" s="102"/>
      <c r="X256" s="102"/>
      <c r="Y256" s="102"/>
      <c r="Z256" s="102"/>
      <c r="AA256" s="102">
        <v>39</v>
      </c>
      <c r="AB256" s="102"/>
      <c r="AC256" s="197">
        <f t="shared" si="31"/>
        <v>39</v>
      </c>
      <c r="AD256" s="99">
        <f>AC256</f>
        <v>39</v>
      </c>
      <c r="AE256" s="99"/>
      <c r="AF256" s="99"/>
      <c r="AG256" s="99">
        <f t="shared" si="32"/>
        <v>39</v>
      </c>
      <c r="AH256" s="99">
        <f>AC256</f>
        <v>39</v>
      </c>
      <c r="AI256" s="99"/>
      <c r="AJ256" s="99"/>
      <c r="AK256" s="99"/>
      <c r="AL256" s="99"/>
      <c r="AM256" s="99">
        <f t="shared" si="29"/>
        <v>39</v>
      </c>
      <c r="AN256" s="102" t="s">
        <v>93</v>
      </c>
      <c r="AO256" s="102">
        <v>3</v>
      </c>
      <c r="AP256" s="99"/>
    </row>
    <row r="257" spans="1:52" ht="39" customHeight="1" x14ac:dyDescent="0.25">
      <c r="A257" s="99">
        <v>2287</v>
      </c>
      <c r="B257" s="197" t="s">
        <v>525</v>
      </c>
      <c r="C257" s="240">
        <v>101124000</v>
      </c>
      <c r="D257" s="99">
        <v>21045824</v>
      </c>
      <c r="E257" s="99"/>
      <c r="F257" s="197" t="str">
        <f>VLOOKUP(D257,'rà soát ĐK'!B250:C700,2,0)</f>
        <v>PB04090024994</v>
      </c>
      <c r="G257" s="99" t="s">
        <v>2636</v>
      </c>
      <c r="H257" s="99" t="s">
        <v>787</v>
      </c>
      <c r="I257" s="239">
        <v>113297471</v>
      </c>
      <c r="J257" s="239">
        <v>1066333761</v>
      </c>
      <c r="K257" s="197" t="s">
        <v>525</v>
      </c>
      <c r="L257" s="197" t="s">
        <v>527</v>
      </c>
      <c r="M257" s="197">
        <v>224</v>
      </c>
      <c r="N257" s="102" t="s">
        <v>528</v>
      </c>
      <c r="O257" s="102"/>
      <c r="P257" s="102">
        <v>1473</v>
      </c>
      <c r="Q257" s="102">
        <f t="shared" si="34"/>
        <v>1473</v>
      </c>
      <c r="R257" s="102" t="s">
        <v>91</v>
      </c>
      <c r="S257" s="102" t="s">
        <v>90</v>
      </c>
      <c r="T257" s="102"/>
      <c r="U257" s="102" t="s">
        <v>90</v>
      </c>
      <c r="V257" s="102" t="s">
        <v>111</v>
      </c>
      <c r="W257" s="102"/>
      <c r="X257" s="102"/>
      <c r="Y257" s="102"/>
      <c r="Z257" s="102">
        <v>16</v>
      </c>
      <c r="AA257" s="102">
        <v>15</v>
      </c>
      <c r="AB257" s="102"/>
      <c r="AC257" s="242">
        <f>SUM(W257:AB257)</f>
        <v>31</v>
      </c>
      <c r="AD257" s="102">
        <v>31</v>
      </c>
      <c r="AE257" s="102"/>
      <c r="AF257" s="102"/>
      <c r="AG257" s="102">
        <f>SUM(AD257:AF257)</f>
        <v>31</v>
      </c>
      <c r="AH257" s="102">
        <v>31</v>
      </c>
      <c r="AI257" s="102"/>
      <c r="AJ257" s="102"/>
      <c r="AK257" s="102"/>
      <c r="AL257" s="102"/>
      <c r="AM257" s="102">
        <f t="shared" si="29"/>
        <v>31</v>
      </c>
      <c r="AN257" s="102" t="s">
        <v>93</v>
      </c>
      <c r="AO257" s="102">
        <v>3</v>
      </c>
      <c r="AP257" s="99"/>
    </row>
    <row r="258" spans="1:52" ht="39" customHeight="1" x14ac:dyDescent="0.25">
      <c r="A258" s="111">
        <v>2288</v>
      </c>
      <c r="B258" s="248" t="s">
        <v>535</v>
      </c>
      <c r="C258" s="241">
        <v>101120000</v>
      </c>
      <c r="D258" s="111"/>
      <c r="E258" s="111"/>
      <c r="F258" s="197"/>
      <c r="G258" s="111"/>
      <c r="H258" s="111" t="s">
        <v>789</v>
      </c>
      <c r="I258" s="253">
        <v>113242289</v>
      </c>
      <c r="J258" s="253">
        <v>1066305235</v>
      </c>
      <c r="K258" s="248" t="s">
        <v>532</v>
      </c>
      <c r="L258" s="248" t="s">
        <v>527</v>
      </c>
      <c r="M258" s="248" t="s">
        <v>536</v>
      </c>
      <c r="N258" s="113" t="s">
        <v>537</v>
      </c>
      <c r="O258" s="113"/>
      <c r="P258" s="113">
        <f>2103-P260+P261</f>
        <v>2221</v>
      </c>
      <c r="Q258" s="113">
        <f t="shared" si="34"/>
        <v>2221</v>
      </c>
      <c r="R258" s="113" t="s">
        <v>91</v>
      </c>
      <c r="S258" s="113" t="s">
        <v>90</v>
      </c>
      <c r="T258" s="113"/>
      <c r="U258" s="113" t="s">
        <v>90</v>
      </c>
      <c r="V258" s="113" t="s">
        <v>111</v>
      </c>
      <c r="W258" s="113"/>
      <c r="X258" s="113"/>
      <c r="Y258" s="113"/>
      <c r="Z258" s="113">
        <v>22</v>
      </c>
      <c r="AA258" s="113"/>
      <c r="AB258" s="113"/>
      <c r="AC258" s="255">
        <f>SUM(W258:AB258)</f>
        <v>22</v>
      </c>
      <c r="AD258" s="113">
        <v>22</v>
      </c>
      <c r="AE258" s="113"/>
      <c r="AF258" s="113"/>
      <c r="AG258" s="113">
        <f>SUM(AD258:AF258)</f>
        <v>22</v>
      </c>
      <c r="AH258" s="113">
        <v>22</v>
      </c>
      <c r="AI258" s="113"/>
      <c r="AJ258" s="113"/>
      <c r="AK258" s="113"/>
      <c r="AL258" s="113"/>
      <c r="AM258" s="113">
        <f t="shared" si="29"/>
        <v>22</v>
      </c>
      <c r="AN258" s="113" t="s">
        <v>93</v>
      </c>
      <c r="AO258" s="113">
        <v>3</v>
      </c>
      <c r="AP258" s="111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</row>
    <row r="259" spans="1:52" ht="39" customHeight="1" x14ac:dyDescent="0.25">
      <c r="A259" s="99">
        <v>2288</v>
      </c>
      <c r="B259" s="197" t="s">
        <v>530</v>
      </c>
      <c r="C259" s="240">
        <v>101121000</v>
      </c>
      <c r="D259" s="99">
        <v>21004186</v>
      </c>
      <c r="E259" s="99"/>
      <c r="F259" s="197" t="str">
        <f>VLOOKUP(D259,'rà soát ĐK'!B252:C702,2,0)</f>
        <v>PB04090023085</v>
      </c>
      <c r="G259" s="99" t="s">
        <v>2719</v>
      </c>
      <c r="H259" s="99" t="s">
        <v>788</v>
      </c>
      <c r="I259" s="239">
        <v>113173873</v>
      </c>
      <c r="J259" s="239">
        <v>1066321377</v>
      </c>
      <c r="K259" s="197" t="s">
        <v>532</v>
      </c>
      <c r="L259" s="197" t="s">
        <v>527</v>
      </c>
      <c r="M259" s="197" t="s">
        <v>533</v>
      </c>
      <c r="N259" s="102" t="s">
        <v>534</v>
      </c>
      <c r="O259" s="102"/>
      <c r="P259" s="102">
        <v>752</v>
      </c>
      <c r="Q259" s="102">
        <f t="shared" si="34"/>
        <v>752</v>
      </c>
      <c r="R259" s="102" t="s">
        <v>91</v>
      </c>
      <c r="S259" s="102" t="s">
        <v>90</v>
      </c>
      <c r="T259" s="102"/>
      <c r="U259" s="102" t="s">
        <v>90</v>
      </c>
      <c r="V259" s="102" t="s">
        <v>111</v>
      </c>
      <c r="W259" s="102"/>
      <c r="X259" s="102"/>
      <c r="Y259" s="102"/>
      <c r="Z259" s="102">
        <v>21</v>
      </c>
      <c r="AA259" s="102"/>
      <c r="AB259" s="102"/>
      <c r="AC259" s="242">
        <f>SUM(W259:AB259)</f>
        <v>21</v>
      </c>
      <c r="AD259" s="102">
        <v>21</v>
      </c>
      <c r="AE259" s="102"/>
      <c r="AF259" s="102"/>
      <c r="AG259" s="102">
        <f>SUM(AD259:AF259)</f>
        <v>21</v>
      </c>
      <c r="AH259" s="102">
        <v>21</v>
      </c>
      <c r="AI259" s="102"/>
      <c r="AJ259" s="102"/>
      <c r="AK259" s="102"/>
      <c r="AL259" s="102"/>
      <c r="AM259" s="102">
        <f t="shared" si="29"/>
        <v>21</v>
      </c>
      <c r="AN259" s="102" t="s">
        <v>93</v>
      </c>
      <c r="AO259" s="102">
        <v>3</v>
      </c>
      <c r="AP259" s="99"/>
    </row>
    <row r="260" spans="1:52" s="105" customFormat="1" ht="28.5" customHeight="1" x14ac:dyDescent="0.25">
      <c r="A260" s="99">
        <v>2289</v>
      </c>
      <c r="B260" s="197" t="s">
        <v>538</v>
      </c>
      <c r="C260" s="240">
        <v>101123000</v>
      </c>
      <c r="D260" s="99">
        <v>21080276</v>
      </c>
      <c r="E260" s="99"/>
      <c r="F260" s="197" t="str">
        <f>VLOOKUP(D260,'rà soát ĐK'!B253:C703,2,0)</f>
        <v>PB04090023084</v>
      </c>
      <c r="G260" s="99" t="s">
        <v>2599</v>
      </c>
      <c r="H260" s="99" t="s">
        <v>790</v>
      </c>
      <c r="I260" s="239">
        <v>113242245</v>
      </c>
      <c r="J260" s="239">
        <v>1066320117</v>
      </c>
      <c r="K260" s="197" t="s">
        <v>538</v>
      </c>
      <c r="L260" s="197" t="s">
        <v>527</v>
      </c>
      <c r="M260" s="197">
        <v>129</v>
      </c>
      <c r="N260" s="106">
        <v>46143</v>
      </c>
      <c r="O260" s="102"/>
      <c r="P260" s="102">
        <v>322</v>
      </c>
      <c r="Q260" s="102">
        <f t="shared" si="34"/>
        <v>322</v>
      </c>
      <c r="R260" s="102" t="s">
        <v>91</v>
      </c>
      <c r="S260" s="102" t="s">
        <v>90</v>
      </c>
      <c r="T260" s="102"/>
      <c r="U260" s="102" t="s">
        <v>90</v>
      </c>
      <c r="V260" s="102" t="s">
        <v>111</v>
      </c>
      <c r="W260" s="102"/>
      <c r="X260" s="102"/>
      <c r="Y260" s="102"/>
      <c r="Z260" s="102">
        <v>5</v>
      </c>
      <c r="AA260" s="102"/>
      <c r="AB260" s="102"/>
      <c r="AC260" s="242">
        <f>SUM(W260:AB260)</f>
        <v>5</v>
      </c>
      <c r="AD260" s="102">
        <v>5</v>
      </c>
      <c r="AE260" s="102"/>
      <c r="AF260" s="102"/>
      <c r="AG260" s="102">
        <f>SUM(AD260:AF260)</f>
        <v>5</v>
      </c>
      <c r="AH260" s="102">
        <v>5</v>
      </c>
      <c r="AI260" s="102"/>
      <c r="AJ260" s="102"/>
      <c r="AK260" s="102"/>
      <c r="AL260" s="102"/>
      <c r="AM260" s="102">
        <f t="shared" si="29"/>
        <v>5</v>
      </c>
      <c r="AN260" s="102" t="s">
        <v>93</v>
      </c>
      <c r="AO260" s="102">
        <v>3</v>
      </c>
      <c r="AP260" s="99"/>
      <c r="AQ260" s="90"/>
      <c r="AR260" s="90"/>
      <c r="AS260" s="90"/>
      <c r="AT260" s="90"/>
      <c r="AU260" s="90"/>
      <c r="AV260" s="90"/>
      <c r="AW260" s="90"/>
      <c r="AX260" s="90"/>
      <c r="AY260" s="90"/>
      <c r="AZ260" s="90"/>
    </row>
    <row r="261" spans="1:52" ht="39" customHeight="1" x14ac:dyDescent="0.25">
      <c r="A261" s="99">
        <v>2290</v>
      </c>
      <c r="B261" s="197"/>
      <c r="C261" s="242"/>
      <c r="D261" s="99"/>
      <c r="E261" s="99"/>
      <c r="F261" s="197"/>
      <c r="G261" s="99"/>
      <c r="H261" s="99"/>
      <c r="I261" s="197"/>
      <c r="J261" s="197"/>
      <c r="K261" s="197" t="s">
        <v>540</v>
      </c>
      <c r="L261" s="197" t="s">
        <v>527</v>
      </c>
      <c r="M261" s="197"/>
      <c r="N261" s="107" t="s">
        <v>541</v>
      </c>
      <c r="O261" s="102"/>
      <c r="P261" s="102">
        <v>440</v>
      </c>
      <c r="Q261" s="102">
        <f t="shared" si="34"/>
        <v>440</v>
      </c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>
        <v>11</v>
      </c>
      <c r="AB261" s="102"/>
      <c r="AC261" s="242">
        <f>SUM(W261:AB261)</f>
        <v>11</v>
      </c>
      <c r="AD261" s="102">
        <v>11</v>
      </c>
      <c r="AE261" s="102"/>
      <c r="AF261" s="102"/>
      <c r="AG261" s="102">
        <v>11</v>
      </c>
      <c r="AH261" s="102">
        <v>11</v>
      </c>
      <c r="AI261" s="102"/>
      <c r="AJ261" s="102"/>
      <c r="AK261" s="102"/>
      <c r="AL261" s="102"/>
      <c r="AM261" s="102">
        <v>11</v>
      </c>
      <c r="AN261" s="102"/>
      <c r="AO261" s="102"/>
      <c r="AP261" s="99"/>
    </row>
    <row r="262" spans="1:52" ht="39" customHeight="1" x14ac:dyDescent="0.25">
      <c r="A262" s="99">
        <v>2291</v>
      </c>
      <c r="B262" s="197"/>
      <c r="C262" s="242"/>
      <c r="D262" s="99"/>
      <c r="E262" s="99"/>
      <c r="F262" s="197"/>
      <c r="G262" s="99"/>
      <c r="H262" s="99"/>
      <c r="I262" s="197"/>
      <c r="J262" s="197"/>
      <c r="K262" s="197" t="s">
        <v>542</v>
      </c>
      <c r="L262" s="197" t="s">
        <v>527</v>
      </c>
      <c r="M262" s="197"/>
      <c r="N262" s="107" t="s">
        <v>543</v>
      </c>
      <c r="O262" s="102"/>
      <c r="P262" s="102">
        <v>365</v>
      </c>
      <c r="Q262" s="102">
        <f t="shared" si="34"/>
        <v>365</v>
      </c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>
        <v>10</v>
      </c>
      <c r="AB262" s="102"/>
      <c r="AC262" s="242">
        <v>10</v>
      </c>
      <c r="AD262" s="102">
        <v>10</v>
      </c>
      <c r="AE262" s="102"/>
      <c r="AF262" s="102"/>
      <c r="AG262" s="102">
        <v>10</v>
      </c>
      <c r="AH262" s="102">
        <v>10</v>
      </c>
      <c r="AI262" s="102"/>
      <c r="AJ262" s="102"/>
      <c r="AK262" s="102"/>
      <c r="AL262" s="102"/>
      <c r="AM262" s="102">
        <v>10</v>
      </c>
      <c r="AN262" s="102"/>
      <c r="AO262" s="102"/>
      <c r="AP262" s="99"/>
    </row>
    <row r="263" spans="1:52" ht="39" customHeight="1" x14ac:dyDescent="0.25">
      <c r="A263" s="99">
        <v>2292</v>
      </c>
      <c r="B263" s="197" t="s">
        <v>544</v>
      </c>
      <c r="C263" s="240">
        <v>101122000</v>
      </c>
      <c r="D263" s="99">
        <v>21072679</v>
      </c>
      <c r="E263" s="99"/>
      <c r="F263" s="197" t="str">
        <f>VLOOKUP(D263,'rà soát ĐK'!B256:C706,2,0)</f>
        <v>PB04090023074</v>
      </c>
      <c r="G263" s="99" t="s">
        <v>2718</v>
      </c>
      <c r="H263" s="99" t="s">
        <v>791</v>
      </c>
      <c r="I263" s="239">
        <v>113198451</v>
      </c>
      <c r="J263" s="239">
        <v>1066325911</v>
      </c>
      <c r="K263" s="197" t="s">
        <v>544</v>
      </c>
      <c r="L263" s="197" t="s">
        <v>527</v>
      </c>
      <c r="M263" s="197" t="s">
        <v>546</v>
      </c>
      <c r="N263" s="106">
        <v>46204</v>
      </c>
      <c r="O263" s="102"/>
      <c r="P263" s="102">
        <v>348</v>
      </c>
      <c r="Q263" s="102">
        <f t="shared" si="34"/>
        <v>348</v>
      </c>
      <c r="R263" s="102" t="s">
        <v>91</v>
      </c>
      <c r="S263" s="102" t="s">
        <v>90</v>
      </c>
      <c r="T263" s="102"/>
      <c r="U263" s="102" t="s">
        <v>90</v>
      </c>
      <c r="V263" s="102" t="s">
        <v>92</v>
      </c>
      <c r="W263" s="102"/>
      <c r="X263" s="102"/>
      <c r="Y263" s="102"/>
      <c r="Z263" s="102">
        <v>7</v>
      </c>
      <c r="AA263" s="102"/>
      <c r="AB263" s="102"/>
      <c r="AC263" s="242">
        <f>SUM(W263:AB263)</f>
        <v>7</v>
      </c>
      <c r="AD263" s="102">
        <v>7</v>
      </c>
      <c r="AE263" s="102"/>
      <c r="AF263" s="102"/>
      <c r="AG263" s="102">
        <f>SUM(AD263:AF263)</f>
        <v>7</v>
      </c>
      <c r="AH263" s="102">
        <v>7</v>
      </c>
      <c r="AI263" s="102"/>
      <c r="AJ263" s="102"/>
      <c r="AK263" s="102"/>
      <c r="AL263" s="102"/>
      <c r="AM263" s="102">
        <f>SUM(AH263:AL263)</f>
        <v>7</v>
      </c>
      <c r="AN263" s="102" t="s">
        <v>93</v>
      </c>
      <c r="AO263" s="102">
        <v>3</v>
      </c>
      <c r="AP263" s="99"/>
    </row>
    <row r="264" spans="1:52" ht="39" customHeight="1" x14ac:dyDescent="0.25">
      <c r="A264" s="99">
        <v>2293</v>
      </c>
      <c r="B264" s="197"/>
      <c r="C264" s="242"/>
      <c r="D264" s="99"/>
      <c r="E264" s="99"/>
      <c r="F264" s="197"/>
      <c r="G264" s="99"/>
      <c r="H264" s="99"/>
      <c r="I264" s="197"/>
      <c r="J264" s="197"/>
      <c r="K264" s="197" t="s">
        <v>547</v>
      </c>
      <c r="L264" s="197" t="s">
        <v>527</v>
      </c>
      <c r="M264" s="197"/>
      <c r="N264" s="104" t="s">
        <v>548</v>
      </c>
      <c r="O264" s="102"/>
      <c r="P264" s="102">
        <v>345</v>
      </c>
      <c r="Q264" s="102"/>
      <c r="R264" s="102"/>
      <c r="S264" s="102"/>
      <c r="T264" s="102"/>
      <c r="U264" s="102"/>
      <c r="V264" s="102"/>
      <c r="W264" s="102"/>
      <c r="X264" s="102"/>
      <c r="Y264" s="102"/>
      <c r="Z264" s="102">
        <v>6</v>
      </c>
      <c r="AA264" s="102"/>
      <c r="AB264" s="102"/>
      <c r="AC264" s="242">
        <v>6</v>
      </c>
      <c r="AD264" s="102">
        <v>6</v>
      </c>
      <c r="AE264" s="102"/>
      <c r="AF264" s="102"/>
      <c r="AG264" s="102"/>
      <c r="AH264" s="102"/>
      <c r="AI264" s="102">
        <v>6</v>
      </c>
      <c r="AJ264" s="102"/>
      <c r="AK264" s="102"/>
      <c r="AL264" s="102"/>
      <c r="AM264" s="102">
        <v>6</v>
      </c>
      <c r="AN264" s="102"/>
      <c r="AO264" s="102"/>
      <c r="AP264" s="99"/>
    </row>
    <row r="265" spans="1:52" ht="39" customHeight="1" x14ac:dyDescent="0.25">
      <c r="A265" s="99">
        <v>2294</v>
      </c>
      <c r="B265" s="197" t="s">
        <v>549</v>
      </c>
      <c r="C265" s="240">
        <v>109314000</v>
      </c>
      <c r="D265" s="99">
        <v>21034660</v>
      </c>
      <c r="E265" s="99"/>
      <c r="F265" s="197" t="str">
        <f>VLOOKUP(D265,'rà soát ĐK'!B258:C708,2,0)</f>
        <v>PB04090023075</v>
      </c>
      <c r="G265" s="99" t="s">
        <v>2587</v>
      </c>
      <c r="H265" s="99" t="s">
        <v>786</v>
      </c>
      <c r="I265" s="239">
        <v>11328234</v>
      </c>
      <c r="J265" s="239">
        <v>106634969</v>
      </c>
      <c r="K265" s="197" t="s">
        <v>549</v>
      </c>
      <c r="L265" s="197" t="s">
        <v>527</v>
      </c>
      <c r="M265" s="197" t="s">
        <v>551</v>
      </c>
      <c r="N265" s="104" t="s">
        <v>543</v>
      </c>
      <c r="O265" s="102"/>
      <c r="P265" s="102">
        <f>555+65</f>
        <v>620</v>
      </c>
      <c r="Q265" s="102">
        <f t="shared" ref="Q265:Q296" si="35">SUM(O265:P265)</f>
        <v>620</v>
      </c>
      <c r="R265" s="102"/>
      <c r="S265" s="102" t="s">
        <v>90</v>
      </c>
      <c r="T265" s="102"/>
      <c r="U265" s="102" t="s">
        <v>90</v>
      </c>
      <c r="V265" s="102"/>
      <c r="W265" s="102"/>
      <c r="X265" s="102"/>
      <c r="Y265" s="102"/>
      <c r="Z265" s="102">
        <v>10</v>
      </c>
      <c r="AA265" s="102"/>
      <c r="AB265" s="102"/>
      <c r="AC265" s="242">
        <f t="shared" ref="AC265:AC296" si="36">SUM(W265:AB265)</f>
        <v>10</v>
      </c>
      <c r="AD265" s="102">
        <v>10</v>
      </c>
      <c r="AE265" s="102"/>
      <c r="AF265" s="102"/>
      <c r="AG265" s="102">
        <f t="shared" ref="AG265:AG275" si="37">SUM(AD265:AF265)</f>
        <v>10</v>
      </c>
      <c r="AH265" s="102"/>
      <c r="AI265" s="102">
        <v>10</v>
      </c>
      <c r="AJ265" s="102"/>
      <c r="AK265" s="102"/>
      <c r="AL265" s="102"/>
      <c r="AM265" s="102">
        <f t="shared" ref="AM265:AM275" si="38">SUM(AH265:AL265)</f>
        <v>10</v>
      </c>
      <c r="AN265" s="102" t="s">
        <v>93</v>
      </c>
      <c r="AO265" s="102">
        <v>3</v>
      </c>
      <c r="AP265" s="99"/>
    </row>
    <row r="266" spans="1:52" ht="39" customHeight="1" x14ac:dyDescent="0.25">
      <c r="A266" s="99">
        <v>2295</v>
      </c>
      <c r="B266" s="197" t="s">
        <v>552</v>
      </c>
      <c r="C266" s="240">
        <v>101313000</v>
      </c>
      <c r="D266" s="99">
        <v>21072767</v>
      </c>
      <c r="E266" s="99"/>
      <c r="F266" s="197" t="str">
        <f>VLOOKUP(D266,'rà soát ĐK'!B259:C709,2,0)</f>
        <v>PB04090023077</v>
      </c>
      <c r="G266" s="99" t="s">
        <v>2584</v>
      </c>
      <c r="H266" s="99" t="s">
        <v>792</v>
      </c>
      <c r="I266" s="239">
        <v>11327118</v>
      </c>
      <c r="J266" s="239">
        <v>1066347711</v>
      </c>
      <c r="K266" s="197" t="s">
        <v>552</v>
      </c>
      <c r="L266" s="197" t="s">
        <v>527</v>
      </c>
      <c r="M266" s="197" t="s">
        <v>554</v>
      </c>
      <c r="N266" s="104" t="s">
        <v>555</v>
      </c>
      <c r="O266" s="102"/>
      <c r="P266" s="102">
        <v>710</v>
      </c>
      <c r="Q266" s="102">
        <f t="shared" si="35"/>
        <v>710</v>
      </c>
      <c r="R266" s="102"/>
      <c r="S266" s="102" t="s">
        <v>90</v>
      </c>
      <c r="T266" s="102"/>
      <c r="U266" s="102" t="s">
        <v>90</v>
      </c>
      <c r="V266" s="102"/>
      <c r="W266" s="102"/>
      <c r="X266" s="102"/>
      <c r="Y266" s="102"/>
      <c r="Z266" s="102">
        <v>12</v>
      </c>
      <c r="AA266" s="102"/>
      <c r="AB266" s="102"/>
      <c r="AC266" s="242">
        <f t="shared" si="36"/>
        <v>12</v>
      </c>
      <c r="AD266" s="102">
        <v>12</v>
      </c>
      <c r="AE266" s="102"/>
      <c r="AF266" s="102"/>
      <c r="AG266" s="102">
        <f t="shared" si="37"/>
        <v>12</v>
      </c>
      <c r="AH266" s="102"/>
      <c r="AI266" s="102">
        <v>12</v>
      </c>
      <c r="AJ266" s="102"/>
      <c r="AK266" s="102"/>
      <c r="AL266" s="102"/>
      <c r="AM266" s="102">
        <f t="shared" si="38"/>
        <v>12</v>
      </c>
      <c r="AN266" s="102" t="s">
        <v>93</v>
      </c>
      <c r="AO266" s="102">
        <v>3</v>
      </c>
      <c r="AP266" s="99"/>
    </row>
    <row r="267" spans="1:52" ht="39" customHeight="1" x14ac:dyDescent="0.25">
      <c r="A267" s="99">
        <v>2296</v>
      </c>
      <c r="B267" s="197" t="s">
        <v>556</v>
      </c>
      <c r="C267" s="240">
        <v>101316000</v>
      </c>
      <c r="D267" s="99">
        <v>25092038</v>
      </c>
      <c r="E267" s="99"/>
      <c r="F267" s="197" t="str">
        <f>VLOOKUP(D267,'rà soát ĐK'!B260:C710,2,0)</f>
        <v>PB04090024990</v>
      </c>
      <c r="G267" s="99" t="s">
        <v>2581</v>
      </c>
      <c r="H267" s="99" t="s">
        <v>793</v>
      </c>
      <c r="I267" s="239">
        <v>113252714</v>
      </c>
      <c r="J267" s="239">
        <v>1066361642</v>
      </c>
      <c r="K267" s="197" t="s">
        <v>556</v>
      </c>
      <c r="L267" s="197" t="s">
        <v>527</v>
      </c>
      <c r="M267" s="197"/>
      <c r="N267" s="104" t="s">
        <v>558</v>
      </c>
      <c r="O267" s="102"/>
      <c r="P267" s="102">
        <v>405</v>
      </c>
      <c r="Q267" s="102">
        <f t="shared" si="35"/>
        <v>405</v>
      </c>
      <c r="R267" s="102"/>
      <c r="S267" s="102" t="s">
        <v>90</v>
      </c>
      <c r="T267" s="102"/>
      <c r="U267" s="102" t="s">
        <v>90</v>
      </c>
      <c r="V267" s="102"/>
      <c r="W267" s="102"/>
      <c r="X267" s="102"/>
      <c r="Y267" s="102"/>
      <c r="Z267" s="102">
        <v>8</v>
      </c>
      <c r="AA267" s="102"/>
      <c r="AB267" s="102"/>
      <c r="AC267" s="242">
        <f t="shared" si="36"/>
        <v>8</v>
      </c>
      <c r="AD267" s="102">
        <v>8</v>
      </c>
      <c r="AE267" s="102"/>
      <c r="AF267" s="102"/>
      <c r="AG267" s="102">
        <f t="shared" si="37"/>
        <v>8</v>
      </c>
      <c r="AH267" s="102"/>
      <c r="AI267" s="102">
        <v>8</v>
      </c>
      <c r="AJ267" s="102"/>
      <c r="AK267" s="102"/>
      <c r="AL267" s="102"/>
      <c r="AM267" s="102">
        <f t="shared" si="38"/>
        <v>8</v>
      </c>
      <c r="AN267" s="102" t="s">
        <v>93</v>
      </c>
      <c r="AO267" s="102">
        <v>3</v>
      </c>
      <c r="AP267" s="99"/>
    </row>
    <row r="268" spans="1:52" ht="39" customHeight="1" x14ac:dyDescent="0.25">
      <c r="A268" s="99">
        <v>2297</v>
      </c>
      <c r="B268" s="197"/>
      <c r="C268" s="242"/>
      <c r="D268" s="99"/>
      <c r="E268" s="99"/>
      <c r="F268" s="197"/>
      <c r="G268" s="99"/>
      <c r="H268" s="99"/>
      <c r="I268" s="197"/>
      <c r="J268" s="197"/>
      <c r="K268" s="197" t="s">
        <v>559</v>
      </c>
      <c r="L268" s="197" t="s">
        <v>527</v>
      </c>
      <c r="M268" s="197"/>
      <c r="N268" s="104" t="s">
        <v>560</v>
      </c>
      <c r="O268" s="102"/>
      <c r="P268" s="102">
        <v>410</v>
      </c>
      <c r="Q268" s="102">
        <f t="shared" si="35"/>
        <v>410</v>
      </c>
      <c r="R268" s="102"/>
      <c r="S268" s="102"/>
      <c r="T268" s="102"/>
      <c r="U268" s="102"/>
      <c r="V268" s="102"/>
      <c r="W268" s="102"/>
      <c r="X268" s="102"/>
      <c r="Y268" s="102"/>
      <c r="Z268" s="102">
        <v>9</v>
      </c>
      <c r="AA268" s="102"/>
      <c r="AB268" s="102"/>
      <c r="AC268" s="242">
        <f t="shared" si="36"/>
        <v>9</v>
      </c>
      <c r="AD268" s="102">
        <v>9</v>
      </c>
      <c r="AE268" s="102"/>
      <c r="AF268" s="102"/>
      <c r="AG268" s="102">
        <f t="shared" si="37"/>
        <v>9</v>
      </c>
      <c r="AH268" s="102"/>
      <c r="AI268" s="102">
        <v>9</v>
      </c>
      <c r="AJ268" s="102"/>
      <c r="AK268" s="102"/>
      <c r="AL268" s="102"/>
      <c r="AM268" s="102">
        <f t="shared" si="38"/>
        <v>9</v>
      </c>
      <c r="AN268" s="102"/>
      <c r="AO268" s="102"/>
      <c r="AP268" s="99"/>
    </row>
    <row r="269" spans="1:52" ht="39" customHeight="1" x14ac:dyDescent="0.25">
      <c r="A269" s="99">
        <v>2298</v>
      </c>
      <c r="B269" s="197" t="s">
        <v>561</v>
      </c>
      <c r="C269" s="240">
        <v>101151000</v>
      </c>
      <c r="D269" s="99">
        <v>1611496202</v>
      </c>
      <c r="E269" s="99"/>
      <c r="F269" s="197" t="str">
        <f>VLOOKUP(D269,'rà soát ĐK'!B262:C712,2,0)</f>
        <v>PB04090024991</v>
      </c>
      <c r="G269" s="99" t="s">
        <v>2654</v>
      </c>
      <c r="H269" s="99" t="s">
        <v>794</v>
      </c>
      <c r="I269" s="239">
        <v>113163822</v>
      </c>
      <c r="J269" s="239">
        <v>1066364142</v>
      </c>
      <c r="K269" s="197" t="s">
        <v>561</v>
      </c>
      <c r="L269" s="197" t="s">
        <v>527</v>
      </c>
      <c r="M269" s="197" t="s">
        <v>563</v>
      </c>
      <c r="N269" s="104" t="s">
        <v>548</v>
      </c>
      <c r="O269" s="102"/>
      <c r="P269" s="102">
        <v>195</v>
      </c>
      <c r="Q269" s="102">
        <f t="shared" si="35"/>
        <v>195</v>
      </c>
      <c r="R269" s="102"/>
      <c r="S269" s="102" t="s">
        <v>90</v>
      </c>
      <c r="T269" s="102"/>
      <c r="U269" s="102" t="s">
        <v>90</v>
      </c>
      <c r="V269" s="102"/>
      <c r="W269" s="102"/>
      <c r="X269" s="102"/>
      <c r="Y269" s="102"/>
      <c r="Z269" s="102"/>
      <c r="AA269" s="102">
        <v>6</v>
      </c>
      <c r="AB269" s="102"/>
      <c r="AC269" s="242">
        <f t="shared" si="36"/>
        <v>6</v>
      </c>
      <c r="AD269" s="102"/>
      <c r="AE269" s="102"/>
      <c r="AF269" s="102"/>
      <c r="AG269" s="102">
        <f t="shared" si="37"/>
        <v>0</v>
      </c>
      <c r="AH269" s="102"/>
      <c r="AI269" s="102">
        <v>6</v>
      </c>
      <c r="AJ269" s="102"/>
      <c r="AK269" s="102"/>
      <c r="AL269" s="102"/>
      <c r="AM269" s="102">
        <f t="shared" si="38"/>
        <v>6</v>
      </c>
      <c r="AN269" s="102" t="s">
        <v>93</v>
      </c>
      <c r="AO269" s="102">
        <v>3</v>
      </c>
      <c r="AP269" s="99"/>
    </row>
    <row r="270" spans="1:52" ht="39" customHeight="1" x14ac:dyDescent="0.25">
      <c r="A270" s="99">
        <v>2299</v>
      </c>
      <c r="B270" s="197" t="s">
        <v>564</v>
      </c>
      <c r="C270" s="240">
        <v>101153000</v>
      </c>
      <c r="D270" s="99">
        <v>21048552</v>
      </c>
      <c r="E270" s="99"/>
      <c r="F270" s="197" t="str">
        <f>VLOOKUP(D270,'rà soát ĐK'!B263:C713,2,0)</f>
        <v>PB04090029010</v>
      </c>
      <c r="G270" s="99" t="s">
        <v>2639</v>
      </c>
      <c r="H270" s="99" t="s">
        <v>795</v>
      </c>
      <c r="I270" s="239">
        <v>113188514</v>
      </c>
      <c r="J270" s="239">
        <v>1066378344</v>
      </c>
      <c r="K270" s="197" t="s">
        <v>566</v>
      </c>
      <c r="L270" s="197" t="s">
        <v>527</v>
      </c>
      <c r="M270" s="197">
        <v>177</v>
      </c>
      <c r="N270" s="104" t="s">
        <v>567</v>
      </c>
      <c r="O270" s="102"/>
      <c r="P270" s="102">
        <f>245+490+375</f>
        <v>1110</v>
      </c>
      <c r="Q270" s="102">
        <f t="shared" si="35"/>
        <v>1110</v>
      </c>
      <c r="R270" s="102"/>
      <c r="S270" s="102" t="s">
        <v>90</v>
      </c>
      <c r="T270" s="102"/>
      <c r="U270" s="102" t="s">
        <v>90</v>
      </c>
      <c r="V270" s="102"/>
      <c r="W270" s="102"/>
      <c r="X270" s="102"/>
      <c r="Y270" s="102"/>
      <c r="Z270" s="102">
        <v>9</v>
      </c>
      <c r="AA270" s="102">
        <v>25</v>
      </c>
      <c r="AB270" s="102"/>
      <c r="AC270" s="242">
        <f t="shared" si="36"/>
        <v>34</v>
      </c>
      <c r="AD270" s="102">
        <v>34</v>
      </c>
      <c r="AE270" s="102"/>
      <c r="AF270" s="102"/>
      <c r="AG270" s="102">
        <f t="shared" si="37"/>
        <v>34</v>
      </c>
      <c r="AH270" s="102"/>
      <c r="AI270" s="102">
        <v>34</v>
      </c>
      <c r="AJ270" s="102"/>
      <c r="AK270" s="102"/>
      <c r="AL270" s="102"/>
      <c r="AM270" s="102">
        <f t="shared" si="38"/>
        <v>34</v>
      </c>
      <c r="AN270" s="102" t="s">
        <v>93</v>
      </c>
      <c r="AO270" s="102">
        <v>3</v>
      </c>
      <c r="AP270" s="99"/>
    </row>
    <row r="271" spans="1:52" ht="39" customHeight="1" x14ac:dyDescent="0.25">
      <c r="A271" s="99">
        <v>2300</v>
      </c>
      <c r="B271" s="197"/>
      <c r="C271" s="242"/>
      <c r="D271" s="99"/>
      <c r="E271" s="99"/>
      <c r="F271" s="197"/>
      <c r="G271" s="99"/>
      <c r="H271" s="99"/>
      <c r="I271" s="197"/>
      <c r="J271" s="197"/>
      <c r="K271" s="197" t="s">
        <v>564</v>
      </c>
      <c r="L271" s="197" t="s">
        <v>527</v>
      </c>
      <c r="M271" s="197"/>
      <c r="N271" s="104" t="s">
        <v>568</v>
      </c>
      <c r="O271" s="102"/>
      <c r="P271" s="102">
        <v>110</v>
      </c>
      <c r="Q271" s="102">
        <f t="shared" si="35"/>
        <v>110</v>
      </c>
      <c r="R271" s="102"/>
      <c r="S271" s="102"/>
      <c r="T271" s="102"/>
      <c r="U271" s="102"/>
      <c r="V271" s="102"/>
      <c r="W271" s="102"/>
      <c r="X271" s="102"/>
      <c r="Y271" s="102"/>
      <c r="Z271" s="102">
        <v>3</v>
      </c>
      <c r="AA271" s="102"/>
      <c r="AB271" s="102"/>
      <c r="AC271" s="242">
        <f t="shared" si="36"/>
        <v>3</v>
      </c>
      <c r="AD271" s="102">
        <v>3</v>
      </c>
      <c r="AE271" s="102"/>
      <c r="AF271" s="102"/>
      <c r="AG271" s="102">
        <f t="shared" si="37"/>
        <v>3</v>
      </c>
      <c r="AH271" s="102"/>
      <c r="AI271" s="102">
        <v>3</v>
      </c>
      <c r="AJ271" s="102"/>
      <c r="AK271" s="102"/>
      <c r="AL271" s="102"/>
      <c r="AM271" s="102">
        <f t="shared" si="38"/>
        <v>3</v>
      </c>
      <c r="AN271" s="102"/>
      <c r="AO271" s="102"/>
      <c r="AP271" s="99"/>
    </row>
    <row r="272" spans="1:52" ht="39" customHeight="1" x14ac:dyDescent="0.25">
      <c r="A272" s="99">
        <v>2301</v>
      </c>
      <c r="B272" s="197" t="s">
        <v>569</v>
      </c>
      <c r="C272" s="240">
        <v>101154000</v>
      </c>
      <c r="D272" s="99">
        <v>1611166860</v>
      </c>
      <c r="E272" s="99"/>
      <c r="F272" s="197" t="str">
        <f>VLOOKUP(D272,'rà soát ĐK'!B265:C715,2,0)</f>
        <v>PB04090024992</v>
      </c>
      <c r="G272" s="99" t="s">
        <v>2660</v>
      </c>
      <c r="H272" s="99" t="s">
        <v>796</v>
      </c>
      <c r="I272" s="239">
        <v>113223577</v>
      </c>
      <c r="J272" s="239">
        <v>1066404766</v>
      </c>
      <c r="K272" s="197" t="s">
        <v>571</v>
      </c>
      <c r="L272" s="197" t="s">
        <v>527</v>
      </c>
      <c r="M272" s="197" t="s">
        <v>572</v>
      </c>
      <c r="N272" s="104" t="s">
        <v>573</v>
      </c>
      <c r="O272" s="102"/>
      <c r="P272" s="102">
        <v>1495</v>
      </c>
      <c r="Q272" s="102">
        <f t="shared" si="35"/>
        <v>1495</v>
      </c>
      <c r="R272" s="102"/>
      <c r="S272" s="102" t="s">
        <v>90</v>
      </c>
      <c r="T272" s="102"/>
      <c r="U272" s="102" t="s">
        <v>90</v>
      </c>
      <c r="V272" s="102"/>
      <c r="W272" s="102"/>
      <c r="X272" s="102"/>
      <c r="Y272" s="102"/>
      <c r="Z272" s="102">
        <v>21</v>
      </c>
      <c r="AA272" s="102">
        <v>11</v>
      </c>
      <c r="AB272" s="102"/>
      <c r="AC272" s="242">
        <f t="shared" si="36"/>
        <v>32</v>
      </c>
      <c r="AD272" s="102">
        <v>32</v>
      </c>
      <c r="AE272" s="102"/>
      <c r="AF272" s="102"/>
      <c r="AG272" s="102">
        <f t="shared" si="37"/>
        <v>32</v>
      </c>
      <c r="AH272" s="102"/>
      <c r="AI272" s="102">
        <v>32</v>
      </c>
      <c r="AJ272" s="102"/>
      <c r="AK272" s="102"/>
      <c r="AL272" s="102"/>
      <c r="AM272" s="102">
        <f t="shared" si="38"/>
        <v>32</v>
      </c>
      <c r="AN272" s="102" t="s">
        <v>93</v>
      </c>
      <c r="AO272" s="102">
        <v>3</v>
      </c>
      <c r="AP272" s="99"/>
    </row>
    <row r="273" spans="1:52" ht="39" customHeight="1" x14ac:dyDescent="0.25">
      <c r="A273" s="99">
        <v>2302</v>
      </c>
      <c r="B273" s="197" t="s">
        <v>574</v>
      </c>
      <c r="C273" s="240">
        <v>101315000</v>
      </c>
      <c r="D273" s="99">
        <v>211100282890</v>
      </c>
      <c r="E273" s="99"/>
      <c r="F273" s="197" t="str">
        <f>VLOOKUP(D273,'rà soát ĐK'!B266:C716,2,0)</f>
        <v>PB04090027442</v>
      </c>
      <c r="G273" s="99" t="s">
        <v>2657</v>
      </c>
      <c r="H273" s="99" t="s">
        <v>797</v>
      </c>
      <c r="I273" s="239">
        <v>113212317</v>
      </c>
      <c r="J273" s="239">
        <v>1066431971</v>
      </c>
      <c r="K273" s="197" t="s">
        <v>574</v>
      </c>
      <c r="L273" s="197" t="s">
        <v>527</v>
      </c>
      <c r="M273" s="197"/>
      <c r="N273" s="104" t="s">
        <v>576</v>
      </c>
      <c r="O273" s="102"/>
      <c r="P273" s="102">
        <f>170+560</f>
        <v>730</v>
      </c>
      <c r="Q273" s="102">
        <f t="shared" si="35"/>
        <v>730</v>
      </c>
      <c r="R273" s="102"/>
      <c r="S273" s="102" t="s">
        <v>90</v>
      </c>
      <c r="T273" s="102"/>
      <c r="U273" s="102" t="s">
        <v>90</v>
      </c>
      <c r="V273" s="102"/>
      <c r="W273" s="102"/>
      <c r="X273" s="102"/>
      <c r="Y273" s="102"/>
      <c r="Z273" s="102"/>
      <c r="AA273" s="102">
        <v>19</v>
      </c>
      <c r="AB273" s="102"/>
      <c r="AC273" s="242">
        <f t="shared" si="36"/>
        <v>19</v>
      </c>
      <c r="AD273" s="102">
        <v>19</v>
      </c>
      <c r="AE273" s="102"/>
      <c r="AF273" s="102"/>
      <c r="AG273" s="102">
        <f t="shared" si="37"/>
        <v>19</v>
      </c>
      <c r="AH273" s="102"/>
      <c r="AI273" s="102">
        <v>19</v>
      </c>
      <c r="AJ273" s="102"/>
      <c r="AK273" s="102"/>
      <c r="AL273" s="102"/>
      <c r="AM273" s="102">
        <f t="shared" si="38"/>
        <v>19</v>
      </c>
      <c r="AN273" s="102" t="s">
        <v>93</v>
      </c>
      <c r="AO273" s="102">
        <v>3</v>
      </c>
      <c r="AP273" s="99"/>
    </row>
    <row r="274" spans="1:52" s="105" customFormat="1" ht="28.5" customHeight="1" x14ac:dyDescent="0.25">
      <c r="A274" s="99">
        <v>2303</v>
      </c>
      <c r="B274" s="197" t="s">
        <v>577</v>
      </c>
      <c r="C274" s="240"/>
      <c r="D274" s="99"/>
      <c r="E274" s="99"/>
      <c r="F274" s="197"/>
      <c r="G274" s="99"/>
      <c r="H274" s="99" t="s">
        <v>794</v>
      </c>
      <c r="I274" s="239">
        <v>113163822</v>
      </c>
      <c r="J274" s="239">
        <v>1066364142</v>
      </c>
      <c r="K274" s="197" t="s">
        <v>577</v>
      </c>
      <c r="L274" s="197" t="s">
        <v>527</v>
      </c>
      <c r="M274" s="197" t="s">
        <v>579</v>
      </c>
      <c r="N274" s="104" t="s">
        <v>580</v>
      </c>
      <c r="O274" s="102"/>
      <c r="P274" s="102">
        <f>718</f>
        <v>718</v>
      </c>
      <c r="Q274" s="102">
        <f t="shared" si="35"/>
        <v>718</v>
      </c>
      <c r="R274" s="102" t="s">
        <v>90</v>
      </c>
      <c r="S274" s="102"/>
      <c r="T274" s="102"/>
      <c r="U274" s="102" t="s">
        <v>90</v>
      </c>
      <c r="V274" s="102"/>
      <c r="W274" s="102"/>
      <c r="X274" s="102"/>
      <c r="Y274" s="102"/>
      <c r="Z274" s="102"/>
      <c r="AA274" s="102">
        <v>20</v>
      </c>
      <c r="AB274" s="102"/>
      <c r="AC274" s="242">
        <f t="shared" si="36"/>
        <v>20</v>
      </c>
      <c r="AD274" s="102">
        <v>20</v>
      </c>
      <c r="AE274" s="102"/>
      <c r="AF274" s="102"/>
      <c r="AG274" s="102">
        <f t="shared" si="37"/>
        <v>20</v>
      </c>
      <c r="AH274" s="102"/>
      <c r="AI274" s="102">
        <v>20</v>
      </c>
      <c r="AJ274" s="102"/>
      <c r="AK274" s="102"/>
      <c r="AL274" s="102"/>
      <c r="AM274" s="102">
        <f t="shared" si="38"/>
        <v>20</v>
      </c>
      <c r="AN274" s="102" t="s">
        <v>93</v>
      </c>
      <c r="AO274" s="102">
        <v>3</v>
      </c>
      <c r="AP274" s="99" t="s">
        <v>1633</v>
      </c>
      <c r="AQ274" s="90"/>
      <c r="AR274" s="90"/>
      <c r="AS274" s="90"/>
      <c r="AT274" s="90"/>
      <c r="AU274" s="90"/>
      <c r="AV274" s="90"/>
      <c r="AW274" s="90"/>
      <c r="AX274" s="90"/>
      <c r="AY274" s="90"/>
      <c r="AZ274" s="90"/>
    </row>
    <row r="275" spans="1:52" ht="39" customHeight="1" x14ac:dyDescent="0.25">
      <c r="A275" s="111">
        <v>2304</v>
      </c>
      <c r="B275" s="248" t="s">
        <v>581</v>
      </c>
      <c r="C275" s="241">
        <v>101312000</v>
      </c>
      <c r="D275" s="111"/>
      <c r="E275" s="111"/>
      <c r="F275" s="197"/>
      <c r="G275" s="111"/>
      <c r="H275" s="111" t="s">
        <v>798</v>
      </c>
      <c r="I275" s="253">
        <v>113177627</v>
      </c>
      <c r="J275" s="253">
        <v>1066378529</v>
      </c>
      <c r="K275" s="248" t="s">
        <v>581</v>
      </c>
      <c r="L275" s="248" t="s">
        <v>527</v>
      </c>
      <c r="M275" s="248" t="s">
        <v>582</v>
      </c>
      <c r="N275" s="114" t="s">
        <v>548</v>
      </c>
      <c r="O275" s="113"/>
      <c r="P275" s="113">
        <v>270</v>
      </c>
      <c r="Q275" s="113">
        <f t="shared" si="35"/>
        <v>270</v>
      </c>
      <c r="R275" s="113" t="s">
        <v>90</v>
      </c>
      <c r="S275" s="113"/>
      <c r="T275" s="113"/>
      <c r="U275" s="113" t="s">
        <v>90</v>
      </c>
      <c r="V275" s="113"/>
      <c r="W275" s="113"/>
      <c r="X275" s="113"/>
      <c r="Y275" s="113"/>
      <c r="Z275" s="113"/>
      <c r="AA275" s="113">
        <v>6</v>
      </c>
      <c r="AB275" s="113"/>
      <c r="AC275" s="255">
        <f t="shared" si="36"/>
        <v>6</v>
      </c>
      <c r="AD275" s="113">
        <v>6</v>
      </c>
      <c r="AE275" s="113"/>
      <c r="AF275" s="113"/>
      <c r="AG275" s="113">
        <f t="shared" si="37"/>
        <v>6</v>
      </c>
      <c r="AH275" s="113">
        <v>6</v>
      </c>
      <c r="AI275" s="113"/>
      <c r="AJ275" s="113"/>
      <c r="AK275" s="113"/>
      <c r="AL275" s="113"/>
      <c r="AM275" s="113">
        <f t="shared" si="38"/>
        <v>6</v>
      </c>
      <c r="AN275" s="113" t="s">
        <v>93</v>
      </c>
      <c r="AO275" s="113">
        <v>3</v>
      </c>
      <c r="AP275" s="111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2"/>
    </row>
    <row r="276" spans="1:52" ht="39" customHeight="1" x14ac:dyDescent="0.25">
      <c r="A276" s="99">
        <v>2305</v>
      </c>
      <c r="B276" s="197"/>
      <c r="C276" s="242"/>
      <c r="D276" s="99"/>
      <c r="E276" s="99"/>
      <c r="F276" s="197"/>
      <c r="G276" s="99"/>
      <c r="H276" s="99"/>
      <c r="I276" s="197"/>
      <c r="J276" s="197"/>
      <c r="K276" s="197" t="s">
        <v>583</v>
      </c>
      <c r="L276" s="197" t="s">
        <v>527</v>
      </c>
      <c r="M276" s="197"/>
      <c r="N276" s="104" t="s">
        <v>584</v>
      </c>
      <c r="O276" s="102"/>
      <c r="P276" s="102">
        <v>511</v>
      </c>
      <c r="Q276" s="102">
        <f t="shared" si="35"/>
        <v>511</v>
      </c>
      <c r="R276" s="102"/>
      <c r="S276" s="102"/>
      <c r="T276" s="102"/>
      <c r="U276" s="102"/>
      <c r="V276" s="102"/>
      <c r="W276" s="102"/>
      <c r="X276" s="102"/>
      <c r="Y276" s="102"/>
      <c r="Z276" s="102">
        <v>13</v>
      </c>
      <c r="AA276" s="102"/>
      <c r="AB276" s="102"/>
      <c r="AC276" s="242">
        <f t="shared" si="36"/>
        <v>13</v>
      </c>
      <c r="AD276" s="102">
        <v>13</v>
      </c>
      <c r="AE276" s="102"/>
      <c r="AF276" s="102"/>
      <c r="AG276" s="102">
        <v>13</v>
      </c>
      <c r="AH276" s="102"/>
      <c r="AI276" s="102">
        <v>13</v>
      </c>
      <c r="AJ276" s="102"/>
      <c r="AK276" s="102"/>
      <c r="AL276" s="102"/>
      <c r="AM276" s="102">
        <v>13</v>
      </c>
      <c r="AN276" s="102"/>
      <c r="AO276" s="102"/>
      <c r="AP276" s="99"/>
    </row>
    <row r="277" spans="1:52" ht="39" customHeight="1" x14ac:dyDescent="0.25">
      <c r="A277" s="99">
        <v>2306</v>
      </c>
      <c r="B277" s="197" t="s">
        <v>585</v>
      </c>
      <c r="C277" s="240">
        <v>101317000</v>
      </c>
      <c r="D277" s="99">
        <v>25088053</v>
      </c>
      <c r="E277" s="99"/>
      <c r="F277" s="197" t="str">
        <f>VLOOKUP(D277,'rà soát ĐK'!B270:C720,2,0)</f>
        <v>PE19000004465</v>
      </c>
      <c r="G277" s="99" t="s">
        <v>2645</v>
      </c>
      <c r="H277" s="99" t="s">
        <v>799</v>
      </c>
      <c r="I277" s="239">
        <v>113175158</v>
      </c>
      <c r="J277" s="239">
        <v>1066402463</v>
      </c>
      <c r="K277" s="197" t="s">
        <v>585</v>
      </c>
      <c r="L277" s="197" t="s">
        <v>527</v>
      </c>
      <c r="M277" s="197" t="s">
        <v>587</v>
      </c>
      <c r="N277" s="104" t="s">
        <v>588</v>
      </c>
      <c r="O277" s="102"/>
      <c r="P277" s="102">
        <v>290</v>
      </c>
      <c r="Q277" s="102">
        <f t="shared" si="35"/>
        <v>290</v>
      </c>
      <c r="R277" s="102" t="s">
        <v>90</v>
      </c>
      <c r="S277" s="102"/>
      <c r="T277" s="102"/>
      <c r="U277" s="102" t="s">
        <v>90</v>
      </c>
      <c r="V277" s="102"/>
      <c r="W277" s="102"/>
      <c r="X277" s="102"/>
      <c r="Y277" s="102"/>
      <c r="Z277" s="102"/>
      <c r="AA277" s="102">
        <v>7</v>
      </c>
      <c r="AB277" s="102"/>
      <c r="AC277" s="242">
        <f t="shared" si="36"/>
        <v>7</v>
      </c>
      <c r="AD277" s="102">
        <v>7</v>
      </c>
      <c r="AE277" s="102"/>
      <c r="AF277" s="102"/>
      <c r="AG277" s="102">
        <f>SUM(AD277:AF277)</f>
        <v>7</v>
      </c>
      <c r="AH277" s="102"/>
      <c r="AI277" s="102">
        <v>7</v>
      </c>
      <c r="AJ277" s="102"/>
      <c r="AK277" s="102"/>
      <c r="AL277" s="102"/>
      <c r="AM277" s="102">
        <f>SUM(AH277:AL277)</f>
        <v>7</v>
      </c>
      <c r="AN277" s="102" t="s">
        <v>93</v>
      </c>
      <c r="AO277" s="102">
        <v>3</v>
      </c>
      <c r="AP277" s="99"/>
    </row>
    <row r="278" spans="1:52" ht="39" customHeight="1" x14ac:dyDescent="0.25">
      <c r="A278" s="99">
        <v>2307</v>
      </c>
      <c r="B278" s="197" t="s">
        <v>589</v>
      </c>
      <c r="C278" s="240">
        <v>101182000</v>
      </c>
      <c r="D278" s="99">
        <v>221100308855</v>
      </c>
      <c r="E278" s="99"/>
      <c r="F278" s="197" t="str">
        <f>VLOOKUP(D278,'rà soát ĐK'!B271:C721,2,0)</f>
        <v>PB04090029019</v>
      </c>
      <c r="G278" s="99" t="s">
        <v>2723</v>
      </c>
      <c r="H278" s="99" t="s">
        <v>800</v>
      </c>
      <c r="I278" s="239">
        <v>113111464</v>
      </c>
      <c r="J278" s="239">
        <v>1066269912</v>
      </c>
      <c r="K278" s="197" t="s">
        <v>589</v>
      </c>
      <c r="L278" s="197" t="s">
        <v>527</v>
      </c>
      <c r="M278" s="197"/>
      <c r="N278" s="104" t="s">
        <v>576</v>
      </c>
      <c r="O278" s="102"/>
      <c r="P278" s="102">
        <v>688</v>
      </c>
      <c r="Q278" s="102">
        <f t="shared" si="35"/>
        <v>688</v>
      </c>
      <c r="R278" s="102"/>
      <c r="S278" s="102" t="s">
        <v>90</v>
      </c>
      <c r="T278" s="102"/>
      <c r="U278" s="102" t="s">
        <v>90</v>
      </c>
      <c r="V278" s="102"/>
      <c r="W278" s="102"/>
      <c r="X278" s="102"/>
      <c r="Y278" s="102"/>
      <c r="Z278" s="102"/>
      <c r="AA278" s="102">
        <v>19</v>
      </c>
      <c r="AB278" s="102"/>
      <c r="AC278" s="242">
        <f t="shared" si="36"/>
        <v>19</v>
      </c>
      <c r="AD278" s="102">
        <v>19</v>
      </c>
      <c r="AE278" s="102"/>
      <c r="AF278" s="102"/>
      <c r="AG278" s="102">
        <f>SUM(AD278:AF278)</f>
        <v>19</v>
      </c>
      <c r="AH278" s="102"/>
      <c r="AI278" s="102">
        <v>19</v>
      </c>
      <c r="AJ278" s="102"/>
      <c r="AK278" s="102"/>
      <c r="AL278" s="102"/>
      <c r="AM278" s="102">
        <f>SUM(AH278:AL278)</f>
        <v>19</v>
      </c>
      <c r="AN278" s="102" t="s">
        <v>93</v>
      </c>
      <c r="AO278" s="102">
        <v>3</v>
      </c>
      <c r="AP278" s="99"/>
    </row>
    <row r="279" spans="1:52" s="105" customFormat="1" ht="28.5" customHeight="1" x14ac:dyDescent="0.25">
      <c r="A279" s="111">
        <v>2308</v>
      </c>
      <c r="B279" s="248" t="s">
        <v>595</v>
      </c>
      <c r="C279" s="241">
        <v>101188000</v>
      </c>
      <c r="D279" s="111"/>
      <c r="E279" s="111"/>
      <c r="F279" s="197"/>
      <c r="G279" s="111"/>
      <c r="H279" s="111" t="s">
        <v>802</v>
      </c>
      <c r="I279" s="253">
        <v>113034061</v>
      </c>
      <c r="J279" s="253">
        <v>106606986</v>
      </c>
      <c r="K279" s="248" t="s">
        <v>593</v>
      </c>
      <c r="L279" s="248" t="s">
        <v>527</v>
      </c>
      <c r="M279" s="248"/>
      <c r="N279" s="114" t="s">
        <v>596</v>
      </c>
      <c r="O279" s="113"/>
      <c r="P279" s="113">
        <v>1761</v>
      </c>
      <c r="Q279" s="113">
        <f t="shared" si="35"/>
        <v>1761</v>
      </c>
      <c r="R279" s="113"/>
      <c r="S279" s="113" t="s">
        <v>90</v>
      </c>
      <c r="T279" s="113"/>
      <c r="U279" s="113" t="s">
        <v>90</v>
      </c>
      <c r="V279" s="113"/>
      <c r="W279" s="113"/>
      <c r="X279" s="113"/>
      <c r="Y279" s="113"/>
      <c r="Z279" s="113"/>
      <c r="AA279" s="113">
        <v>25</v>
      </c>
      <c r="AB279" s="113"/>
      <c r="AC279" s="255">
        <f t="shared" si="36"/>
        <v>25</v>
      </c>
      <c r="AD279" s="113">
        <v>25</v>
      </c>
      <c r="AE279" s="113"/>
      <c r="AF279" s="113"/>
      <c r="AG279" s="113">
        <f>SUM(AD279:AF279)</f>
        <v>25</v>
      </c>
      <c r="AH279" s="113"/>
      <c r="AI279" s="113">
        <v>25</v>
      </c>
      <c r="AJ279" s="113"/>
      <c r="AK279" s="113"/>
      <c r="AL279" s="113"/>
      <c r="AM279" s="113">
        <f>SUM(AH279:AL279)</f>
        <v>25</v>
      </c>
      <c r="AN279" s="113" t="s">
        <v>93</v>
      </c>
      <c r="AO279" s="113">
        <v>3</v>
      </c>
      <c r="AP279" s="111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</row>
    <row r="280" spans="1:52" ht="39" customHeight="1" x14ac:dyDescent="0.25">
      <c r="A280" s="99">
        <v>2308</v>
      </c>
      <c r="B280" s="197" t="s">
        <v>591</v>
      </c>
      <c r="C280" s="240">
        <v>101185000</v>
      </c>
      <c r="D280" s="99">
        <v>221100333016</v>
      </c>
      <c r="E280" s="99"/>
      <c r="F280" s="197" t="str">
        <f>VLOOKUP(D280,'rà soát ĐK'!B273:C723,2,0)</f>
        <v>PB04090029011</v>
      </c>
      <c r="G280" s="99" t="s">
        <v>2681</v>
      </c>
      <c r="H280" s="99" t="s">
        <v>801</v>
      </c>
      <c r="I280" s="239">
        <v>113034667</v>
      </c>
      <c r="J280" s="239">
        <v>1066233392</v>
      </c>
      <c r="K280" s="197" t="s">
        <v>593</v>
      </c>
      <c r="L280" s="197" t="s">
        <v>527</v>
      </c>
      <c r="M280" s="197"/>
      <c r="N280" s="104" t="s">
        <v>594</v>
      </c>
      <c r="O280" s="102"/>
      <c r="P280" s="102">
        <f>2007-P282-P283</f>
        <v>678</v>
      </c>
      <c r="Q280" s="102">
        <f t="shared" si="35"/>
        <v>678</v>
      </c>
      <c r="R280" s="102" t="s">
        <v>90</v>
      </c>
      <c r="S280" s="102"/>
      <c r="T280" s="102"/>
      <c r="U280" s="102" t="s">
        <v>90</v>
      </c>
      <c r="V280" s="102"/>
      <c r="W280" s="102"/>
      <c r="X280" s="102"/>
      <c r="Y280" s="102"/>
      <c r="Z280" s="102"/>
      <c r="AA280" s="102">
        <f>55-AA282-AA283</f>
        <v>19</v>
      </c>
      <c r="AB280" s="102"/>
      <c r="AC280" s="242">
        <f t="shared" si="36"/>
        <v>19</v>
      </c>
      <c r="AD280" s="102">
        <v>37</v>
      </c>
      <c r="AE280" s="102"/>
      <c r="AF280" s="102"/>
      <c r="AG280" s="102">
        <f>SUM(AD280:AF280)</f>
        <v>37</v>
      </c>
      <c r="AH280" s="102"/>
      <c r="AI280" s="102">
        <v>37</v>
      </c>
      <c r="AJ280" s="102"/>
      <c r="AK280" s="102"/>
      <c r="AL280" s="102"/>
      <c r="AM280" s="102">
        <f>SUM(AH280:AL280)</f>
        <v>37</v>
      </c>
      <c r="AN280" s="102" t="s">
        <v>93</v>
      </c>
      <c r="AO280" s="102">
        <v>2</v>
      </c>
      <c r="AP280" s="99"/>
    </row>
    <row r="281" spans="1:52" ht="39" customHeight="1" x14ac:dyDescent="0.25">
      <c r="A281" s="99">
        <v>2309</v>
      </c>
      <c r="B281" s="197"/>
      <c r="C281" s="242"/>
      <c r="D281" s="99"/>
      <c r="E281" s="99"/>
      <c r="F281" s="197"/>
      <c r="G281" s="99"/>
      <c r="H281" s="99"/>
      <c r="I281" s="197"/>
      <c r="J281" s="197"/>
      <c r="K281" s="197" t="s">
        <v>597</v>
      </c>
      <c r="L281" s="197" t="s">
        <v>527</v>
      </c>
      <c r="M281" s="197"/>
      <c r="N281" s="99" t="str">
        <f>1&amp;"-"&amp;AC281</f>
        <v>1-4</v>
      </c>
      <c r="O281" s="102"/>
      <c r="P281" s="102">
        <v>110</v>
      </c>
      <c r="Q281" s="102">
        <f t="shared" si="35"/>
        <v>110</v>
      </c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>
        <v>4</v>
      </c>
      <c r="AB281" s="102"/>
      <c r="AC281" s="242">
        <f t="shared" si="36"/>
        <v>4</v>
      </c>
      <c r="AD281" s="102">
        <v>4</v>
      </c>
      <c r="AE281" s="102"/>
      <c r="AF281" s="102"/>
      <c r="AG281" s="102">
        <v>4</v>
      </c>
      <c r="AH281" s="102"/>
      <c r="AI281" s="102">
        <v>4</v>
      </c>
      <c r="AJ281" s="102"/>
      <c r="AK281" s="102"/>
      <c r="AL281" s="102"/>
      <c r="AM281" s="102">
        <v>4</v>
      </c>
      <c r="AN281" s="102"/>
      <c r="AO281" s="102"/>
      <c r="AP281" s="99"/>
    </row>
    <row r="282" spans="1:52" s="105" customFormat="1" ht="28.5" customHeight="1" x14ac:dyDescent="0.25">
      <c r="A282" s="99">
        <v>2310</v>
      </c>
      <c r="B282" s="197"/>
      <c r="C282" s="242"/>
      <c r="D282" s="99"/>
      <c r="E282" s="99"/>
      <c r="F282" s="197"/>
      <c r="G282" s="99"/>
      <c r="H282" s="99"/>
      <c r="I282" s="197"/>
      <c r="J282" s="197"/>
      <c r="K282" s="197" t="s">
        <v>598</v>
      </c>
      <c r="L282" s="197" t="s">
        <v>527</v>
      </c>
      <c r="M282" s="197"/>
      <c r="N282" s="99" t="str">
        <f>1&amp;"-"&amp;AC282</f>
        <v>1-14</v>
      </c>
      <c r="O282" s="102"/>
      <c r="P282" s="102">
        <f>237+232</f>
        <v>469</v>
      </c>
      <c r="Q282" s="102">
        <f t="shared" si="35"/>
        <v>469</v>
      </c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>
        <v>14</v>
      </c>
      <c r="AB282" s="102"/>
      <c r="AC282" s="242">
        <f t="shared" si="36"/>
        <v>14</v>
      </c>
      <c r="AD282" s="102">
        <v>14</v>
      </c>
      <c r="AE282" s="102"/>
      <c r="AF282" s="102"/>
      <c r="AG282" s="102">
        <v>14</v>
      </c>
      <c r="AH282" s="102"/>
      <c r="AI282" s="102">
        <v>14</v>
      </c>
      <c r="AJ282" s="102"/>
      <c r="AK282" s="102"/>
      <c r="AL282" s="102"/>
      <c r="AM282" s="102">
        <v>14</v>
      </c>
      <c r="AN282" s="102"/>
      <c r="AO282" s="102"/>
      <c r="AP282" s="99"/>
      <c r="AQ282" s="90"/>
      <c r="AR282" s="90"/>
      <c r="AS282" s="90"/>
      <c r="AT282" s="90"/>
      <c r="AU282" s="90"/>
      <c r="AV282" s="90"/>
      <c r="AW282" s="90"/>
      <c r="AX282" s="90"/>
      <c r="AY282" s="90"/>
      <c r="AZ282" s="90"/>
    </row>
    <row r="283" spans="1:52" ht="39" customHeight="1" x14ac:dyDescent="0.25">
      <c r="A283" s="111">
        <v>2311</v>
      </c>
      <c r="B283" s="248" t="s">
        <v>599</v>
      </c>
      <c r="C283" s="241">
        <v>101208000</v>
      </c>
      <c r="D283" s="111"/>
      <c r="E283" s="111"/>
      <c r="F283" s="197"/>
      <c r="G283" s="111"/>
      <c r="H283" s="111" t="s">
        <v>803</v>
      </c>
      <c r="I283" s="253">
        <v>112917846</v>
      </c>
      <c r="J283" s="253">
        <v>1066313945</v>
      </c>
      <c r="K283" s="248" t="s">
        <v>599</v>
      </c>
      <c r="L283" s="248" t="s">
        <v>527</v>
      </c>
      <c r="M283" s="248"/>
      <c r="N283" s="114" t="s">
        <v>537</v>
      </c>
      <c r="O283" s="113"/>
      <c r="P283" s="113">
        <v>860</v>
      </c>
      <c r="Q283" s="113">
        <f t="shared" si="35"/>
        <v>860</v>
      </c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>
        <v>22</v>
      </c>
      <c r="AB283" s="113"/>
      <c r="AC283" s="255">
        <f t="shared" si="36"/>
        <v>22</v>
      </c>
      <c r="AD283" s="113">
        <v>22</v>
      </c>
      <c r="AE283" s="113"/>
      <c r="AF283" s="113"/>
      <c r="AG283" s="113">
        <f>SUM(AD283:AF283)</f>
        <v>22</v>
      </c>
      <c r="AH283" s="113"/>
      <c r="AI283" s="113">
        <v>22</v>
      </c>
      <c r="AJ283" s="113"/>
      <c r="AK283" s="113"/>
      <c r="AL283" s="113"/>
      <c r="AM283" s="113">
        <f>SUM(AH283:AL283)</f>
        <v>22</v>
      </c>
      <c r="AN283" s="113" t="s">
        <v>93</v>
      </c>
      <c r="AO283" s="113">
        <v>3</v>
      </c>
      <c r="AP283" s="111"/>
      <c r="AQ283" s="112"/>
      <c r="AR283" s="112"/>
      <c r="AS283" s="112"/>
      <c r="AT283" s="112"/>
      <c r="AU283" s="112"/>
      <c r="AV283" s="112"/>
      <c r="AW283" s="112"/>
      <c r="AX283" s="112"/>
      <c r="AY283" s="112"/>
      <c r="AZ283" s="112"/>
    </row>
    <row r="284" spans="1:52" ht="39" customHeight="1" x14ac:dyDescent="0.25">
      <c r="A284" s="99">
        <v>2312</v>
      </c>
      <c r="B284" s="197" t="s">
        <v>600</v>
      </c>
      <c r="C284" s="240">
        <v>101170000</v>
      </c>
      <c r="D284" s="99">
        <v>21007399</v>
      </c>
      <c r="E284" s="99"/>
      <c r="F284" s="197" t="str">
        <f>VLOOKUP(D284,'rà soát ĐK'!B277:C727,2,0)</f>
        <v>PB04090024873</v>
      </c>
      <c r="G284" s="99" t="s">
        <v>2725</v>
      </c>
      <c r="H284" s="99" t="s">
        <v>804</v>
      </c>
      <c r="I284" s="239">
        <v>113106883</v>
      </c>
      <c r="J284" s="239">
        <v>1066345621</v>
      </c>
      <c r="K284" s="197" t="s">
        <v>602</v>
      </c>
      <c r="L284" s="197" t="s">
        <v>527</v>
      </c>
      <c r="M284" s="197"/>
      <c r="N284" s="104" t="s">
        <v>603</v>
      </c>
      <c r="O284" s="102"/>
      <c r="P284" s="102">
        <v>751</v>
      </c>
      <c r="Q284" s="102">
        <f t="shared" si="35"/>
        <v>751</v>
      </c>
      <c r="R284" s="102"/>
      <c r="S284" s="102" t="s">
        <v>90</v>
      </c>
      <c r="T284" s="102"/>
      <c r="U284" s="102" t="s">
        <v>90</v>
      </c>
      <c r="V284" s="102"/>
      <c r="W284" s="102"/>
      <c r="X284" s="102"/>
      <c r="Y284" s="102"/>
      <c r="Z284" s="102">
        <v>7</v>
      </c>
      <c r="AA284" s="102"/>
      <c r="AB284" s="102"/>
      <c r="AC284" s="242">
        <f t="shared" si="36"/>
        <v>7</v>
      </c>
      <c r="AD284" s="102">
        <v>7</v>
      </c>
      <c r="AE284" s="102"/>
      <c r="AF284" s="102"/>
      <c r="AG284" s="102">
        <f>SUM(AD284:AF284)</f>
        <v>7</v>
      </c>
      <c r="AH284" s="102"/>
      <c r="AI284" s="102">
        <v>7</v>
      </c>
      <c r="AJ284" s="102"/>
      <c r="AK284" s="102"/>
      <c r="AL284" s="102"/>
      <c r="AM284" s="102">
        <f>SUM(AH284:AL284)</f>
        <v>7</v>
      </c>
      <c r="AN284" s="102" t="s">
        <v>93</v>
      </c>
      <c r="AO284" s="102">
        <v>3</v>
      </c>
      <c r="AP284" s="99"/>
    </row>
    <row r="285" spans="1:52" ht="39" customHeight="1" x14ac:dyDescent="0.25">
      <c r="A285" s="99">
        <v>2312</v>
      </c>
      <c r="B285" s="197" t="s">
        <v>604</v>
      </c>
      <c r="C285" s="240">
        <v>101173000</v>
      </c>
      <c r="D285" s="99">
        <v>21031972</v>
      </c>
      <c r="E285" s="99"/>
      <c r="F285" s="197" t="str">
        <f>VLOOKUP(D285,'rà soát ĐK'!B278:C728,2,0)</f>
        <v>PB04090027228</v>
      </c>
      <c r="G285" s="99" t="s">
        <v>2648</v>
      </c>
      <c r="H285" s="99" t="s">
        <v>805</v>
      </c>
      <c r="I285" s="239">
        <v>113126062</v>
      </c>
      <c r="J285" s="239">
        <v>1066391656</v>
      </c>
      <c r="K285" s="197" t="s">
        <v>602</v>
      </c>
      <c r="L285" s="197" t="s">
        <v>527</v>
      </c>
      <c r="M285" s="197"/>
      <c r="N285" s="104" t="s">
        <v>606</v>
      </c>
      <c r="O285" s="102"/>
      <c r="P285" s="102">
        <v>932</v>
      </c>
      <c r="Q285" s="102">
        <f t="shared" si="35"/>
        <v>932</v>
      </c>
      <c r="R285" s="102"/>
      <c r="S285" s="102" t="s">
        <v>90</v>
      </c>
      <c r="T285" s="102"/>
      <c r="U285" s="102" t="s">
        <v>90</v>
      </c>
      <c r="V285" s="102"/>
      <c r="W285" s="102"/>
      <c r="X285" s="102"/>
      <c r="Y285" s="102"/>
      <c r="Z285" s="102"/>
      <c r="AA285" s="102">
        <v>17</v>
      </c>
      <c r="AB285" s="102"/>
      <c r="AC285" s="242">
        <f t="shared" si="36"/>
        <v>17</v>
      </c>
      <c r="AD285" s="102">
        <v>17</v>
      </c>
      <c r="AE285" s="102"/>
      <c r="AF285" s="102"/>
      <c r="AG285" s="102">
        <f>SUM(AD285:AF285)</f>
        <v>17</v>
      </c>
      <c r="AH285" s="102"/>
      <c r="AI285" s="102">
        <v>17</v>
      </c>
      <c r="AJ285" s="102"/>
      <c r="AK285" s="102"/>
      <c r="AL285" s="102"/>
      <c r="AM285" s="102">
        <f>SUM(AH285:AL285)</f>
        <v>17</v>
      </c>
      <c r="AN285" s="102" t="s">
        <v>93</v>
      </c>
      <c r="AO285" s="102">
        <v>3</v>
      </c>
      <c r="AP285" s="99"/>
    </row>
    <row r="286" spans="1:52" ht="39" customHeight="1" x14ac:dyDescent="0.25">
      <c r="A286" s="99">
        <v>2312</v>
      </c>
      <c r="B286" s="197" t="s">
        <v>607</v>
      </c>
      <c r="C286" s="240">
        <v>101176000</v>
      </c>
      <c r="D286" s="99">
        <v>22425293</v>
      </c>
      <c r="E286" s="99"/>
      <c r="F286" s="197" t="str">
        <f>VLOOKUP(D286,'rà soát ĐK'!B279:C729,2,0)</f>
        <v>PB04090024996</v>
      </c>
      <c r="G286" s="99" t="s">
        <v>2485</v>
      </c>
      <c r="H286" s="99" t="s">
        <v>806</v>
      </c>
      <c r="I286" s="239">
        <v>113059021</v>
      </c>
      <c r="J286" s="239">
        <v>1066480739</v>
      </c>
      <c r="K286" s="197" t="s">
        <v>602</v>
      </c>
      <c r="L286" s="197" t="s">
        <v>527</v>
      </c>
      <c r="M286" s="197"/>
      <c r="N286" s="104" t="s">
        <v>580</v>
      </c>
      <c r="O286" s="102"/>
      <c r="P286" s="102">
        <v>904</v>
      </c>
      <c r="Q286" s="102">
        <f t="shared" si="35"/>
        <v>904</v>
      </c>
      <c r="R286" s="102"/>
      <c r="S286" s="102" t="s">
        <v>90</v>
      </c>
      <c r="T286" s="102"/>
      <c r="U286" s="102" t="s">
        <v>90</v>
      </c>
      <c r="V286" s="102"/>
      <c r="W286" s="102"/>
      <c r="X286" s="102"/>
      <c r="Y286" s="102"/>
      <c r="Z286" s="102">
        <v>7</v>
      </c>
      <c r="AA286" s="102">
        <v>13</v>
      </c>
      <c r="AB286" s="102"/>
      <c r="AC286" s="242">
        <f t="shared" si="36"/>
        <v>20</v>
      </c>
      <c r="AD286" s="102">
        <v>20</v>
      </c>
      <c r="AE286" s="102"/>
      <c r="AF286" s="102"/>
      <c r="AG286" s="102">
        <f>SUM(AD286:AF286)</f>
        <v>20</v>
      </c>
      <c r="AH286" s="102"/>
      <c r="AI286" s="102">
        <v>20</v>
      </c>
      <c r="AJ286" s="102"/>
      <c r="AK286" s="102"/>
      <c r="AL286" s="102"/>
      <c r="AM286" s="102">
        <f>SUM(AH286:AL286)</f>
        <v>20</v>
      </c>
      <c r="AN286" s="102" t="s">
        <v>93</v>
      </c>
      <c r="AO286" s="102">
        <v>3</v>
      </c>
      <c r="AP286" s="99"/>
    </row>
    <row r="287" spans="1:52" ht="39" customHeight="1" x14ac:dyDescent="0.25">
      <c r="A287" s="99">
        <v>2313</v>
      </c>
      <c r="B287" s="197" t="s">
        <v>609</v>
      </c>
      <c r="C287" s="240">
        <v>101179000</v>
      </c>
      <c r="D287" s="99">
        <v>17115871</v>
      </c>
      <c r="E287" s="99"/>
      <c r="F287" s="197" t="str">
        <f>VLOOKUP(D287,'rà soát ĐK'!B280:C730,2,0)</f>
        <v>PB04090034563</v>
      </c>
      <c r="G287" s="99" t="s">
        <v>2503</v>
      </c>
      <c r="H287" s="99" t="s">
        <v>807</v>
      </c>
      <c r="I287" s="239">
        <v>113074862</v>
      </c>
      <c r="J287" s="239">
        <v>1066501311</v>
      </c>
      <c r="K287" s="197" t="s">
        <v>609</v>
      </c>
      <c r="L287" s="197" t="s">
        <v>527</v>
      </c>
      <c r="M287" s="197"/>
      <c r="N287" s="104" t="s">
        <v>548</v>
      </c>
      <c r="O287" s="102"/>
      <c r="P287" s="102">
        <v>145</v>
      </c>
      <c r="Q287" s="102">
        <f t="shared" si="35"/>
        <v>145</v>
      </c>
      <c r="R287" s="102" t="s">
        <v>90</v>
      </c>
      <c r="S287" s="102"/>
      <c r="T287" s="102"/>
      <c r="U287" s="102" t="s">
        <v>90</v>
      </c>
      <c r="V287" s="102"/>
      <c r="W287" s="102"/>
      <c r="X287" s="102"/>
      <c r="Y287" s="102"/>
      <c r="Z287" s="102"/>
      <c r="AA287" s="102">
        <v>6</v>
      </c>
      <c r="AB287" s="102"/>
      <c r="AC287" s="242">
        <f t="shared" si="36"/>
        <v>6</v>
      </c>
      <c r="AD287" s="102">
        <v>6</v>
      </c>
      <c r="AE287" s="102"/>
      <c r="AF287" s="102"/>
      <c r="AG287" s="102">
        <f>SUM(AD287:AF287)</f>
        <v>6</v>
      </c>
      <c r="AH287" s="102"/>
      <c r="AI287" s="102">
        <v>6</v>
      </c>
      <c r="AJ287" s="102"/>
      <c r="AK287" s="102"/>
      <c r="AL287" s="102"/>
      <c r="AM287" s="102">
        <f>SUM(AH287:AL287)</f>
        <v>6</v>
      </c>
      <c r="AN287" s="102" t="s">
        <v>93</v>
      </c>
      <c r="AO287" s="102">
        <v>3</v>
      </c>
      <c r="AP287" s="99"/>
    </row>
    <row r="288" spans="1:52" ht="39" customHeight="1" x14ac:dyDescent="0.25">
      <c r="A288" s="99">
        <v>2314</v>
      </c>
      <c r="B288" s="197"/>
      <c r="C288" s="242"/>
      <c r="D288" s="99"/>
      <c r="E288" s="99"/>
      <c r="F288" s="197"/>
      <c r="G288" s="99"/>
      <c r="H288" s="99"/>
      <c r="I288" s="197"/>
      <c r="J288" s="197"/>
      <c r="K288" s="197" t="s">
        <v>611</v>
      </c>
      <c r="L288" s="197" t="s">
        <v>527</v>
      </c>
      <c r="M288" s="197"/>
      <c r="N288" s="104" t="s">
        <v>588</v>
      </c>
      <c r="O288" s="102"/>
      <c r="P288" s="102">
        <v>209</v>
      </c>
      <c r="Q288" s="102">
        <f t="shared" si="35"/>
        <v>209</v>
      </c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>
        <v>17</v>
      </c>
      <c r="AB288" s="102"/>
      <c r="AC288" s="242">
        <f t="shared" si="36"/>
        <v>17</v>
      </c>
      <c r="AD288" s="102">
        <v>17</v>
      </c>
      <c r="AE288" s="102"/>
      <c r="AF288" s="102"/>
      <c r="AG288" s="102"/>
      <c r="AH288" s="102"/>
      <c r="AI288" s="102">
        <v>17</v>
      </c>
      <c r="AJ288" s="102"/>
      <c r="AK288" s="102"/>
      <c r="AL288" s="102"/>
      <c r="AM288" s="102">
        <v>17</v>
      </c>
      <c r="AN288" s="102"/>
      <c r="AO288" s="102"/>
      <c r="AP288" s="99"/>
    </row>
    <row r="289" spans="1:42" ht="39" customHeight="1" x14ac:dyDescent="0.25">
      <c r="A289" s="99">
        <v>2315</v>
      </c>
      <c r="B289" s="197" t="s">
        <v>612</v>
      </c>
      <c r="C289" s="240">
        <v>101246000</v>
      </c>
      <c r="D289" s="99">
        <v>1611389552</v>
      </c>
      <c r="E289" s="99"/>
      <c r="F289" s="197" t="str">
        <f>VLOOKUP(D289,'rà soát ĐK'!B282:C732,2,0)</f>
        <v>PB04090024995</v>
      </c>
      <c r="G289" s="120" t="s">
        <v>2687</v>
      </c>
      <c r="H289" s="99" t="s">
        <v>808</v>
      </c>
      <c r="I289" s="239">
        <v>11307716</v>
      </c>
      <c r="J289" s="239">
        <v>1066321799</v>
      </c>
      <c r="K289" s="197" t="s">
        <v>614</v>
      </c>
      <c r="L289" s="197" t="s">
        <v>527</v>
      </c>
      <c r="M289" s="197"/>
      <c r="N289" s="106">
        <v>46357</v>
      </c>
      <c r="O289" s="102"/>
      <c r="P289" s="102">
        <v>840</v>
      </c>
      <c r="Q289" s="102">
        <f t="shared" si="35"/>
        <v>840</v>
      </c>
      <c r="R289" s="102" t="s">
        <v>91</v>
      </c>
      <c r="S289" s="102" t="s">
        <v>90</v>
      </c>
      <c r="T289" s="102"/>
      <c r="U289" s="102" t="s">
        <v>90</v>
      </c>
      <c r="V289" s="102" t="s">
        <v>111</v>
      </c>
      <c r="W289" s="102"/>
      <c r="X289" s="102"/>
      <c r="Y289" s="102"/>
      <c r="Z289" s="102">
        <v>12</v>
      </c>
      <c r="AA289" s="102"/>
      <c r="AB289" s="102"/>
      <c r="AC289" s="242">
        <f t="shared" si="36"/>
        <v>12</v>
      </c>
      <c r="AD289" s="102">
        <v>12</v>
      </c>
      <c r="AE289" s="102"/>
      <c r="AF289" s="102"/>
      <c r="AG289" s="102">
        <f t="shared" ref="AG289:AG320" si="39">SUM(AD289:AF289)</f>
        <v>12</v>
      </c>
      <c r="AH289" s="102">
        <v>12</v>
      </c>
      <c r="AI289" s="102"/>
      <c r="AJ289" s="102"/>
      <c r="AK289" s="102"/>
      <c r="AL289" s="102"/>
      <c r="AM289" s="102">
        <f t="shared" ref="AM289:AM307" si="40">SUM(AH289:AL289)</f>
        <v>12</v>
      </c>
      <c r="AN289" s="102"/>
      <c r="AO289" s="102"/>
      <c r="AP289" s="99"/>
    </row>
    <row r="290" spans="1:42" ht="39" customHeight="1" x14ac:dyDescent="0.25">
      <c r="A290" s="99">
        <v>2315</v>
      </c>
      <c r="B290" s="197" t="s">
        <v>615</v>
      </c>
      <c r="C290" s="240">
        <v>101247000</v>
      </c>
      <c r="D290" s="99">
        <v>22425288</v>
      </c>
      <c r="E290" s="99"/>
      <c r="F290" s="197" t="str">
        <f>VLOOKUP(D290,'rà soát ĐK'!B283:C733,2,0)</f>
        <v>PB04090024993</v>
      </c>
      <c r="G290" s="120" t="s">
        <v>2481</v>
      </c>
      <c r="H290" s="99" t="s">
        <v>809</v>
      </c>
      <c r="I290" s="239">
        <v>113044544</v>
      </c>
      <c r="J290" s="239">
        <v>1066463031</v>
      </c>
      <c r="K290" s="197" t="s">
        <v>614</v>
      </c>
      <c r="L290" s="197" t="s">
        <v>527</v>
      </c>
      <c r="M290" s="197"/>
      <c r="N290" s="106">
        <v>46357</v>
      </c>
      <c r="O290" s="102"/>
      <c r="P290" s="102">
        <v>1025</v>
      </c>
      <c r="Q290" s="102">
        <f t="shared" si="35"/>
        <v>1025</v>
      </c>
      <c r="R290" s="102" t="s">
        <v>91</v>
      </c>
      <c r="S290" s="102" t="s">
        <v>90</v>
      </c>
      <c r="T290" s="102"/>
      <c r="U290" s="102" t="s">
        <v>90</v>
      </c>
      <c r="V290" s="102" t="s">
        <v>111</v>
      </c>
      <c r="W290" s="102"/>
      <c r="X290" s="102"/>
      <c r="Y290" s="102"/>
      <c r="Z290" s="102">
        <v>12</v>
      </c>
      <c r="AA290" s="102"/>
      <c r="AB290" s="102"/>
      <c r="AC290" s="242">
        <f t="shared" si="36"/>
        <v>12</v>
      </c>
      <c r="AD290" s="102">
        <v>12</v>
      </c>
      <c r="AE290" s="102"/>
      <c r="AF290" s="102"/>
      <c r="AG290" s="102">
        <f t="shared" si="39"/>
        <v>12</v>
      </c>
      <c r="AH290" s="102">
        <v>12</v>
      </c>
      <c r="AI290" s="102"/>
      <c r="AJ290" s="102"/>
      <c r="AK290" s="102"/>
      <c r="AL290" s="102"/>
      <c r="AM290" s="102">
        <f t="shared" si="40"/>
        <v>12</v>
      </c>
      <c r="AN290" s="102" t="s">
        <v>185</v>
      </c>
      <c r="AO290" s="102">
        <v>3</v>
      </c>
      <c r="AP290" s="99"/>
    </row>
    <row r="291" spans="1:42" ht="39" customHeight="1" x14ac:dyDescent="0.25">
      <c r="A291" s="99">
        <v>2316</v>
      </c>
      <c r="B291" s="197" t="s">
        <v>617</v>
      </c>
      <c r="C291" s="240">
        <v>101245000</v>
      </c>
      <c r="D291" s="99">
        <v>1611082599</v>
      </c>
      <c r="E291" s="99"/>
      <c r="F291" s="197" t="str">
        <f>VLOOKUP(D291,'rà soát ĐK'!B284:C734,2,0)</f>
        <v>PB04090029020</v>
      </c>
      <c r="G291" s="99" t="s">
        <v>2692</v>
      </c>
      <c r="H291" s="99" t="s">
        <v>810</v>
      </c>
      <c r="I291" s="239">
        <v>11305245</v>
      </c>
      <c r="J291" s="239">
        <v>106631545</v>
      </c>
      <c r="K291" s="197" t="s">
        <v>617</v>
      </c>
      <c r="L291" s="197" t="s">
        <v>527</v>
      </c>
      <c r="M291" s="197"/>
      <c r="N291" s="106">
        <v>46204</v>
      </c>
      <c r="O291" s="102"/>
      <c r="P291" s="102">
        <v>230</v>
      </c>
      <c r="Q291" s="102">
        <f t="shared" si="35"/>
        <v>230</v>
      </c>
      <c r="R291" s="102" t="s">
        <v>91</v>
      </c>
      <c r="S291" s="102" t="s">
        <v>90</v>
      </c>
      <c r="T291" s="102"/>
      <c r="U291" s="102" t="s">
        <v>90</v>
      </c>
      <c r="V291" s="102" t="s">
        <v>111</v>
      </c>
      <c r="W291" s="102"/>
      <c r="X291" s="102"/>
      <c r="Y291" s="102"/>
      <c r="Z291" s="102"/>
      <c r="AA291" s="102">
        <v>7</v>
      </c>
      <c r="AB291" s="102"/>
      <c r="AC291" s="242">
        <f t="shared" si="36"/>
        <v>7</v>
      </c>
      <c r="AD291" s="102">
        <v>7</v>
      </c>
      <c r="AE291" s="102"/>
      <c r="AF291" s="102"/>
      <c r="AG291" s="102">
        <f t="shared" si="39"/>
        <v>7</v>
      </c>
      <c r="AH291" s="102"/>
      <c r="AI291" s="102">
        <v>7</v>
      </c>
      <c r="AJ291" s="102"/>
      <c r="AK291" s="102"/>
      <c r="AL291" s="102"/>
      <c r="AM291" s="102">
        <f t="shared" si="40"/>
        <v>7</v>
      </c>
      <c r="AN291" s="102" t="s">
        <v>185</v>
      </c>
      <c r="AO291" s="102">
        <v>3</v>
      </c>
      <c r="AP291" s="99"/>
    </row>
    <row r="292" spans="1:42" ht="39" customHeight="1" x14ac:dyDescent="0.25">
      <c r="A292" s="99">
        <v>2317</v>
      </c>
      <c r="B292" s="197" t="s">
        <v>619</v>
      </c>
      <c r="C292" s="240">
        <v>101244000</v>
      </c>
      <c r="D292" s="99">
        <v>1611164938</v>
      </c>
      <c r="E292" s="99"/>
      <c r="F292" s="197" t="str">
        <f>VLOOKUP(D292,'rà soát ĐK'!B285:C735,2,0)</f>
        <v>PB04090027235</v>
      </c>
      <c r="G292" s="99" t="s">
        <v>2689</v>
      </c>
      <c r="H292" s="99" t="s">
        <v>811</v>
      </c>
      <c r="I292" s="239">
        <v>1130323</v>
      </c>
      <c r="J292" s="239">
        <v>1066323428</v>
      </c>
      <c r="K292" s="197" t="s">
        <v>619</v>
      </c>
      <c r="L292" s="197" t="s">
        <v>527</v>
      </c>
      <c r="M292" s="197"/>
      <c r="N292" s="102" t="s">
        <v>606</v>
      </c>
      <c r="O292" s="102"/>
      <c r="P292" s="102">
        <v>660</v>
      </c>
      <c r="Q292" s="102">
        <f t="shared" si="35"/>
        <v>660</v>
      </c>
      <c r="R292" s="102" t="s">
        <v>91</v>
      </c>
      <c r="S292" s="102" t="s">
        <v>90</v>
      </c>
      <c r="T292" s="102"/>
      <c r="U292" s="102" t="s">
        <v>90</v>
      </c>
      <c r="V292" s="102" t="s">
        <v>111</v>
      </c>
      <c r="W292" s="102"/>
      <c r="X292" s="102"/>
      <c r="Y292" s="102"/>
      <c r="Z292" s="102"/>
      <c r="AA292" s="102">
        <v>17</v>
      </c>
      <c r="AB292" s="102"/>
      <c r="AC292" s="242">
        <f t="shared" si="36"/>
        <v>17</v>
      </c>
      <c r="AD292" s="102">
        <v>17</v>
      </c>
      <c r="AE292" s="102"/>
      <c r="AF292" s="102"/>
      <c r="AG292" s="102">
        <f t="shared" si="39"/>
        <v>17</v>
      </c>
      <c r="AH292" s="102"/>
      <c r="AI292" s="102">
        <v>17</v>
      </c>
      <c r="AJ292" s="102"/>
      <c r="AK292" s="102"/>
      <c r="AL292" s="102"/>
      <c r="AM292" s="102">
        <f t="shared" si="40"/>
        <v>17</v>
      </c>
      <c r="AN292" s="102" t="s">
        <v>185</v>
      </c>
      <c r="AO292" s="102">
        <v>3</v>
      </c>
      <c r="AP292" s="99"/>
    </row>
    <row r="293" spans="1:42" ht="39" customHeight="1" x14ac:dyDescent="0.25">
      <c r="A293" s="99">
        <v>2318</v>
      </c>
      <c r="B293" s="197" t="s">
        <v>621</v>
      </c>
      <c r="C293" s="240">
        <v>101243000</v>
      </c>
      <c r="D293" s="99">
        <v>1611082543</v>
      </c>
      <c r="E293" s="99"/>
      <c r="F293" s="197" t="str">
        <f>VLOOKUP(D293,'rà soát ĐK'!B286:C736,2,0)</f>
        <v>PB04090029021</v>
      </c>
      <c r="G293" s="99" t="s">
        <v>2455</v>
      </c>
      <c r="H293" s="99" t="s">
        <v>812</v>
      </c>
      <c r="I293" s="239">
        <v>113024229</v>
      </c>
      <c r="J293" s="239">
        <v>1066316658</v>
      </c>
      <c r="K293" s="197" t="s">
        <v>621</v>
      </c>
      <c r="L293" s="197" t="s">
        <v>527</v>
      </c>
      <c r="M293" s="197">
        <v>191</v>
      </c>
      <c r="N293" s="106">
        <v>46235</v>
      </c>
      <c r="O293" s="102"/>
      <c r="P293" s="102">
        <v>268</v>
      </c>
      <c r="Q293" s="102">
        <f t="shared" si="35"/>
        <v>268</v>
      </c>
      <c r="R293" s="102" t="s">
        <v>90</v>
      </c>
      <c r="S293" s="102" t="s">
        <v>91</v>
      </c>
      <c r="T293" s="102"/>
      <c r="U293" s="102" t="s">
        <v>90</v>
      </c>
      <c r="V293" s="102" t="s">
        <v>111</v>
      </c>
      <c r="W293" s="102"/>
      <c r="X293" s="102"/>
      <c r="Y293" s="102"/>
      <c r="Z293" s="102"/>
      <c r="AA293" s="102">
        <v>8</v>
      </c>
      <c r="AB293" s="102"/>
      <c r="AC293" s="242">
        <f t="shared" si="36"/>
        <v>8</v>
      </c>
      <c r="AD293" s="102">
        <v>8</v>
      </c>
      <c r="AE293" s="102"/>
      <c r="AF293" s="102"/>
      <c r="AG293" s="102">
        <f t="shared" si="39"/>
        <v>8</v>
      </c>
      <c r="AH293" s="102"/>
      <c r="AI293" s="102">
        <v>8</v>
      </c>
      <c r="AJ293" s="102"/>
      <c r="AK293" s="102"/>
      <c r="AL293" s="102"/>
      <c r="AM293" s="102">
        <f t="shared" si="40"/>
        <v>8</v>
      </c>
      <c r="AN293" s="102" t="s">
        <v>185</v>
      </c>
      <c r="AO293" s="102">
        <v>3</v>
      </c>
      <c r="AP293" s="99"/>
    </row>
    <row r="294" spans="1:42" ht="39" customHeight="1" x14ac:dyDescent="0.25">
      <c r="A294" s="99">
        <v>2319</v>
      </c>
      <c r="B294" s="197" t="s">
        <v>623</v>
      </c>
      <c r="C294" s="240">
        <v>101242000</v>
      </c>
      <c r="D294" s="99">
        <v>221100332355</v>
      </c>
      <c r="E294" s="99"/>
      <c r="F294" s="197" t="str">
        <f>VLOOKUP(D294,'rà soát ĐK'!B287:C737,2,0)</f>
        <v>PB04090027232</v>
      </c>
      <c r="G294" s="99" t="s">
        <v>2452</v>
      </c>
      <c r="H294" s="99" t="s">
        <v>813</v>
      </c>
      <c r="I294" s="239">
        <v>112902517</v>
      </c>
      <c r="J294" s="239">
        <v>1066330117</v>
      </c>
      <c r="K294" s="197" t="s">
        <v>623</v>
      </c>
      <c r="L294" s="197" t="s">
        <v>527</v>
      </c>
      <c r="M294" s="197"/>
      <c r="N294" s="106">
        <v>46296</v>
      </c>
      <c r="O294" s="102"/>
      <c r="P294" s="102">
        <v>384</v>
      </c>
      <c r="Q294" s="102">
        <f t="shared" si="35"/>
        <v>384</v>
      </c>
      <c r="R294" s="102" t="s">
        <v>91</v>
      </c>
      <c r="S294" s="102" t="s">
        <v>90</v>
      </c>
      <c r="T294" s="102"/>
      <c r="U294" s="102" t="s">
        <v>90</v>
      </c>
      <c r="V294" s="102" t="s">
        <v>111</v>
      </c>
      <c r="W294" s="102"/>
      <c r="X294" s="102"/>
      <c r="Y294" s="102"/>
      <c r="Z294" s="102"/>
      <c r="AA294" s="102">
        <v>10</v>
      </c>
      <c r="AB294" s="102"/>
      <c r="AC294" s="242">
        <f t="shared" si="36"/>
        <v>10</v>
      </c>
      <c r="AD294" s="102">
        <v>10</v>
      </c>
      <c r="AE294" s="102"/>
      <c r="AF294" s="102"/>
      <c r="AG294" s="102">
        <f t="shared" si="39"/>
        <v>10</v>
      </c>
      <c r="AH294" s="102"/>
      <c r="AI294" s="102">
        <v>10</v>
      </c>
      <c r="AJ294" s="102"/>
      <c r="AK294" s="102"/>
      <c r="AL294" s="102"/>
      <c r="AM294" s="102">
        <f t="shared" si="40"/>
        <v>10</v>
      </c>
      <c r="AN294" s="102" t="s">
        <v>185</v>
      </c>
      <c r="AO294" s="102">
        <v>3</v>
      </c>
      <c r="AP294" s="99"/>
    </row>
    <row r="295" spans="1:42" ht="39" customHeight="1" x14ac:dyDescent="0.25">
      <c r="A295" s="99">
        <v>2320</v>
      </c>
      <c r="B295" s="197" t="s">
        <v>625</v>
      </c>
      <c r="C295" s="240">
        <v>101241000</v>
      </c>
      <c r="D295" s="99">
        <v>1611266216</v>
      </c>
      <c r="E295" s="99"/>
      <c r="F295" s="197" t="str">
        <f>VLOOKUP(D295,'rà soát ĐK'!B288:C738,2,0)</f>
        <v>PB04090027230</v>
      </c>
      <c r="G295" s="99" t="s">
        <v>2449</v>
      </c>
      <c r="H295" s="99" t="s">
        <v>814</v>
      </c>
      <c r="I295" s="239">
        <v>112940354</v>
      </c>
      <c r="J295" s="239">
        <v>106632552</v>
      </c>
      <c r="K295" s="197" t="s">
        <v>627</v>
      </c>
      <c r="L295" s="197" t="s">
        <v>527</v>
      </c>
      <c r="M295" s="197"/>
      <c r="N295" s="102" t="s">
        <v>534</v>
      </c>
      <c r="O295" s="102"/>
      <c r="P295" s="102">
        <v>743</v>
      </c>
      <c r="Q295" s="102">
        <f t="shared" si="35"/>
        <v>743</v>
      </c>
      <c r="R295" s="102" t="s">
        <v>91</v>
      </c>
      <c r="S295" s="102" t="s">
        <v>90</v>
      </c>
      <c r="T295" s="102"/>
      <c r="U295" s="102" t="s">
        <v>90</v>
      </c>
      <c r="V295" s="102" t="s">
        <v>111</v>
      </c>
      <c r="W295" s="102"/>
      <c r="X295" s="102"/>
      <c r="Y295" s="102"/>
      <c r="Z295" s="102"/>
      <c r="AA295" s="102">
        <v>21</v>
      </c>
      <c r="AB295" s="102"/>
      <c r="AC295" s="242">
        <f t="shared" si="36"/>
        <v>21</v>
      </c>
      <c r="AD295" s="102">
        <v>21</v>
      </c>
      <c r="AE295" s="102"/>
      <c r="AF295" s="102"/>
      <c r="AG295" s="102">
        <f t="shared" si="39"/>
        <v>21</v>
      </c>
      <c r="AH295" s="102"/>
      <c r="AI295" s="102">
        <v>21</v>
      </c>
      <c r="AJ295" s="102"/>
      <c r="AK295" s="102"/>
      <c r="AL295" s="102"/>
      <c r="AM295" s="102">
        <f t="shared" si="40"/>
        <v>21</v>
      </c>
      <c r="AN295" s="102" t="s">
        <v>185</v>
      </c>
      <c r="AO295" s="102">
        <v>3</v>
      </c>
      <c r="AP295" s="99"/>
    </row>
    <row r="296" spans="1:42" ht="39" customHeight="1" x14ac:dyDescent="0.25">
      <c r="A296" s="99">
        <v>2320</v>
      </c>
      <c r="B296" s="197" t="s">
        <v>628</v>
      </c>
      <c r="C296" s="240">
        <v>101240000</v>
      </c>
      <c r="D296" s="99">
        <v>22408358</v>
      </c>
      <c r="E296" s="99"/>
      <c r="F296" s="197" t="str">
        <f>VLOOKUP(D296,'rà soát ĐK'!B289:C739,2,0)</f>
        <v>PB04090027231</v>
      </c>
      <c r="G296" s="99" t="s">
        <v>2403</v>
      </c>
      <c r="H296" s="99" t="s">
        <v>815</v>
      </c>
      <c r="I296" s="239">
        <v>112938119</v>
      </c>
      <c r="J296" s="239">
        <v>1066364604</v>
      </c>
      <c r="K296" s="197" t="s">
        <v>627</v>
      </c>
      <c r="L296" s="197" t="s">
        <v>527</v>
      </c>
      <c r="M296" s="197"/>
      <c r="N296" s="106">
        <v>46357</v>
      </c>
      <c r="O296" s="102"/>
      <c r="P296" s="102">
        <v>726</v>
      </c>
      <c r="Q296" s="102">
        <f t="shared" si="35"/>
        <v>726</v>
      </c>
      <c r="R296" s="102" t="s">
        <v>91</v>
      </c>
      <c r="S296" s="102" t="s">
        <v>90</v>
      </c>
      <c r="T296" s="102"/>
      <c r="U296" s="102" t="s">
        <v>90</v>
      </c>
      <c r="V296" s="102" t="s">
        <v>111</v>
      </c>
      <c r="W296" s="102"/>
      <c r="X296" s="102"/>
      <c r="Y296" s="102"/>
      <c r="Z296" s="102"/>
      <c r="AA296" s="102">
        <v>12</v>
      </c>
      <c r="AB296" s="102"/>
      <c r="AC296" s="242">
        <f t="shared" si="36"/>
        <v>12</v>
      </c>
      <c r="AD296" s="102">
        <v>12</v>
      </c>
      <c r="AE296" s="102"/>
      <c r="AF296" s="102"/>
      <c r="AG296" s="102">
        <f t="shared" si="39"/>
        <v>12</v>
      </c>
      <c r="AH296" s="102"/>
      <c r="AI296" s="102">
        <v>12</v>
      </c>
      <c r="AJ296" s="102"/>
      <c r="AK296" s="102"/>
      <c r="AL296" s="102"/>
      <c r="AM296" s="102">
        <f t="shared" si="40"/>
        <v>12</v>
      </c>
      <c r="AN296" s="102" t="s">
        <v>185</v>
      </c>
      <c r="AO296" s="102">
        <v>3</v>
      </c>
      <c r="AP296" s="99"/>
    </row>
    <row r="297" spans="1:42" ht="39" customHeight="1" x14ac:dyDescent="0.25">
      <c r="A297" s="99">
        <v>2321</v>
      </c>
      <c r="B297" s="197" t="s">
        <v>630</v>
      </c>
      <c r="C297" s="240">
        <v>101249000</v>
      </c>
      <c r="D297" s="99">
        <v>22434768</v>
      </c>
      <c r="E297" s="99"/>
      <c r="F297" s="197" t="str">
        <f>VLOOKUP(D297,'rà soát ĐK'!B290:C740,2,0)</f>
        <v>PB04090032530</v>
      </c>
      <c r="G297" s="99" t="s">
        <v>2578</v>
      </c>
      <c r="H297" s="99" t="s">
        <v>816</v>
      </c>
      <c r="I297" s="239">
        <v>113156868</v>
      </c>
      <c r="J297" s="239">
        <v>1066638202</v>
      </c>
      <c r="K297" s="197" t="s">
        <v>630</v>
      </c>
      <c r="L297" s="197" t="s">
        <v>527</v>
      </c>
      <c r="M297" s="197"/>
      <c r="N297" s="104" t="s">
        <v>632</v>
      </c>
      <c r="O297" s="102"/>
      <c r="P297" s="102">
        <v>831</v>
      </c>
      <c r="Q297" s="102">
        <f t="shared" ref="Q297:Q328" si="41">SUM(O297:P297)</f>
        <v>831</v>
      </c>
      <c r="R297" s="102"/>
      <c r="S297" s="102" t="s">
        <v>90</v>
      </c>
      <c r="T297" s="102"/>
      <c r="U297" s="102" t="s">
        <v>90</v>
      </c>
      <c r="V297" s="102"/>
      <c r="W297" s="102"/>
      <c r="X297" s="102"/>
      <c r="Y297" s="102"/>
      <c r="Z297" s="102"/>
      <c r="AA297" s="102">
        <v>24</v>
      </c>
      <c r="AB297" s="102"/>
      <c r="AC297" s="242">
        <f t="shared" ref="AC297:AC328" si="42">SUM(W297:AB297)</f>
        <v>24</v>
      </c>
      <c r="AD297" s="102">
        <v>24</v>
      </c>
      <c r="AE297" s="102"/>
      <c r="AF297" s="102"/>
      <c r="AG297" s="102">
        <f t="shared" si="39"/>
        <v>24</v>
      </c>
      <c r="AH297" s="102"/>
      <c r="AI297" s="102">
        <v>24</v>
      </c>
      <c r="AJ297" s="102"/>
      <c r="AK297" s="102"/>
      <c r="AL297" s="102"/>
      <c r="AM297" s="102">
        <f t="shared" si="40"/>
        <v>24</v>
      </c>
      <c r="AN297" s="102" t="s">
        <v>93</v>
      </c>
      <c r="AO297" s="102">
        <v>3</v>
      </c>
      <c r="AP297" s="99"/>
    </row>
    <row r="298" spans="1:42" ht="39" customHeight="1" x14ac:dyDescent="0.25">
      <c r="A298" s="99">
        <v>2322</v>
      </c>
      <c r="B298" s="197" t="s">
        <v>633</v>
      </c>
      <c r="C298" s="240">
        <v>101250000</v>
      </c>
      <c r="D298" s="99">
        <v>21110252</v>
      </c>
      <c r="E298" s="99"/>
      <c r="F298" s="197" t="str">
        <f>VLOOKUP(D298,'rà soát ĐK'!B291:C741,2,0)</f>
        <v>PB04090027238</v>
      </c>
      <c r="G298" s="99" t="s">
        <v>2570</v>
      </c>
      <c r="H298" s="99" t="s">
        <v>817</v>
      </c>
      <c r="I298" s="239">
        <v>113178533</v>
      </c>
      <c r="J298" s="239">
        <v>1066571517</v>
      </c>
      <c r="K298" s="197" t="s">
        <v>633</v>
      </c>
      <c r="L298" s="197" t="s">
        <v>527</v>
      </c>
      <c r="M298" s="197"/>
      <c r="N298" s="104" t="s">
        <v>635</v>
      </c>
      <c r="O298" s="102"/>
      <c r="P298" s="102">
        <v>2322</v>
      </c>
      <c r="Q298" s="102">
        <f t="shared" si="41"/>
        <v>2322</v>
      </c>
      <c r="R298" s="102" t="s">
        <v>90</v>
      </c>
      <c r="S298" s="102"/>
      <c r="T298" s="102"/>
      <c r="U298" s="102" t="s">
        <v>90</v>
      </c>
      <c r="V298" s="102"/>
      <c r="W298" s="102"/>
      <c r="X298" s="102"/>
      <c r="Y298" s="102"/>
      <c r="Z298" s="102"/>
      <c r="AA298" s="102">
        <v>30</v>
      </c>
      <c r="AB298" s="102"/>
      <c r="AC298" s="242">
        <f t="shared" si="42"/>
        <v>30</v>
      </c>
      <c r="AD298" s="102">
        <v>30</v>
      </c>
      <c r="AE298" s="102"/>
      <c r="AF298" s="102"/>
      <c r="AG298" s="102">
        <f t="shared" si="39"/>
        <v>30</v>
      </c>
      <c r="AH298" s="102"/>
      <c r="AI298" s="102">
        <v>30</v>
      </c>
      <c r="AJ298" s="102"/>
      <c r="AK298" s="102"/>
      <c r="AL298" s="102"/>
      <c r="AM298" s="102">
        <f t="shared" si="40"/>
        <v>30</v>
      </c>
      <c r="AN298" s="102" t="s">
        <v>185</v>
      </c>
      <c r="AO298" s="102">
        <v>3</v>
      </c>
      <c r="AP298" s="99"/>
    </row>
    <row r="299" spans="1:42" ht="39" customHeight="1" x14ac:dyDescent="0.25">
      <c r="A299" s="99">
        <v>2323</v>
      </c>
      <c r="B299" s="197" t="s">
        <v>636</v>
      </c>
      <c r="C299" s="240">
        <v>101253000</v>
      </c>
      <c r="D299" s="99">
        <v>21007402</v>
      </c>
      <c r="E299" s="99"/>
      <c r="F299" s="197" t="str">
        <f>VLOOKUP(D299,'rà soát ĐK'!B292:C742,2,0)</f>
        <v>PB04090027241</v>
      </c>
      <c r="G299" s="99" t="s">
        <v>2567</v>
      </c>
      <c r="H299" s="99" t="s">
        <v>818</v>
      </c>
      <c r="I299" s="239">
        <v>113140873</v>
      </c>
      <c r="J299" s="239">
        <v>1066577616</v>
      </c>
      <c r="K299" s="197" t="s">
        <v>636</v>
      </c>
      <c r="L299" s="197" t="s">
        <v>527</v>
      </c>
      <c r="M299" s="197"/>
      <c r="N299" s="104" t="s">
        <v>638</v>
      </c>
      <c r="O299" s="102"/>
      <c r="P299" s="102">
        <v>1223</v>
      </c>
      <c r="Q299" s="102">
        <f t="shared" si="41"/>
        <v>1223</v>
      </c>
      <c r="R299" s="102" t="s">
        <v>90</v>
      </c>
      <c r="S299" s="102"/>
      <c r="T299" s="102"/>
      <c r="U299" s="102" t="s">
        <v>90</v>
      </c>
      <c r="V299" s="102"/>
      <c r="W299" s="102"/>
      <c r="X299" s="102"/>
      <c r="Y299" s="102"/>
      <c r="Z299" s="102"/>
      <c r="AA299" s="102">
        <v>27</v>
      </c>
      <c r="AB299" s="102"/>
      <c r="AC299" s="242">
        <f t="shared" si="42"/>
        <v>27</v>
      </c>
      <c r="AD299" s="102">
        <v>27</v>
      </c>
      <c r="AE299" s="102"/>
      <c r="AF299" s="102"/>
      <c r="AG299" s="102">
        <f t="shared" si="39"/>
        <v>27</v>
      </c>
      <c r="AH299" s="102"/>
      <c r="AI299" s="102">
        <v>27</v>
      </c>
      <c r="AJ299" s="102"/>
      <c r="AK299" s="102"/>
      <c r="AL299" s="102"/>
      <c r="AM299" s="102">
        <f t="shared" si="40"/>
        <v>27</v>
      </c>
      <c r="AN299" s="102" t="s">
        <v>185</v>
      </c>
      <c r="AO299" s="102">
        <v>3</v>
      </c>
      <c r="AP299" s="99"/>
    </row>
    <row r="300" spans="1:42" ht="39" customHeight="1" x14ac:dyDescent="0.25">
      <c r="A300" s="99">
        <v>2324</v>
      </c>
      <c r="B300" s="197" t="s">
        <v>639</v>
      </c>
      <c r="C300" s="240">
        <v>101252000</v>
      </c>
      <c r="D300" s="99">
        <v>21039943</v>
      </c>
      <c r="E300" s="99"/>
      <c r="F300" s="197" t="str">
        <f>VLOOKUP(D300,'rà soát ĐK'!B293:C743,2,0)</f>
        <v>PB04090034564</v>
      </c>
      <c r="G300" s="99" t="s">
        <v>2543</v>
      </c>
      <c r="H300" s="99" t="s">
        <v>819</v>
      </c>
      <c r="I300" s="239">
        <v>11313755</v>
      </c>
      <c r="J300" s="239">
        <v>1066500967</v>
      </c>
      <c r="K300" s="197" t="s">
        <v>639</v>
      </c>
      <c r="L300" s="197" t="s">
        <v>527</v>
      </c>
      <c r="M300" s="197"/>
      <c r="N300" s="104" t="s">
        <v>541</v>
      </c>
      <c r="O300" s="102"/>
      <c r="P300" s="102">
        <v>352</v>
      </c>
      <c r="Q300" s="102">
        <f t="shared" si="41"/>
        <v>352</v>
      </c>
      <c r="R300" s="102" t="s">
        <v>90</v>
      </c>
      <c r="S300" s="102"/>
      <c r="T300" s="102"/>
      <c r="U300" s="102" t="s">
        <v>90</v>
      </c>
      <c r="V300" s="102"/>
      <c r="W300" s="102"/>
      <c r="X300" s="102"/>
      <c r="Y300" s="102"/>
      <c r="Z300" s="102"/>
      <c r="AA300" s="102">
        <v>11</v>
      </c>
      <c r="AB300" s="102"/>
      <c r="AC300" s="242">
        <f t="shared" si="42"/>
        <v>11</v>
      </c>
      <c r="AD300" s="102">
        <v>11</v>
      </c>
      <c r="AE300" s="102"/>
      <c r="AF300" s="102"/>
      <c r="AG300" s="102">
        <f t="shared" si="39"/>
        <v>11</v>
      </c>
      <c r="AH300" s="102"/>
      <c r="AI300" s="102">
        <v>11</v>
      </c>
      <c r="AJ300" s="102"/>
      <c r="AK300" s="102"/>
      <c r="AL300" s="102"/>
      <c r="AM300" s="102">
        <f t="shared" si="40"/>
        <v>11</v>
      </c>
      <c r="AN300" s="102" t="s">
        <v>93</v>
      </c>
      <c r="AO300" s="102">
        <v>3</v>
      </c>
      <c r="AP300" s="99"/>
    </row>
    <row r="301" spans="1:42" ht="39" customHeight="1" x14ac:dyDescent="0.25">
      <c r="A301" s="99">
        <v>2325</v>
      </c>
      <c r="B301" s="197" t="s">
        <v>641</v>
      </c>
      <c r="C301" s="240">
        <v>101251000</v>
      </c>
      <c r="D301" s="99">
        <v>1511286339</v>
      </c>
      <c r="E301" s="99"/>
      <c r="F301" s="197" t="str">
        <f>VLOOKUP(D301,'rà soát ĐK'!B294:C744,2,0)</f>
        <v>PB04090032535</v>
      </c>
      <c r="G301" s="99" t="s">
        <v>2540</v>
      </c>
      <c r="H301" s="99" t="s">
        <v>820</v>
      </c>
      <c r="I301" s="239">
        <v>113153397</v>
      </c>
      <c r="J301" s="239">
        <v>1066480005</v>
      </c>
      <c r="K301" s="197" t="s">
        <v>641</v>
      </c>
      <c r="L301" s="197" t="s">
        <v>527</v>
      </c>
      <c r="M301" s="197"/>
      <c r="N301" s="104" t="s">
        <v>534</v>
      </c>
      <c r="O301" s="102"/>
      <c r="P301" s="102">
        <v>782</v>
      </c>
      <c r="Q301" s="102">
        <f t="shared" si="41"/>
        <v>782</v>
      </c>
      <c r="R301" s="102" t="s">
        <v>90</v>
      </c>
      <c r="S301" s="102"/>
      <c r="T301" s="102"/>
      <c r="U301" s="102" t="s">
        <v>90</v>
      </c>
      <c r="V301" s="102"/>
      <c r="W301" s="102"/>
      <c r="X301" s="102"/>
      <c r="Y301" s="102"/>
      <c r="Z301" s="102"/>
      <c r="AA301" s="102">
        <v>21</v>
      </c>
      <c r="AB301" s="102"/>
      <c r="AC301" s="242">
        <f t="shared" si="42"/>
        <v>21</v>
      </c>
      <c r="AD301" s="102">
        <v>21</v>
      </c>
      <c r="AE301" s="102"/>
      <c r="AF301" s="102"/>
      <c r="AG301" s="102">
        <f t="shared" si="39"/>
        <v>21</v>
      </c>
      <c r="AH301" s="102"/>
      <c r="AI301" s="102">
        <v>21</v>
      </c>
      <c r="AJ301" s="102"/>
      <c r="AK301" s="102"/>
      <c r="AL301" s="102"/>
      <c r="AM301" s="102">
        <f t="shared" si="40"/>
        <v>21</v>
      </c>
      <c r="AN301" s="102" t="s">
        <v>93</v>
      </c>
      <c r="AO301" s="102">
        <v>3</v>
      </c>
      <c r="AP301" s="99"/>
    </row>
    <row r="302" spans="1:42" ht="39" customHeight="1" x14ac:dyDescent="0.25">
      <c r="A302" s="99">
        <v>2326</v>
      </c>
      <c r="B302" s="197"/>
      <c r="C302" s="242"/>
      <c r="D302" s="99"/>
      <c r="E302" s="99"/>
      <c r="F302" s="197"/>
      <c r="G302" s="99"/>
      <c r="H302" s="99"/>
      <c r="I302" s="197"/>
      <c r="J302" s="197"/>
      <c r="K302" s="197" t="s">
        <v>643</v>
      </c>
      <c r="L302" s="197" t="s">
        <v>527</v>
      </c>
      <c r="M302" s="197"/>
      <c r="N302" s="104" t="s">
        <v>644</v>
      </c>
      <c r="O302" s="102"/>
      <c r="P302" s="102">
        <v>330</v>
      </c>
      <c r="Q302" s="102">
        <f t="shared" si="41"/>
        <v>330</v>
      </c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>
        <v>15</v>
      </c>
      <c r="AB302" s="102"/>
      <c r="AC302" s="242">
        <f t="shared" si="42"/>
        <v>15</v>
      </c>
      <c r="AD302" s="102">
        <v>15</v>
      </c>
      <c r="AE302" s="102"/>
      <c r="AF302" s="102"/>
      <c r="AG302" s="102">
        <f t="shared" si="39"/>
        <v>15</v>
      </c>
      <c r="AH302" s="102"/>
      <c r="AI302" s="102">
        <v>15</v>
      </c>
      <c r="AJ302" s="102"/>
      <c r="AK302" s="102"/>
      <c r="AL302" s="102"/>
      <c r="AM302" s="102">
        <f t="shared" si="40"/>
        <v>15</v>
      </c>
      <c r="AN302" s="102"/>
      <c r="AO302" s="102"/>
      <c r="AP302" s="99"/>
    </row>
    <row r="303" spans="1:42" ht="39" customHeight="1" x14ac:dyDescent="0.25">
      <c r="A303" s="99">
        <v>2327</v>
      </c>
      <c r="B303" s="197" t="s">
        <v>645</v>
      </c>
      <c r="C303" s="240">
        <v>101254000</v>
      </c>
      <c r="D303" s="99" t="s">
        <v>646</v>
      </c>
      <c r="E303" s="99"/>
      <c r="F303" s="197" t="s">
        <v>646</v>
      </c>
      <c r="G303" s="99" t="s">
        <v>646</v>
      </c>
      <c r="H303" s="99" t="s">
        <v>821</v>
      </c>
      <c r="I303" s="239">
        <v>11311736</v>
      </c>
      <c r="J303" s="239">
        <v>106646295</v>
      </c>
      <c r="K303" s="197" t="s">
        <v>645</v>
      </c>
      <c r="L303" s="197" t="s">
        <v>527</v>
      </c>
      <c r="M303" s="197"/>
      <c r="N303" s="104" t="s">
        <v>647</v>
      </c>
      <c r="O303" s="102"/>
      <c r="P303" s="102">
        <f>2023-330</f>
        <v>1693</v>
      </c>
      <c r="Q303" s="102">
        <f t="shared" si="41"/>
        <v>1693</v>
      </c>
      <c r="R303" s="102" t="s">
        <v>90</v>
      </c>
      <c r="S303" s="102"/>
      <c r="T303" s="102"/>
      <c r="U303" s="102" t="s">
        <v>90</v>
      </c>
      <c r="V303" s="102"/>
      <c r="W303" s="102"/>
      <c r="X303" s="102"/>
      <c r="Y303" s="102"/>
      <c r="Z303" s="102"/>
      <c r="AA303" s="102">
        <f>51-15</f>
        <v>36</v>
      </c>
      <c r="AB303" s="102"/>
      <c r="AC303" s="242">
        <f t="shared" si="42"/>
        <v>36</v>
      </c>
      <c r="AD303" s="102">
        <v>36</v>
      </c>
      <c r="AE303" s="102"/>
      <c r="AF303" s="102"/>
      <c r="AG303" s="102">
        <f t="shared" si="39"/>
        <v>36</v>
      </c>
      <c r="AH303" s="102"/>
      <c r="AI303" s="102">
        <v>36</v>
      </c>
      <c r="AJ303" s="102"/>
      <c r="AK303" s="102"/>
      <c r="AL303" s="102"/>
      <c r="AM303" s="102">
        <f t="shared" si="40"/>
        <v>36</v>
      </c>
      <c r="AN303" s="102" t="s">
        <v>185</v>
      </c>
      <c r="AO303" s="102">
        <v>3</v>
      </c>
      <c r="AP303" s="99"/>
    </row>
    <row r="304" spans="1:42" s="112" customFormat="1" ht="39" customHeight="1" x14ac:dyDescent="0.25">
      <c r="A304" s="111">
        <v>2328</v>
      </c>
      <c r="B304" s="248" t="s">
        <v>648</v>
      </c>
      <c r="C304" s="241">
        <v>101255000</v>
      </c>
      <c r="D304" s="111">
        <v>21039867</v>
      </c>
      <c r="E304" s="111"/>
      <c r="F304" s="197" t="e">
        <f>VLOOKUP(D304,'rà soát ĐK'!B297:C747,2,0)</f>
        <v>#N/A</v>
      </c>
      <c r="G304" s="111"/>
      <c r="H304" s="111" t="s">
        <v>822</v>
      </c>
      <c r="I304" s="253">
        <v>113061967</v>
      </c>
      <c r="J304" s="253">
        <v>10665153</v>
      </c>
      <c r="K304" s="248" t="s">
        <v>648</v>
      </c>
      <c r="L304" s="248" t="s">
        <v>527</v>
      </c>
      <c r="M304" s="248"/>
      <c r="N304" s="114" t="s">
        <v>555</v>
      </c>
      <c r="O304" s="113"/>
      <c r="P304" s="113">
        <v>448</v>
      </c>
      <c r="Q304" s="113">
        <f t="shared" si="41"/>
        <v>448</v>
      </c>
      <c r="R304" s="113" t="s">
        <v>90</v>
      </c>
      <c r="S304" s="113"/>
      <c r="T304" s="113"/>
      <c r="U304" s="113" t="s">
        <v>90</v>
      </c>
      <c r="V304" s="113"/>
      <c r="W304" s="113"/>
      <c r="X304" s="113"/>
      <c r="Y304" s="113"/>
      <c r="Z304" s="113"/>
      <c r="AA304" s="113">
        <v>12</v>
      </c>
      <c r="AB304" s="113"/>
      <c r="AC304" s="255">
        <f t="shared" si="42"/>
        <v>12</v>
      </c>
      <c r="AD304" s="113">
        <v>12</v>
      </c>
      <c r="AE304" s="113"/>
      <c r="AF304" s="113"/>
      <c r="AG304" s="113">
        <f t="shared" si="39"/>
        <v>12</v>
      </c>
      <c r="AH304" s="113"/>
      <c r="AI304" s="113">
        <v>12</v>
      </c>
      <c r="AJ304" s="113"/>
      <c r="AK304" s="113"/>
      <c r="AL304" s="113"/>
      <c r="AM304" s="113">
        <f t="shared" si="40"/>
        <v>12</v>
      </c>
      <c r="AN304" s="113" t="s">
        <v>93</v>
      </c>
      <c r="AO304" s="113">
        <v>3</v>
      </c>
      <c r="AP304" s="111"/>
    </row>
    <row r="305" spans="1:52" ht="39" customHeight="1" x14ac:dyDescent="0.25">
      <c r="A305" s="99">
        <v>2329</v>
      </c>
      <c r="B305" s="197" t="s">
        <v>650</v>
      </c>
      <c r="C305" s="240">
        <v>101148000</v>
      </c>
      <c r="D305" s="99">
        <v>1511230144</v>
      </c>
      <c r="E305" s="99"/>
      <c r="F305" s="197" t="str">
        <f>VLOOKUP(D305,'rà soát ĐK'!B298:C748,2,0)</f>
        <v>PB04090032541</v>
      </c>
      <c r="G305" s="99" t="s">
        <v>2552</v>
      </c>
      <c r="H305" s="99" t="s">
        <v>823</v>
      </c>
      <c r="I305" s="239">
        <v>112972979</v>
      </c>
      <c r="J305" s="239">
        <v>1066645019</v>
      </c>
      <c r="K305" s="197" t="s">
        <v>652</v>
      </c>
      <c r="L305" s="197" t="s">
        <v>527</v>
      </c>
      <c r="M305" s="197"/>
      <c r="N305" s="102" t="s">
        <v>580</v>
      </c>
      <c r="O305" s="102"/>
      <c r="P305" s="102">
        <v>770</v>
      </c>
      <c r="Q305" s="102">
        <f t="shared" si="41"/>
        <v>770</v>
      </c>
      <c r="R305" s="102" t="s">
        <v>90</v>
      </c>
      <c r="S305" s="102" t="s">
        <v>91</v>
      </c>
      <c r="T305" s="102"/>
      <c r="U305" s="102" t="s">
        <v>90</v>
      </c>
      <c r="V305" s="102" t="s">
        <v>111</v>
      </c>
      <c r="W305" s="102"/>
      <c r="X305" s="102"/>
      <c r="Y305" s="102"/>
      <c r="Z305" s="102"/>
      <c r="AA305" s="102">
        <v>20</v>
      </c>
      <c r="AB305" s="102"/>
      <c r="AC305" s="242">
        <f t="shared" si="42"/>
        <v>20</v>
      </c>
      <c r="AD305" s="102">
        <v>20</v>
      </c>
      <c r="AE305" s="102"/>
      <c r="AF305" s="102"/>
      <c r="AG305" s="102">
        <f t="shared" si="39"/>
        <v>20</v>
      </c>
      <c r="AH305" s="102"/>
      <c r="AI305" s="102">
        <v>20</v>
      </c>
      <c r="AJ305" s="102"/>
      <c r="AK305" s="102"/>
      <c r="AL305" s="102"/>
      <c r="AM305" s="102">
        <f t="shared" si="40"/>
        <v>20</v>
      </c>
      <c r="AN305" s="102" t="s">
        <v>93</v>
      </c>
      <c r="AO305" s="102">
        <v>3</v>
      </c>
      <c r="AP305" s="99"/>
    </row>
    <row r="306" spans="1:52" ht="39" customHeight="1" x14ac:dyDescent="0.25">
      <c r="A306" s="99">
        <v>2329</v>
      </c>
      <c r="B306" s="197" t="s">
        <v>653</v>
      </c>
      <c r="C306" s="240">
        <v>101149000</v>
      </c>
      <c r="D306" s="99">
        <v>1511288713</v>
      </c>
      <c r="E306" s="99"/>
      <c r="F306" s="197" t="str">
        <f>VLOOKUP(D306,'rà soát ĐK'!B299:C749,2,0)</f>
        <v>PB04090032540</v>
      </c>
      <c r="G306" s="120" t="s">
        <v>2471</v>
      </c>
      <c r="H306" s="99" t="s">
        <v>824</v>
      </c>
      <c r="I306" s="239">
        <v>112978701</v>
      </c>
      <c r="J306" s="239">
        <v>106655357</v>
      </c>
      <c r="K306" s="197" t="s">
        <v>652</v>
      </c>
      <c r="L306" s="197" t="s">
        <v>527</v>
      </c>
      <c r="M306" s="197" t="s">
        <v>655</v>
      </c>
      <c r="N306" s="102" t="s">
        <v>635</v>
      </c>
      <c r="O306" s="102"/>
      <c r="P306" s="102">
        <v>1150</v>
      </c>
      <c r="Q306" s="102">
        <f t="shared" si="41"/>
        <v>1150</v>
      </c>
      <c r="R306" s="102" t="s">
        <v>91</v>
      </c>
      <c r="S306" s="102" t="s">
        <v>90</v>
      </c>
      <c r="T306" s="102"/>
      <c r="U306" s="102" t="s">
        <v>90</v>
      </c>
      <c r="V306" s="102" t="s">
        <v>111</v>
      </c>
      <c r="W306" s="102"/>
      <c r="X306" s="102"/>
      <c r="Y306" s="102"/>
      <c r="Z306" s="102"/>
      <c r="AA306" s="102">
        <v>30</v>
      </c>
      <c r="AB306" s="102"/>
      <c r="AC306" s="242">
        <f t="shared" si="42"/>
        <v>30</v>
      </c>
      <c r="AD306" s="102">
        <v>30</v>
      </c>
      <c r="AE306" s="102"/>
      <c r="AF306" s="102"/>
      <c r="AG306" s="102">
        <f t="shared" si="39"/>
        <v>30</v>
      </c>
      <c r="AH306" s="102"/>
      <c r="AI306" s="102">
        <v>30</v>
      </c>
      <c r="AJ306" s="102"/>
      <c r="AK306" s="102"/>
      <c r="AL306" s="102"/>
      <c r="AM306" s="102">
        <f t="shared" si="40"/>
        <v>30</v>
      </c>
      <c r="AN306" s="102" t="s">
        <v>93</v>
      </c>
      <c r="AO306" s="102">
        <v>3</v>
      </c>
      <c r="AP306" s="99"/>
    </row>
    <row r="307" spans="1:52" ht="39" customHeight="1" x14ac:dyDescent="0.25">
      <c r="A307" s="99">
        <v>2329</v>
      </c>
      <c r="B307" s="197" t="s">
        <v>656</v>
      </c>
      <c r="C307" s="240">
        <v>101150000</v>
      </c>
      <c r="D307" s="99">
        <v>22425285</v>
      </c>
      <c r="E307" s="99"/>
      <c r="F307" s="197" t="str">
        <f>VLOOKUP(D307,'rà soát ĐK'!B300:C750,2,0)</f>
        <v>PB04090032539</v>
      </c>
      <c r="G307" s="99" t="s">
        <v>2488</v>
      </c>
      <c r="H307" s="99" t="s">
        <v>825</v>
      </c>
      <c r="I307" s="239">
        <v>113056872</v>
      </c>
      <c r="J307" s="239">
        <v>1066485679</v>
      </c>
      <c r="K307" s="197" t="s">
        <v>652</v>
      </c>
      <c r="L307" s="197" t="s">
        <v>527</v>
      </c>
      <c r="M307" s="197"/>
      <c r="N307" s="102" t="s">
        <v>580</v>
      </c>
      <c r="O307" s="102"/>
      <c r="P307" s="102">
        <v>700</v>
      </c>
      <c r="Q307" s="102">
        <f t="shared" si="41"/>
        <v>700</v>
      </c>
      <c r="R307" s="102" t="s">
        <v>90</v>
      </c>
      <c r="S307" s="102" t="s">
        <v>91</v>
      </c>
      <c r="T307" s="102"/>
      <c r="U307" s="102" t="s">
        <v>90</v>
      </c>
      <c r="V307" s="102" t="s">
        <v>111</v>
      </c>
      <c r="W307" s="102"/>
      <c r="X307" s="102"/>
      <c r="Y307" s="102"/>
      <c r="Z307" s="102"/>
      <c r="AA307" s="102">
        <v>20</v>
      </c>
      <c r="AB307" s="102"/>
      <c r="AC307" s="242">
        <f t="shared" si="42"/>
        <v>20</v>
      </c>
      <c r="AD307" s="102">
        <v>20</v>
      </c>
      <c r="AE307" s="102"/>
      <c r="AF307" s="102"/>
      <c r="AG307" s="102">
        <f t="shared" si="39"/>
        <v>20</v>
      </c>
      <c r="AH307" s="102"/>
      <c r="AI307" s="102">
        <v>20</v>
      </c>
      <c r="AJ307" s="102"/>
      <c r="AK307" s="102"/>
      <c r="AL307" s="102"/>
      <c r="AM307" s="102">
        <f t="shared" si="40"/>
        <v>20</v>
      </c>
      <c r="AN307" s="102" t="s">
        <v>93</v>
      </c>
      <c r="AO307" s="102">
        <v>3</v>
      </c>
      <c r="AP307" s="99"/>
    </row>
    <row r="308" spans="1:52" ht="39" customHeight="1" x14ac:dyDescent="0.25">
      <c r="A308" s="99">
        <v>2330</v>
      </c>
      <c r="B308" s="197" t="s">
        <v>658</v>
      </c>
      <c r="C308" s="240">
        <v>101300000</v>
      </c>
      <c r="D308" s="119" t="s">
        <v>2824</v>
      </c>
      <c r="E308" s="119"/>
      <c r="F308" s="197" t="e">
        <f>VLOOKUP(D308,'rà soát ĐK'!B301:C751,2,0)</f>
        <v>#N/A</v>
      </c>
      <c r="G308" s="120" t="s">
        <v>2474</v>
      </c>
      <c r="H308" s="99" t="s">
        <v>826</v>
      </c>
      <c r="I308" s="239">
        <v>112958783</v>
      </c>
      <c r="J308" s="239">
        <v>1066429765</v>
      </c>
      <c r="K308" s="197" t="s">
        <v>658</v>
      </c>
      <c r="L308" s="197" t="s">
        <v>527</v>
      </c>
      <c r="M308" s="197">
        <v>219</v>
      </c>
      <c r="N308" s="104" t="s">
        <v>576</v>
      </c>
      <c r="O308" s="102"/>
      <c r="P308" s="102">
        <v>606</v>
      </c>
      <c r="Q308" s="102">
        <f t="shared" si="41"/>
        <v>606</v>
      </c>
      <c r="R308" s="102" t="s">
        <v>90</v>
      </c>
      <c r="S308" s="102"/>
      <c r="T308" s="102"/>
      <c r="U308" s="102" t="s">
        <v>90</v>
      </c>
      <c r="V308" s="102"/>
      <c r="W308" s="102"/>
      <c r="X308" s="102"/>
      <c r="Y308" s="102"/>
      <c r="Z308" s="102"/>
      <c r="AA308" s="102">
        <v>19</v>
      </c>
      <c r="AB308" s="102"/>
      <c r="AC308" s="242">
        <f t="shared" si="42"/>
        <v>19</v>
      </c>
      <c r="AD308" s="102">
        <v>19</v>
      </c>
      <c r="AE308" s="102"/>
      <c r="AF308" s="102"/>
      <c r="AG308" s="102">
        <f t="shared" si="39"/>
        <v>19</v>
      </c>
      <c r="AH308" s="102"/>
      <c r="AI308" s="102">
        <v>19</v>
      </c>
      <c r="AJ308" s="102"/>
      <c r="AK308" s="102"/>
      <c r="AL308" s="102"/>
      <c r="AM308" s="102"/>
      <c r="AN308" s="102" t="s">
        <v>93</v>
      </c>
      <c r="AO308" s="102">
        <v>3</v>
      </c>
      <c r="AP308" s="99"/>
    </row>
    <row r="309" spans="1:52" ht="48.75" customHeight="1" x14ac:dyDescent="0.25">
      <c r="A309" s="99">
        <v>2330</v>
      </c>
      <c r="B309" s="197" t="s">
        <v>660</v>
      </c>
      <c r="C309" s="240">
        <v>101301000</v>
      </c>
      <c r="D309" s="99">
        <v>2211003599</v>
      </c>
      <c r="E309" s="99"/>
      <c r="F309" s="197" t="e">
        <f>VLOOKUP(D309,'rà soát ĐK'!B302:C752,2,0)</f>
        <v>#N/A</v>
      </c>
      <c r="G309" s="99"/>
      <c r="H309" s="99" t="s">
        <v>827</v>
      </c>
      <c r="I309" s="239">
        <v>112900422</v>
      </c>
      <c r="J309" s="239">
        <v>1066402282</v>
      </c>
      <c r="K309" s="197" t="s">
        <v>658</v>
      </c>
      <c r="L309" s="197" t="s">
        <v>527</v>
      </c>
      <c r="M309" s="197"/>
      <c r="N309" s="104" t="s">
        <v>543</v>
      </c>
      <c r="O309" s="102"/>
      <c r="P309" s="102">
        <v>312</v>
      </c>
      <c r="Q309" s="102">
        <f t="shared" si="41"/>
        <v>312</v>
      </c>
      <c r="R309" s="102" t="s">
        <v>90</v>
      </c>
      <c r="S309" s="102"/>
      <c r="T309" s="102"/>
      <c r="U309" s="102" t="s">
        <v>90</v>
      </c>
      <c r="V309" s="102"/>
      <c r="W309" s="102"/>
      <c r="X309" s="102"/>
      <c r="Y309" s="102"/>
      <c r="Z309" s="102"/>
      <c r="AA309" s="102">
        <v>10</v>
      </c>
      <c r="AB309" s="102"/>
      <c r="AC309" s="242">
        <f t="shared" si="42"/>
        <v>10</v>
      </c>
      <c r="AD309" s="102">
        <v>10</v>
      </c>
      <c r="AE309" s="102"/>
      <c r="AF309" s="102"/>
      <c r="AG309" s="102">
        <f t="shared" si="39"/>
        <v>10</v>
      </c>
      <c r="AH309" s="102"/>
      <c r="AI309" s="102">
        <v>10</v>
      </c>
      <c r="AJ309" s="102"/>
      <c r="AK309" s="102"/>
      <c r="AL309" s="102"/>
      <c r="AM309" s="102">
        <v>10</v>
      </c>
      <c r="AN309" s="102" t="s">
        <v>93</v>
      </c>
      <c r="AO309" s="102">
        <v>3</v>
      </c>
      <c r="AP309" s="99"/>
    </row>
    <row r="310" spans="1:52" ht="39" customHeight="1" x14ac:dyDescent="0.25">
      <c r="A310" s="99">
        <v>2330</v>
      </c>
      <c r="B310" s="197" t="s">
        <v>662</v>
      </c>
      <c r="C310" s="240">
        <v>101156000</v>
      </c>
      <c r="D310" s="99">
        <v>221100359981</v>
      </c>
      <c r="E310" s="99"/>
      <c r="F310" s="197" t="str">
        <f>VLOOKUP(D310,'rà soát ĐK'!B303:C753,2,0)</f>
        <v>PB04090029014</v>
      </c>
      <c r="G310" s="99" t="s">
        <v>2500</v>
      </c>
      <c r="H310" s="99" t="s">
        <v>828</v>
      </c>
      <c r="I310" s="239">
        <v>112908098</v>
      </c>
      <c r="J310" s="239">
        <v>1066463534</v>
      </c>
      <c r="K310" s="197" t="s">
        <v>658</v>
      </c>
      <c r="L310" s="197" t="s">
        <v>527</v>
      </c>
      <c r="M310" s="197"/>
      <c r="N310" s="104" t="s">
        <v>644</v>
      </c>
      <c r="O310" s="102"/>
      <c r="P310" s="102">
        <v>502</v>
      </c>
      <c r="Q310" s="102">
        <f t="shared" si="41"/>
        <v>502</v>
      </c>
      <c r="R310" s="102" t="s">
        <v>90</v>
      </c>
      <c r="S310" s="102"/>
      <c r="T310" s="102"/>
      <c r="U310" s="102" t="s">
        <v>90</v>
      </c>
      <c r="V310" s="102"/>
      <c r="W310" s="102"/>
      <c r="X310" s="102"/>
      <c r="Y310" s="102"/>
      <c r="Z310" s="102"/>
      <c r="AA310" s="102">
        <v>15</v>
      </c>
      <c r="AB310" s="102"/>
      <c r="AC310" s="242">
        <f t="shared" si="42"/>
        <v>15</v>
      </c>
      <c r="AD310" s="102">
        <v>15</v>
      </c>
      <c r="AE310" s="102"/>
      <c r="AF310" s="102"/>
      <c r="AG310" s="102">
        <f t="shared" si="39"/>
        <v>15</v>
      </c>
      <c r="AH310" s="102"/>
      <c r="AI310" s="102">
        <v>15</v>
      </c>
      <c r="AJ310" s="102"/>
      <c r="AK310" s="102"/>
      <c r="AL310" s="102"/>
      <c r="AM310" s="102">
        <v>15</v>
      </c>
      <c r="AN310" s="102" t="s">
        <v>93</v>
      </c>
      <c r="AO310" s="102">
        <v>3</v>
      </c>
      <c r="AP310" s="99"/>
    </row>
    <row r="311" spans="1:52" ht="39" customHeight="1" x14ac:dyDescent="0.25">
      <c r="A311" s="99">
        <v>2330</v>
      </c>
      <c r="B311" s="197" t="s">
        <v>664</v>
      </c>
      <c r="C311" s="240">
        <v>101302000</v>
      </c>
      <c r="D311" s="99">
        <v>2020171391</v>
      </c>
      <c r="E311" s="99"/>
      <c r="F311" s="197" t="str">
        <f>VLOOKUP(D311,'rà soát ĐK'!B304:C754,2,0)</f>
        <v>PE19000004486</v>
      </c>
      <c r="G311" s="99" t="s">
        <v>2497</v>
      </c>
      <c r="H311" s="99" t="s">
        <v>829</v>
      </c>
      <c r="I311" s="239">
        <v>112915626</v>
      </c>
      <c r="J311" s="239">
        <v>106649988</v>
      </c>
      <c r="K311" s="197" t="s">
        <v>658</v>
      </c>
      <c r="L311" s="197" t="s">
        <v>527</v>
      </c>
      <c r="M311" s="197"/>
      <c r="N311" s="104" t="s">
        <v>543</v>
      </c>
      <c r="O311" s="102"/>
      <c r="P311" s="102">
        <v>517</v>
      </c>
      <c r="Q311" s="102">
        <f t="shared" si="41"/>
        <v>517</v>
      </c>
      <c r="R311" s="102"/>
      <c r="S311" s="102" t="s">
        <v>90</v>
      </c>
      <c r="T311" s="102"/>
      <c r="U311" s="102" t="s">
        <v>90</v>
      </c>
      <c r="V311" s="102"/>
      <c r="W311" s="102"/>
      <c r="X311" s="102"/>
      <c r="Y311" s="102"/>
      <c r="Z311" s="102"/>
      <c r="AA311" s="102">
        <v>10</v>
      </c>
      <c r="AB311" s="102"/>
      <c r="AC311" s="242">
        <f t="shared" si="42"/>
        <v>10</v>
      </c>
      <c r="AD311" s="102">
        <v>10</v>
      </c>
      <c r="AE311" s="102"/>
      <c r="AF311" s="102"/>
      <c r="AG311" s="102">
        <f t="shared" si="39"/>
        <v>10</v>
      </c>
      <c r="AH311" s="102">
        <v>10</v>
      </c>
      <c r="AI311" s="102"/>
      <c r="AJ311" s="102"/>
      <c r="AK311" s="102"/>
      <c r="AL311" s="102"/>
      <c r="AM311" s="102">
        <f t="shared" ref="AM311:AM316" si="43">SUM(AH311:AL311)</f>
        <v>10</v>
      </c>
      <c r="AN311" s="102" t="s">
        <v>93</v>
      </c>
      <c r="AO311" s="102">
        <v>3</v>
      </c>
      <c r="AP311" s="99"/>
    </row>
    <row r="312" spans="1:52" ht="39" customHeight="1" x14ac:dyDescent="0.25">
      <c r="A312" s="99">
        <v>2330</v>
      </c>
      <c r="B312" s="197" t="s">
        <v>666</v>
      </c>
      <c r="C312" s="240">
        <v>101157000</v>
      </c>
      <c r="D312" s="99">
        <v>2020076873</v>
      </c>
      <c r="E312" s="99"/>
      <c r="F312" s="197" t="str">
        <f>VLOOKUP(D312,'rà soát ĐK'!B305:C755,2,0)</f>
        <v>PE19000004487</v>
      </c>
      <c r="G312" s="99" t="s">
        <v>2468</v>
      </c>
      <c r="H312" s="99" t="s">
        <v>830</v>
      </c>
      <c r="I312" s="239">
        <v>112948338</v>
      </c>
      <c r="J312" s="239">
        <v>1066542037</v>
      </c>
      <c r="K312" s="197" t="s">
        <v>658</v>
      </c>
      <c r="L312" s="197" t="s">
        <v>527</v>
      </c>
      <c r="M312" s="197"/>
      <c r="N312" s="104" t="s">
        <v>543</v>
      </c>
      <c r="O312" s="102"/>
      <c r="P312" s="102">
        <v>585</v>
      </c>
      <c r="Q312" s="102">
        <f t="shared" si="41"/>
        <v>585</v>
      </c>
      <c r="R312" s="102"/>
      <c r="S312" s="102" t="s">
        <v>90</v>
      </c>
      <c r="T312" s="102"/>
      <c r="U312" s="102" t="s">
        <v>90</v>
      </c>
      <c r="V312" s="102"/>
      <c r="W312" s="102"/>
      <c r="X312" s="102"/>
      <c r="Y312" s="102"/>
      <c r="Z312" s="102"/>
      <c r="AA312" s="102">
        <v>10</v>
      </c>
      <c r="AB312" s="102"/>
      <c r="AC312" s="242">
        <f t="shared" si="42"/>
        <v>10</v>
      </c>
      <c r="AD312" s="102">
        <v>10</v>
      </c>
      <c r="AE312" s="102"/>
      <c r="AF312" s="102"/>
      <c r="AG312" s="102">
        <f t="shared" si="39"/>
        <v>10</v>
      </c>
      <c r="AH312" s="102">
        <v>10</v>
      </c>
      <c r="AI312" s="102"/>
      <c r="AJ312" s="102"/>
      <c r="AK312" s="102"/>
      <c r="AL312" s="102"/>
      <c r="AM312" s="102">
        <f t="shared" si="43"/>
        <v>10</v>
      </c>
      <c r="AN312" s="102" t="s">
        <v>93</v>
      </c>
      <c r="AO312" s="102">
        <v>3</v>
      </c>
      <c r="AP312" s="99"/>
    </row>
    <row r="313" spans="1:52" ht="39" customHeight="1" x14ac:dyDescent="0.25">
      <c r="A313" s="99">
        <v>2331</v>
      </c>
      <c r="B313" s="197" t="s">
        <v>668</v>
      </c>
      <c r="C313" s="240">
        <v>101290000</v>
      </c>
      <c r="D313" s="99">
        <v>221100065999</v>
      </c>
      <c r="E313" s="99"/>
      <c r="F313" s="197" t="str">
        <f>VLOOKUP(D313,'rà soát ĐK'!B306:C756,2,0)</f>
        <v>PB04090025371</v>
      </c>
      <c r="G313" s="99" t="s">
        <v>2534</v>
      </c>
      <c r="H313" s="99" t="s">
        <v>831</v>
      </c>
      <c r="I313" s="239">
        <v>113053776</v>
      </c>
      <c r="J313" s="239">
        <v>1066724803</v>
      </c>
      <c r="K313" s="197" t="s">
        <v>670</v>
      </c>
      <c r="L313" s="197" t="s">
        <v>527</v>
      </c>
      <c r="M313" s="197">
        <v>66</v>
      </c>
      <c r="N313" s="104" t="s">
        <v>606</v>
      </c>
      <c r="O313" s="102"/>
      <c r="P313" s="102">
        <v>525</v>
      </c>
      <c r="Q313" s="102">
        <f t="shared" si="41"/>
        <v>525</v>
      </c>
      <c r="R313" s="102"/>
      <c r="S313" s="102" t="s">
        <v>90</v>
      </c>
      <c r="T313" s="102"/>
      <c r="U313" s="102" t="s">
        <v>90</v>
      </c>
      <c r="V313" s="102"/>
      <c r="W313" s="102"/>
      <c r="X313" s="102"/>
      <c r="Y313" s="102"/>
      <c r="Z313" s="102">
        <v>13</v>
      </c>
      <c r="AA313" s="102">
        <v>4</v>
      </c>
      <c r="AB313" s="102"/>
      <c r="AC313" s="242">
        <f t="shared" si="42"/>
        <v>17</v>
      </c>
      <c r="AD313" s="102">
        <v>17</v>
      </c>
      <c r="AE313" s="102"/>
      <c r="AF313" s="102"/>
      <c r="AG313" s="102">
        <f t="shared" si="39"/>
        <v>17</v>
      </c>
      <c r="AH313" s="102">
        <v>17</v>
      </c>
      <c r="AI313" s="102"/>
      <c r="AJ313" s="102"/>
      <c r="AK313" s="102"/>
      <c r="AL313" s="102"/>
      <c r="AM313" s="102">
        <f t="shared" si="43"/>
        <v>17</v>
      </c>
      <c r="AN313" s="102" t="s">
        <v>93</v>
      </c>
      <c r="AO313" s="102">
        <v>3</v>
      </c>
      <c r="AP313" s="99"/>
    </row>
    <row r="314" spans="1:52" ht="39" customHeight="1" x14ac:dyDescent="0.25">
      <c r="A314" s="99">
        <v>2331</v>
      </c>
      <c r="B314" s="197" t="s">
        <v>671</v>
      </c>
      <c r="C314" s="240">
        <v>101291000</v>
      </c>
      <c r="D314" s="99">
        <v>1611267963</v>
      </c>
      <c r="E314" s="99"/>
      <c r="F314" s="197" t="str">
        <f>VLOOKUP(D314,'rà soát ĐK'!B307:C757,2,0)</f>
        <v>PB04090025374</v>
      </c>
      <c r="G314" s="99" t="s">
        <v>2770</v>
      </c>
      <c r="H314" s="99" t="s">
        <v>832</v>
      </c>
      <c r="I314" s="239">
        <v>113082775</v>
      </c>
      <c r="J314" s="239">
        <v>1066727624</v>
      </c>
      <c r="K314" s="197" t="s">
        <v>670</v>
      </c>
      <c r="L314" s="197" t="s">
        <v>527</v>
      </c>
      <c r="M314" s="197"/>
      <c r="N314" s="104" t="s">
        <v>560</v>
      </c>
      <c r="O314" s="102"/>
      <c r="P314" s="102">
        <v>278</v>
      </c>
      <c r="Q314" s="102">
        <f t="shared" si="41"/>
        <v>278</v>
      </c>
      <c r="R314" s="102"/>
      <c r="S314" s="102"/>
      <c r="T314" s="102"/>
      <c r="U314" s="102"/>
      <c r="V314" s="102"/>
      <c r="W314" s="102"/>
      <c r="X314" s="102"/>
      <c r="Y314" s="102"/>
      <c r="Z314" s="102">
        <v>9</v>
      </c>
      <c r="AA314" s="102"/>
      <c r="AB314" s="102"/>
      <c r="AC314" s="242">
        <f t="shared" si="42"/>
        <v>9</v>
      </c>
      <c r="AD314" s="102">
        <v>9</v>
      </c>
      <c r="AE314" s="102"/>
      <c r="AF314" s="102"/>
      <c r="AG314" s="102">
        <f t="shared" si="39"/>
        <v>9</v>
      </c>
      <c r="AH314" s="102">
        <v>9</v>
      </c>
      <c r="AI314" s="102"/>
      <c r="AJ314" s="102"/>
      <c r="AK314" s="102"/>
      <c r="AL314" s="102"/>
      <c r="AM314" s="102">
        <f t="shared" si="43"/>
        <v>9</v>
      </c>
      <c r="AN314" s="102"/>
      <c r="AO314" s="102"/>
      <c r="AP314" s="99"/>
    </row>
    <row r="315" spans="1:52" ht="39" customHeight="1" x14ac:dyDescent="0.25">
      <c r="A315" s="99">
        <v>2331</v>
      </c>
      <c r="B315" s="197" t="s">
        <v>673</v>
      </c>
      <c r="C315" s="240">
        <v>101293000</v>
      </c>
      <c r="D315" s="99">
        <v>211100047241</v>
      </c>
      <c r="E315" s="99"/>
      <c r="F315" s="197" t="str">
        <f>VLOOKUP(D315,'rà soát ĐK'!B308:C758,2,0)</f>
        <v>PB04090025372</v>
      </c>
      <c r="G315" s="99" t="s">
        <v>2777</v>
      </c>
      <c r="H315" s="99" t="s">
        <v>833</v>
      </c>
      <c r="I315" s="239">
        <v>11313764</v>
      </c>
      <c r="J315" s="239">
        <v>106675229</v>
      </c>
      <c r="K315" s="197" t="s">
        <v>670</v>
      </c>
      <c r="L315" s="197" t="s">
        <v>527</v>
      </c>
      <c r="M315" s="197">
        <v>27</v>
      </c>
      <c r="N315" s="104" t="s">
        <v>644</v>
      </c>
      <c r="O315" s="102"/>
      <c r="P315" s="102">
        <v>456</v>
      </c>
      <c r="Q315" s="102">
        <f t="shared" si="41"/>
        <v>456</v>
      </c>
      <c r="R315" s="102"/>
      <c r="S315" s="102"/>
      <c r="T315" s="102"/>
      <c r="U315" s="102"/>
      <c r="V315" s="102"/>
      <c r="W315" s="102"/>
      <c r="X315" s="102"/>
      <c r="Y315" s="102"/>
      <c r="Z315" s="102">
        <v>15</v>
      </c>
      <c r="AA315" s="102"/>
      <c r="AB315" s="102"/>
      <c r="AC315" s="242">
        <f t="shared" si="42"/>
        <v>15</v>
      </c>
      <c r="AD315" s="102">
        <v>15</v>
      </c>
      <c r="AE315" s="102"/>
      <c r="AF315" s="102"/>
      <c r="AG315" s="102">
        <f t="shared" si="39"/>
        <v>15</v>
      </c>
      <c r="AH315" s="102">
        <v>15</v>
      </c>
      <c r="AI315" s="102"/>
      <c r="AJ315" s="102"/>
      <c r="AK315" s="102"/>
      <c r="AL315" s="102"/>
      <c r="AM315" s="102">
        <f t="shared" si="43"/>
        <v>15</v>
      </c>
      <c r="AN315" s="102"/>
      <c r="AO315" s="102"/>
      <c r="AP315" s="99"/>
    </row>
    <row r="316" spans="1:52" ht="39" customHeight="1" x14ac:dyDescent="0.25">
      <c r="A316" s="99">
        <v>2331</v>
      </c>
      <c r="B316" s="197" t="s">
        <v>673</v>
      </c>
      <c r="C316" s="240">
        <v>101292000</v>
      </c>
      <c r="D316" s="99">
        <v>211100047088</v>
      </c>
      <c r="E316" s="99"/>
      <c r="F316" s="197" t="str">
        <f>VLOOKUP(D316,'rà soát ĐK'!B309:C759,2,0)</f>
        <v>PB04090025373</v>
      </c>
      <c r="G316" s="99" t="s">
        <v>2780</v>
      </c>
      <c r="H316" s="99" t="s">
        <v>834</v>
      </c>
      <c r="I316" s="239">
        <v>113129765</v>
      </c>
      <c r="J316" s="239">
        <v>1066744899</v>
      </c>
      <c r="K316" s="197" t="s">
        <v>670</v>
      </c>
      <c r="L316" s="197" t="s">
        <v>527</v>
      </c>
      <c r="M316" s="197">
        <v>29</v>
      </c>
      <c r="N316" s="104" t="s">
        <v>644</v>
      </c>
      <c r="O316" s="102"/>
      <c r="P316" s="102">
        <v>502</v>
      </c>
      <c r="Q316" s="102">
        <f t="shared" si="41"/>
        <v>502</v>
      </c>
      <c r="R316" s="102"/>
      <c r="S316" s="102" t="s">
        <v>90</v>
      </c>
      <c r="T316" s="102"/>
      <c r="U316" s="102" t="s">
        <v>90</v>
      </c>
      <c r="V316" s="102"/>
      <c r="W316" s="102"/>
      <c r="X316" s="102"/>
      <c r="Y316" s="102"/>
      <c r="Z316" s="102">
        <v>15</v>
      </c>
      <c r="AA316" s="102"/>
      <c r="AB316" s="102"/>
      <c r="AC316" s="242">
        <f t="shared" si="42"/>
        <v>15</v>
      </c>
      <c r="AD316" s="102">
        <v>15</v>
      </c>
      <c r="AE316" s="102"/>
      <c r="AF316" s="102"/>
      <c r="AG316" s="102">
        <f t="shared" si="39"/>
        <v>15</v>
      </c>
      <c r="AH316" s="102">
        <v>15</v>
      </c>
      <c r="AI316" s="102"/>
      <c r="AJ316" s="102"/>
      <c r="AK316" s="102"/>
      <c r="AL316" s="102"/>
      <c r="AM316" s="102">
        <f t="shared" si="43"/>
        <v>15</v>
      </c>
      <c r="AN316" s="102" t="s">
        <v>92</v>
      </c>
      <c r="AO316" s="102">
        <v>3</v>
      </c>
      <c r="AP316" s="99"/>
    </row>
    <row r="317" spans="1:52" ht="39" customHeight="1" x14ac:dyDescent="0.25">
      <c r="A317" s="99">
        <v>2332</v>
      </c>
      <c r="B317" s="197"/>
      <c r="C317" s="242"/>
      <c r="D317" s="99"/>
      <c r="E317" s="99"/>
      <c r="F317" s="197"/>
      <c r="G317" s="99"/>
      <c r="H317" s="99"/>
      <c r="I317" s="197"/>
      <c r="J317" s="197"/>
      <c r="K317" s="197" t="s">
        <v>676</v>
      </c>
      <c r="L317" s="197" t="s">
        <v>527</v>
      </c>
      <c r="M317" s="197"/>
      <c r="N317" s="104" t="s">
        <v>584</v>
      </c>
      <c r="O317" s="102"/>
      <c r="P317" s="102">
        <v>539</v>
      </c>
      <c r="Q317" s="102">
        <v>539</v>
      </c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>
        <v>13</v>
      </c>
      <c r="AB317" s="102"/>
      <c r="AC317" s="242">
        <v>13</v>
      </c>
      <c r="AD317" s="102">
        <v>13</v>
      </c>
      <c r="AE317" s="102"/>
      <c r="AF317" s="102"/>
      <c r="AG317" s="102">
        <f t="shared" si="39"/>
        <v>13</v>
      </c>
      <c r="AH317" s="102">
        <v>13</v>
      </c>
      <c r="AI317" s="102"/>
      <c r="AJ317" s="102"/>
      <c r="AK317" s="102"/>
      <c r="AL317" s="102"/>
      <c r="AM317" s="102">
        <v>13</v>
      </c>
      <c r="AN317" s="102"/>
      <c r="AO317" s="102"/>
      <c r="AP317" s="99"/>
    </row>
    <row r="318" spans="1:52" ht="39" customHeight="1" x14ac:dyDescent="0.25">
      <c r="A318" s="99">
        <v>2333</v>
      </c>
      <c r="B318" s="197" t="s">
        <v>677</v>
      </c>
      <c r="C318" s="240">
        <v>101144000</v>
      </c>
      <c r="D318" s="99">
        <v>1611391018</v>
      </c>
      <c r="E318" s="99"/>
      <c r="F318" s="197" t="str">
        <f>VLOOKUP(D318,'rà soát ĐK'!B311:C761,2,0)</f>
        <v>PB04090034474</v>
      </c>
      <c r="G318" s="99" t="s">
        <v>2560</v>
      </c>
      <c r="H318" s="99" t="s">
        <v>835</v>
      </c>
      <c r="I318" s="239">
        <v>112841356</v>
      </c>
      <c r="J318" s="239">
        <v>1066578117</v>
      </c>
      <c r="K318" s="197" t="s">
        <v>679</v>
      </c>
      <c r="L318" s="197" t="s">
        <v>527</v>
      </c>
      <c r="M318" s="197"/>
      <c r="N318" s="102" t="s">
        <v>680</v>
      </c>
      <c r="O318" s="102"/>
      <c r="P318" s="102">
        <v>1150</v>
      </c>
      <c r="Q318" s="102">
        <f t="shared" ref="Q318:Q349" si="44">SUM(O318:P318)</f>
        <v>1150</v>
      </c>
      <c r="R318" s="102" t="s">
        <v>91</v>
      </c>
      <c r="S318" s="102" t="s">
        <v>90</v>
      </c>
      <c r="T318" s="102"/>
      <c r="U318" s="102" t="s">
        <v>90</v>
      </c>
      <c r="V318" s="102" t="s">
        <v>111</v>
      </c>
      <c r="W318" s="102"/>
      <c r="X318" s="102"/>
      <c r="Y318" s="102"/>
      <c r="Z318" s="102"/>
      <c r="AA318" s="102">
        <v>28</v>
      </c>
      <c r="AB318" s="102"/>
      <c r="AC318" s="242">
        <f t="shared" ref="AC318:AC349" si="45">SUM(W318:AB318)</f>
        <v>28</v>
      </c>
      <c r="AD318" s="102">
        <v>28</v>
      </c>
      <c r="AE318" s="102"/>
      <c r="AF318" s="102"/>
      <c r="AG318" s="102">
        <f t="shared" si="39"/>
        <v>28</v>
      </c>
      <c r="AH318" s="102"/>
      <c r="AI318" s="102">
        <v>28</v>
      </c>
      <c r="AJ318" s="102"/>
      <c r="AK318" s="102"/>
      <c r="AL318" s="102"/>
      <c r="AM318" s="102">
        <f t="shared" ref="AM318:AM339" si="46">SUM(AH318:AL318)</f>
        <v>28</v>
      </c>
      <c r="AN318" s="102" t="s">
        <v>93</v>
      </c>
      <c r="AO318" s="102">
        <v>3</v>
      </c>
      <c r="AP318" s="99"/>
    </row>
    <row r="319" spans="1:52" ht="48.75" customHeight="1" x14ac:dyDescent="0.25">
      <c r="A319" s="99">
        <v>2333</v>
      </c>
      <c r="B319" s="197" t="s">
        <v>681</v>
      </c>
      <c r="C319" s="240">
        <v>101298000</v>
      </c>
      <c r="D319" s="99">
        <v>22104884</v>
      </c>
      <c r="E319" s="99"/>
      <c r="F319" s="197" t="e">
        <f>VLOOKUP(D319,'rà soát ĐK'!B312:C762,2,0)</f>
        <v>#N/A</v>
      </c>
      <c r="G319" s="99"/>
      <c r="H319" s="99" t="s">
        <v>836</v>
      </c>
      <c r="I319" s="239">
        <v>112867935</v>
      </c>
      <c r="J319" s="239">
        <v>1066376391</v>
      </c>
      <c r="K319" s="197" t="s">
        <v>679</v>
      </c>
      <c r="L319" s="197" t="s">
        <v>527</v>
      </c>
      <c r="M319" s="197"/>
      <c r="N319" s="104" t="s">
        <v>606</v>
      </c>
      <c r="O319" s="102"/>
      <c r="P319" s="102">
        <v>597</v>
      </c>
      <c r="Q319" s="102">
        <f t="shared" si="44"/>
        <v>597</v>
      </c>
      <c r="R319" s="102" t="s">
        <v>90</v>
      </c>
      <c r="S319" s="102"/>
      <c r="T319" s="102"/>
      <c r="U319" s="102" t="s">
        <v>90</v>
      </c>
      <c r="V319" s="102"/>
      <c r="W319" s="102"/>
      <c r="X319" s="102"/>
      <c r="Y319" s="102"/>
      <c r="Z319" s="102"/>
      <c r="AA319" s="102">
        <v>17</v>
      </c>
      <c r="AB319" s="102"/>
      <c r="AC319" s="242">
        <f t="shared" si="45"/>
        <v>17</v>
      </c>
      <c r="AD319" s="102">
        <v>17</v>
      </c>
      <c r="AE319" s="102"/>
      <c r="AF319" s="102"/>
      <c r="AG319" s="102">
        <f t="shared" si="39"/>
        <v>17</v>
      </c>
      <c r="AH319" s="102">
        <v>28</v>
      </c>
      <c r="AI319" s="102"/>
      <c r="AJ319" s="102"/>
      <c r="AK319" s="102"/>
      <c r="AL319" s="102"/>
      <c r="AM319" s="102">
        <f t="shared" si="46"/>
        <v>28</v>
      </c>
      <c r="AN319" s="102" t="s">
        <v>93</v>
      </c>
      <c r="AO319" s="102">
        <v>3</v>
      </c>
      <c r="AP319" s="99"/>
    </row>
    <row r="320" spans="1:52" s="105" customFormat="1" ht="28.5" customHeight="1" x14ac:dyDescent="0.25">
      <c r="A320" s="99">
        <v>2334</v>
      </c>
      <c r="B320" s="197"/>
      <c r="C320" s="242"/>
      <c r="D320" s="99"/>
      <c r="E320" s="99"/>
      <c r="F320" s="197"/>
      <c r="G320" s="99"/>
      <c r="H320" s="99"/>
      <c r="I320" s="197"/>
      <c r="J320" s="197"/>
      <c r="K320" s="197" t="s">
        <v>683</v>
      </c>
      <c r="L320" s="197" t="s">
        <v>527</v>
      </c>
      <c r="M320" s="197"/>
      <c r="N320" s="102" t="s">
        <v>684</v>
      </c>
      <c r="O320" s="102"/>
      <c r="P320" s="102">
        <v>1914</v>
      </c>
      <c r="Q320" s="102">
        <f t="shared" si="44"/>
        <v>1914</v>
      </c>
      <c r="R320" s="102"/>
      <c r="S320" s="102"/>
      <c r="T320" s="102"/>
      <c r="U320" s="102"/>
      <c r="V320" s="102" t="s">
        <v>111</v>
      </c>
      <c r="W320" s="102"/>
      <c r="X320" s="102"/>
      <c r="Y320" s="102"/>
      <c r="Z320" s="102"/>
      <c r="AA320" s="102">
        <v>48</v>
      </c>
      <c r="AB320" s="102"/>
      <c r="AC320" s="242">
        <f t="shared" si="45"/>
        <v>48</v>
      </c>
      <c r="AD320" s="102">
        <v>48</v>
      </c>
      <c r="AE320" s="102"/>
      <c r="AF320" s="102"/>
      <c r="AG320" s="102">
        <f t="shared" si="39"/>
        <v>48</v>
      </c>
      <c r="AH320" s="102"/>
      <c r="AI320" s="102">
        <v>48</v>
      </c>
      <c r="AJ320" s="102"/>
      <c r="AK320" s="102"/>
      <c r="AL320" s="102"/>
      <c r="AM320" s="102">
        <f t="shared" si="46"/>
        <v>48</v>
      </c>
      <c r="AN320" s="102" t="s">
        <v>185</v>
      </c>
      <c r="AO320" s="102">
        <v>2</v>
      </c>
      <c r="AP320" s="99" t="s">
        <v>685</v>
      </c>
      <c r="AQ320" s="90"/>
      <c r="AR320" s="90"/>
      <c r="AS320" s="90"/>
      <c r="AT320" s="90"/>
      <c r="AU320" s="90"/>
      <c r="AV320" s="90"/>
      <c r="AW320" s="90"/>
      <c r="AX320" s="90"/>
      <c r="AY320" s="90"/>
      <c r="AZ320" s="90"/>
    </row>
    <row r="321" spans="1:52" s="105" customFormat="1" ht="28.5" customHeight="1" x14ac:dyDescent="0.25">
      <c r="A321" s="111">
        <v>2335</v>
      </c>
      <c r="B321" s="248" t="s">
        <v>686</v>
      </c>
      <c r="C321" s="241">
        <v>101210000</v>
      </c>
      <c r="D321" s="111"/>
      <c r="E321" s="111"/>
      <c r="F321" s="197"/>
      <c r="G321" s="111"/>
      <c r="H321" s="111" t="s">
        <v>837</v>
      </c>
      <c r="I321" s="253">
        <v>112650611</v>
      </c>
      <c r="J321" s="253">
        <v>1066217539</v>
      </c>
      <c r="K321" s="248" t="s">
        <v>686</v>
      </c>
      <c r="L321" s="248" t="s">
        <v>527</v>
      </c>
      <c r="M321" s="248" t="s">
        <v>688</v>
      </c>
      <c r="N321" s="115">
        <v>46204</v>
      </c>
      <c r="O321" s="113"/>
      <c r="P321" s="113">
        <v>180</v>
      </c>
      <c r="Q321" s="113">
        <f t="shared" si="44"/>
        <v>180</v>
      </c>
      <c r="R321" s="113" t="s">
        <v>90</v>
      </c>
      <c r="S321" s="113"/>
      <c r="T321" s="113"/>
      <c r="U321" s="113" t="s">
        <v>90</v>
      </c>
      <c r="V321" s="113" t="s">
        <v>111</v>
      </c>
      <c r="W321" s="113"/>
      <c r="X321" s="113"/>
      <c r="Y321" s="113"/>
      <c r="Z321" s="113"/>
      <c r="AA321" s="113">
        <v>7</v>
      </c>
      <c r="AB321" s="113"/>
      <c r="AC321" s="255">
        <f t="shared" si="45"/>
        <v>7</v>
      </c>
      <c r="AD321" s="113">
        <v>7</v>
      </c>
      <c r="AE321" s="113"/>
      <c r="AF321" s="113"/>
      <c r="AG321" s="113">
        <f t="shared" ref="AG321:AG352" si="47">SUM(AD321:AF321)</f>
        <v>7</v>
      </c>
      <c r="AH321" s="113"/>
      <c r="AI321" s="113">
        <v>7</v>
      </c>
      <c r="AJ321" s="113"/>
      <c r="AK321" s="113"/>
      <c r="AL321" s="113"/>
      <c r="AM321" s="113">
        <f t="shared" si="46"/>
        <v>7</v>
      </c>
      <c r="AN321" s="113" t="s">
        <v>185</v>
      </c>
      <c r="AO321" s="113">
        <v>4</v>
      </c>
      <c r="AP321" s="111"/>
      <c r="AQ321" s="112"/>
      <c r="AR321" s="112"/>
      <c r="AS321" s="112"/>
      <c r="AT321" s="112"/>
      <c r="AU321" s="112"/>
      <c r="AV321" s="112"/>
      <c r="AW321" s="112"/>
      <c r="AX321" s="112"/>
      <c r="AY321" s="112"/>
      <c r="AZ321" s="112"/>
    </row>
    <row r="322" spans="1:52" s="105" customFormat="1" ht="28.5" customHeight="1" x14ac:dyDescent="0.25">
      <c r="A322" s="111">
        <v>2336</v>
      </c>
      <c r="B322" s="248" t="s">
        <v>689</v>
      </c>
      <c r="C322" s="241">
        <v>101207000</v>
      </c>
      <c r="D322" s="111"/>
      <c r="E322" s="111"/>
      <c r="F322" s="197"/>
      <c r="G322" s="111"/>
      <c r="H322" s="111" t="s">
        <v>838</v>
      </c>
      <c r="I322" s="253">
        <v>112646568</v>
      </c>
      <c r="J322" s="253">
        <v>1066198587</v>
      </c>
      <c r="K322" s="248" t="s">
        <v>689</v>
      </c>
      <c r="L322" s="248" t="s">
        <v>527</v>
      </c>
      <c r="M322" s="248" t="s">
        <v>691</v>
      </c>
      <c r="N322" s="115">
        <v>46174</v>
      </c>
      <c r="O322" s="113"/>
      <c r="P322" s="113">
        <v>198</v>
      </c>
      <c r="Q322" s="113">
        <f t="shared" si="44"/>
        <v>198</v>
      </c>
      <c r="R322" s="113" t="s">
        <v>90</v>
      </c>
      <c r="S322" s="113"/>
      <c r="T322" s="113"/>
      <c r="U322" s="113" t="s">
        <v>90</v>
      </c>
      <c r="V322" s="113" t="s">
        <v>111</v>
      </c>
      <c r="W322" s="113"/>
      <c r="X322" s="113"/>
      <c r="Y322" s="113"/>
      <c r="Z322" s="113"/>
      <c r="AA322" s="113">
        <v>6</v>
      </c>
      <c r="AB322" s="113"/>
      <c r="AC322" s="255">
        <f t="shared" si="45"/>
        <v>6</v>
      </c>
      <c r="AD322" s="113">
        <v>6</v>
      </c>
      <c r="AE322" s="113"/>
      <c r="AF322" s="113"/>
      <c r="AG322" s="113">
        <f t="shared" si="47"/>
        <v>6</v>
      </c>
      <c r="AH322" s="113"/>
      <c r="AI322" s="113">
        <v>6</v>
      </c>
      <c r="AJ322" s="113"/>
      <c r="AK322" s="113"/>
      <c r="AL322" s="113"/>
      <c r="AM322" s="113">
        <f t="shared" si="46"/>
        <v>6</v>
      </c>
      <c r="AN322" s="113" t="s">
        <v>185</v>
      </c>
      <c r="AO322" s="113">
        <v>4</v>
      </c>
      <c r="AP322" s="111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</row>
    <row r="323" spans="1:52" ht="39" customHeight="1" x14ac:dyDescent="0.25">
      <c r="A323" s="111">
        <v>2337</v>
      </c>
      <c r="B323" s="248" t="s">
        <v>692</v>
      </c>
      <c r="C323" s="241">
        <v>101204000</v>
      </c>
      <c r="D323" s="111"/>
      <c r="E323" s="111"/>
      <c r="F323" s="197"/>
      <c r="G323" s="111"/>
      <c r="H323" s="111" t="s">
        <v>839</v>
      </c>
      <c r="I323" s="253">
        <v>112505696</v>
      </c>
      <c r="J323" s="253">
        <v>1065955654</v>
      </c>
      <c r="K323" s="248" t="s">
        <v>692</v>
      </c>
      <c r="L323" s="248" t="s">
        <v>527</v>
      </c>
      <c r="M323" s="248" t="s">
        <v>693</v>
      </c>
      <c r="N323" s="115" t="str">
        <f>1&amp;"-"&amp;AC323</f>
        <v>1-20</v>
      </c>
      <c r="O323" s="113">
        <v>674</v>
      </c>
      <c r="P323" s="113"/>
      <c r="Q323" s="113">
        <f t="shared" si="44"/>
        <v>674</v>
      </c>
      <c r="R323" s="113" t="s">
        <v>91</v>
      </c>
      <c r="S323" s="113" t="s">
        <v>90</v>
      </c>
      <c r="T323" s="113"/>
      <c r="U323" s="113" t="s">
        <v>90</v>
      </c>
      <c r="V323" s="113" t="s">
        <v>111</v>
      </c>
      <c r="W323" s="113"/>
      <c r="X323" s="113"/>
      <c r="Y323" s="113"/>
      <c r="Z323" s="113"/>
      <c r="AA323" s="113">
        <v>20</v>
      </c>
      <c r="AB323" s="113"/>
      <c r="AC323" s="255">
        <f t="shared" si="45"/>
        <v>20</v>
      </c>
      <c r="AD323" s="113"/>
      <c r="AE323" s="113">
        <v>19</v>
      </c>
      <c r="AF323" s="113"/>
      <c r="AG323" s="113">
        <f t="shared" si="47"/>
        <v>19</v>
      </c>
      <c r="AH323" s="113"/>
      <c r="AI323" s="113">
        <v>18</v>
      </c>
      <c r="AJ323" s="113">
        <v>1</v>
      </c>
      <c r="AK323" s="113"/>
      <c r="AL323" s="113"/>
      <c r="AM323" s="113">
        <f t="shared" si="46"/>
        <v>19</v>
      </c>
      <c r="AN323" s="113"/>
      <c r="AO323" s="113"/>
      <c r="AP323" s="113" t="s">
        <v>694</v>
      </c>
      <c r="AQ323" s="112"/>
      <c r="AR323" s="112"/>
      <c r="AS323" s="112"/>
      <c r="AT323" s="112"/>
      <c r="AU323" s="112"/>
      <c r="AV323" s="112"/>
      <c r="AW323" s="112"/>
      <c r="AX323" s="112"/>
      <c r="AY323" s="112"/>
      <c r="AZ323" s="112"/>
    </row>
    <row r="324" spans="1:52" s="105" customFormat="1" ht="28.5" customHeight="1" x14ac:dyDescent="0.25">
      <c r="A324" s="99">
        <v>2338</v>
      </c>
      <c r="B324" s="197" t="s">
        <v>695</v>
      </c>
      <c r="C324" s="240">
        <v>101206000</v>
      </c>
      <c r="D324" s="99">
        <v>1611596535</v>
      </c>
      <c r="E324" s="99"/>
      <c r="F324" s="197" t="str">
        <f>VLOOKUP(D324,'rà soát ĐK'!B317:C767,2,0)</f>
        <v>PB04090034475</v>
      </c>
      <c r="G324" s="99" t="s">
        <v>2696</v>
      </c>
      <c r="H324" s="99" t="s">
        <v>840</v>
      </c>
      <c r="I324" s="239">
        <v>112632824</v>
      </c>
      <c r="J324" s="239">
        <v>1066365093</v>
      </c>
      <c r="K324" s="197" t="s">
        <v>695</v>
      </c>
      <c r="L324" s="197" t="s">
        <v>527</v>
      </c>
      <c r="M324" s="197" t="s">
        <v>697</v>
      </c>
      <c r="N324" s="106">
        <v>46143</v>
      </c>
      <c r="O324" s="102"/>
      <c r="P324" s="102">
        <v>180</v>
      </c>
      <c r="Q324" s="102">
        <f t="shared" si="44"/>
        <v>180</v>
      </c>
      <c r="R324" s="102" t="s">
        <v>91</v>
      </c>
      <c r="S324" s="102" t="s">
        <v>90</v>
      </c>
      <c r="T324" s="102"/>
      <c r="U324" s="102" t="s">
        <v>90</v>
      </c>
      <c r="V324" s="102" t="s">
        <v>111</v>
      </c>
      <c r="W324" s="102"/>
      <c r="X324" s="102"/>
      <c r="Y324" s="102"/>
      <c r="Z324" s="102"/>
      <c r="AA324" s="102">
        <v>5</v>
      </c>
      <c r="AB324" s="102"/>
      <c r="AC324" s="242">
        <f t="shared" si="45"/>
        <v>5</v>
      </c>
      <c r="AD324" s="102">
        <v>5</v>
      </c>
      <c r="AE324" s="102"/>
      <c r="AF324" s="102"/>
      <c r="AG324" s="102">
        <f t="shared" si="47"/>
        <v>5</v>
      </c>
      <c r="AH324" s="102"/>
      <c r="AI324" s="102">
        <v>5</v>
      </c>
      <c r="AJ324" s="102"/>
      <c r="AK324" s="102"/>
      <c r="AL324" s="102"/>
      <c r="AM324" s="102">
        <f t="shared" si="46"/>
        <v>5</v>
      </c>
      <c r="AN324" s="102" t="s">
        <v>185</v>
      </c>
      <c r="AO324" s="102">
        <v>4</v>
      </c>
      <c r="AP324" s="99"/>
      <c r="AQ324" s="90"/>
      <c r="AR324" s="90"/>
      <c r="AS324" s="90"/>
      <c r="AT324" s="90"/>
      <c r="AU324" s="90"/>
      <c r="AV324" s="90"/>
      <c r="AW324" s="90"/>
      <c r="AX324" s="90"/>
      <c r="AY324" s="90"/>
      <c r="AZ324" s="90"/>
    </row>
    <row r="325" spans="1:52" ht="39" customHeight="1" x14ac:dyDescent="0.25">
      <c r="A325" s="111">
        <v>2339</v>
      </c>
      <c r="B325" s="248" t="s">
        <v>698</v>
      </c>
      <c r="C325" s="241">
        <v>101205000</v>
      </c>
      <c r="D325" s="111"/>
      <c r="E325" s="111"/>
      <c r="F325" s="197"/>
      <c r="G325" s="111"/>
      <c r="H325" s="111" t="s">
        <v>841</v>
      </c>
      <c r="I325" s="253">
        <v>112544772</v>
      </c>
      <c r="J325" s="253">
        <v>1066384933</v>
      </c>
      <c r="K325" s="248" t="s">
        <v>698</v>
      </c>
      <c r="L325" s="248" t="s">
        <v>527</v>
      </c>
      <c r="M325" s="248" t="s">
        <v>699</v>
      </c>
      <c r="N325" s="115">
        <v>46296</v>
      </c>
      <c r="O325" s="113"/>
      <c r="P325" s="113">
        <v>328</v>
      </c>
      <c r="Q325" s="113">
        <f t="shared" si="44"/>
        <v>328</v>
      </c>
      <c r="R325" s="113" t="s">
        <v>91</v>
      </c>
      <c r="S325" s="113" t="s">
        <v>90</v>
      </c>
      <c r="T325" s="113"/>
      <c r="U325" s="113" t="s">
        <v>90</v>
      </c>
      <c r="V325" s="113" t="s">
        <v>111</v>
      </c>
      <c r="W325" s="113"/>
      <c r="X325" s="113"/>
      <c r="Y325" s="113"/>
      <c r="Z325" s="113"/>
      <c r="AA325" s="113">
        <v>10</v>
      </c>
      <c r="AB325" s="113"/>
      <c r="AC325" s="255">
        <f t="shared" si="45"/>
        <v>10</v>
      </c>
      <c r="AD325" s="113">
        <v>10</v>
      </c>
      <c r="AE325" s="113"/>
      <c r="AF325" s="113"/>
      <c r="AG325" s="113">
        <f t="shared" si="47"/>
        <v>10</v>
      </c>
      <c r="AH325" s="113"/>
      <c r="AI325" s="113">
        <v>10</v>
      </c>
      <c r="AJ325" s="113"/>
      <c r="AK325" s="113"/>
      <c r="AL325" s="113"/>
      <c r="AM325" s="113">
        <f t="shared" si="46"/>
        <v>10</v>
      </c>
      <c r="AN325" s="113" t="s">
        <v>185</v>
      </c>
      <c r="AO325" s="113">
        <v>4</v>
      </c>
      <c r="AP325" s="111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</row>
    <row r="326" spans="1:52" ht="48.75" customHeight="1" x14ac:dyDescent="0.25">
      <c r="A326" s="99">
        <v>2340</v>
      </c>
      <c r="B326" s="197" t="s">
        <v>700</v>
      </c>
      <c r="C326" s="240">
        <v>101266000</v>
      </c>
      <c r="D326" s="99">
        <v>221100332271</v>
      </c>
      <c r="E326" s="99"/>
      <c r="F326" s="197" t="e">
        <f>VLOOKUP(D326,'rà soát ĐK'!B319:C769,2,0)</f>
        <v>#N/A</v>
      </c>
      <c r="G326" s="99"/>
      <c r="H326" s="99" t="s">
        <v>842</v>
      </c>
      <c r="I326" s="239">
        <v>112505478</v>
      </c>
      <c r="J326" s="239">
        <v>1066417912</v>
      </c>
      <c r="K326" s="197" t="s">
        <v>700</v>
      </c>
      <c r="L326" s="197" t="s">
        <v>527</v>
      </c>
      <c r="M326" s="197"/>
      <c r="N326" s="106">
        <v>46266</v>
      </c>
      <c r="O326" s="102"/>
      <c r="P326" s="102">
        <v>350</v>
      </c>
      <c r="Q326" s="102">
        <f t="shared" si="44"/>
        <v>350</v>
      </c>
      <c r="R326" s="102" t="s">
        <v>91</v>
      </c>
      <c r="S326" s="102" t="s">
        <v>90</v>
      </c>
      <c r="T326" s="102"/>
      <c r="U326" s="102" t="s">
        <v>90</v>
      </c>
      <c r="V326" s="102" t="s">
        <v>111</v>
      </c>
      <c r="W326" s="102"/>
      <c r="X326" s="102"/>
      <c r="Y326" s="102"/>
      <c r="Z326" s="102"/>
      <c r="AA326" s="102">
        <v>9</v>
      </c>
      <c r="AB326" s="102"/>
      <c r="AC326" s="242">
        <f t="shared" si="45"/>
        <v>9</v>
      </c>
      <c r="AD326" s="102">
        <v>9</v>
      </c>
      <c r="AE326" s="102"/>
      <c r="AF326" s="102"/>
      <c r="AG326" s="102">
        <f t="shared" si="47"/>
        <v>9</v>
      </c>
      <c r="AH326" s="102"/>
      <c r="AI326" s="102">
        <v>9</v>
      </c>
      <c r="AJ326" s="102"/>
      <c r="AK326" s="102"/>
      <c r="AL326" s="102"/>
      <c r="AM326" s="102">
        <f t="shared" si="46"/>
        <v>9</v>
      </c>
      <c r="AN326" s="102" t="s">
        <v>93</v>
      </c>
      <c r="AO326" s="102">
        <v>3</v>
      </c>
      <c r="AP326" s="99"/>
    </row>
    <row r="327" spans="1:52" ht="39" customHeight="1" x14ac:dyDescent="0.25">
      <c r="A327" s="99">
        <v>2341</v>
      </c>
      <c r="B327" s="197"/>
      <c r="C327" s="242"/>
      <c r="D327" s="99"/>
      <c r="E327" s="99"/>
      <c r="F327" s="197"/>
      <c r="G327" s="99"/>
      <c r="H327" s="99"/>
      <c r="I327" s="197"/>
      <c r="J327" s="197"/>
      <c r="K327" s="197" t="s">
        <v>702</v>
      </c>
      <c r="L327" s="197" t="s">
        <v>527</v>
      </c>
      <c r="M327" s="197"/>
      <c r="N327" s="106">
        <v>46235</v>
      </c>
      <c r="O327" s="102"/>
      <c r="P327" s="102">
        <v>285</v>
      </c>
      <c r="Q327" s="102">
        <f t="shared" si="44"/>
        <v>285</v>
      </c>
      <c r="R327" s="102" t="s">
        <v>91</v>
      </c>
      <c r="S327" s="102"/>
      <c r="T327" s="102"/>
      <c r="U327" s="102"/>
      <c r="V327" s="102" t="s">
        <v>111</v>
      </c>
      <c r="W327" s="102"/>
      <c r="X327" s="102"/>
      <c r="Y327" s="102"/>
      <c r="Z327" s="102"/>
      <c r="AA327" s="102">
        <v>8</v>
      </c>
      <c r="AB327" s="102"/>
      <c r="AC327" s="242">
        <f t="shared" si="45"/>
        <v>8</v>
      </c>
      <c r="AD327" s="102">
        <v>8</v>
      </c>
      <c r="AE327" s="102"/>
      <c r="AF327" s="102"/>
      <c r="AG327" s="102">
        <f t="shared" si="47"/>
        <v>8</v>
      </c>
      <c r="AH327" s="102">
        <v>8</v>
      </c>
      <c r="AI327" s="102"/>
      <c r="AJ327" s="102"/>
      <c r="AK327" s="102"/>
      <c r="AL327" s="102"/>
      <c r="AM327" s="102">
        <f t="shared" si="46"/>
        <v>8</v>
      </c>
      <c r="AN327" s="102"/>
      <c r="AO327" s="102"/>
      <c r="AP327" s="99"/>
    </row>
    <row r="328" spans="1:52" ht="39" customHeight="1" x14ac:dyDescent="0.25">
      <c r="A328" s="99">
        <v>2341</v>
      </c>
      <c r="B328" s="197" t="s">
        <v>702</v>
      </c>
      <c r="C328" s="240">
        <v>101269000</v>
      </c>
      <c r="D328" s="99">
        <v>1511415047</v>
      </c>
      <c r="E328" s="99"/>
      <c r="F328" s="197" t="str">
        <f>VLOOKUP(D328,'rà soát ĐK'!B321:C771,2,0)</f>
        <v>PB04090025376</v>
      </c>
      <c r="G328" s="99" t="s">
        <v>2757</v>
      </c>
      <c r="H328" s="99" t="s">
        <v>843</v>
      </c>
      <c r="I328" s="239">
        <v>112482954</v>
      </c>
      <c r="J328" s="239">
        <v>1066401503</v>
      </c>
      <c r="K328" s="197" t="s">
        <v>702</v>
      </c>
      <c r="L328" s="197" t="s">
        <v>527</v>
      </c>
      <c r="M328" s="197"/>
      <c r="N328" s="106">
        <v>46235</v>
      </c>
      <c r="O328" s="102"/>
      <c r="P328" s="102">
        <v>292</v>
      </c>
      <c r="Q328" s="102">
        <f t="shared" si="44"/>
        <v>292</v>
      </c>
      <c r="R328" s="102" t="s">
        <v>91</v>
      </c>
      <c r="S328" s="102" t="s">
        <v>90</v>
      </c>
      <c r="T328" s="102"/>
      <c r="U328" s="102" t="s">
        <v>90</v>
      </c>
      <c r="V328" s="102" t="s">
        <v>111</v>
      </c>
      <c r="W328" s="102"/>
      <c r="X328" s="102"/>
      <c r="Y328" s="102"/>
      <c r="Z328" s="102">
        <v>8</v>
      </c>
      <c r="AA328" s="102"/>
      <c r="AB328" s="102"/>
      <c r="AC328" s="242">
        <f t="shared" si="45"/>
        <v>8</v>
      </c>
      <c r="AD328" s="102">
        <v>8</v>
      </c>
      <c r="AE328" s="102"/>
      <c r="AF328" s="102"/>
      <c r="AG328" s="102">
        <f t="shared" si="47"/>
        <v>8</v>
      </c>
      <c r="AH328" s="102"/>
      <c r="AI328" s="102">
        <v>8</v>
      </c>
      <c r="AJ328" s="102"/>
      <c r="AK328" s="102"/>
      <c r="AL328" s="102"/>
      <c r="AM328" s="102">
        <f t="shared" si="46"/>
        <v>8</v>
      </c>
      <c r="AN328" s="102" t="s">
        <v>185</v>
      </c>
      <c r="AO328" s="102">
        <v>3</v>
      </c>
      <c r="AP328" s="99"/>
    </row>
    <row r="329" spans="1:52" ht="39" customHeight="1" x14ac:dyDescent="0.25">
      <c r="A329" s="99">
        <v>2342</v>
      </c>
      <c r="B329" s="197"/>
      <c r="C329" s="242"/>
      <c r="D329" s="99"/>
      <c r="E329" s="99"/>
      <c r="F329" s="197"/>
      <c r="G329" s="99"/>
      <c r="H329" s="99"/>
      <c r="I329" s="197"/>
      <c r="J329" s="197"/>
      <c r="K329" s="197" t="s">
        <v>704</v>
      </c>
      <c r="L329" s="197" t="s">
        <v>527</v>
      </c>
      <c r="M329" s="197"/>
      <c r="N329" s="106">
        <v>46296</v>
      </c>
      <c r="O329" s="102"/>
      <c r="P329" s="102">
        <v>340</v>
      </c>
      <c r="Q329" s="102">
        <f t="shared" si="44"/>
        <v>340</v>
      </c>
      <c r="R329" s="102" t="s">
        <v>91</v>
      </c>
      <c r="S329" s="102"/>
      <c r="T329" s="102"/>
      <c r="U329" s="102"/>
      <c r="V329" s="102" t="s">
        <v>111</v>
      </c>
      <c r="W329" s="102"/>
      <c r="X329" s="102"/>
      <c r="Y329" s="102"/>
      <c r="Z329" s="102">
        <v>10</v>
      </c>
      <c r="AA329" s="102"/>
      <c r="AB329" s="102"/>
      <c r="AC329" s="242">
        <f t="shared" si="45"/>
        <v>10</v>
      </c>
      <c r="AD329" s="102">
        <v>10</v>
      </c>
      <c r="AE329" s="102"/>
      <c r="AF329" s="102"/>
      <c r="AG329" s="102">
        <f t="shared" si="47"/>
        <v>10</v>
      </c>
      <c r="AH329" s="102"/>
      <c r="AI329" s="102">
        <v>10</v>
      </c>
      <c r="AJ329" s="102"/>
      <c r="AK329" s="102"/>
      <c r="AL329" s="102"/>
      <c r="AM329" s="102">
        <f t="shared" si="46"/>
        <v>10</v>
      </c>
      <c r="AN329" s="102"/>
      <c r="AO329" s="102"/>
      <c r="AP329" s="99"/>
    </row>
    <row r="330" spans="1:52" ht="48.75" customHeight="1" x14ac:dyDescent="0.25">
      <c r="A330" s="99">
        <v>2342</v>
      </c>
      <c r="B330" s="197" t="s">
        <v>704</v>
      </c>
      <c r="C330" s="240">
        <v>101272000</v>
      </c>
      <c r="D330" s="99">
        <v>21032347</v>
      </c>
      <c r="E330" s="99"/>
      <c r="F330" s="197" t="e">
        <f>VLOOKUP(D330,'rà soát ĐK'!B323:C773,2,0)</f>
        <v>#N/A</v>
      </c>
      <c r="G330" s="99"/>
      <c r="H330" s="99" t="s">
        <v>844</v>
      </c>
      <c r="I330" s="239">
        <v>112415177</v>
      </c>
      <c r="J330" s="239">
        <v>1066402959</v>
      </c>
      <c r="K330" s="197" t="s">
        <v>704</v>
      </c>
      <c r="L330" s="197" t="s">
        <v>527</v>
      </c>
      <c r="M330" s="197"/>
      <c r="N330" s="106">
        <v>46357</v>
      </c>
      <c r="O330" s="102"/>
      <c r="P330" s="102">
        <v>411</v>
      </c>
      <c r="Q330" s="102">
        <f t="shared" si="44"/>
        <v>411</v>
      </c>
      <c r="R330" s="102" t="s">
        <v>91</v>
      </c>
      <c r="S330" s="102" t="s">
        <v>90</v>
      </c>
      <c r="T330" s="102"/>
      <c r="U330" s="102" t="s">
        <v>90</v>
      </c>
      <c r="V330" s="102" t="s">
        <v>111</v>
      </c>
      <c r="W330" s="102"/>
      <c r="X330" s="102"/>
      <c r="Y330" s="102"/>
      <c r="Z330" s="102">
        <v>12</v>
      </c>
      <c r="AA330" s="102"/>
      <c r="AB330" s="102"/>
      <c r="AC330" s="242">
        <f t="shared" si="45"/>
        <v>12</v>
      </c>
      <c r="AD330" s="102">
        <v>12</v>
      </c>
      <c r="AE330" s="102"/>
      <c r="AF330" s="102"/>
      <c r="AG330" s="102">
        <f t="shared" si="47"/>
        <v>12</v>
      </c>
      <c r="AH330" s="102"/>
      <c r="AI330" s="102">
        <v>12</v>
      </c>
      <c r="AJ330" s="102"/>
      <c r="AK330" s="102"/>
      <c r="AL330" s="102"/>
      <c r="AM330" s="102">
        <f t="shared" si="46"/>
        <v>12</v>
      </c>
      <c r="AN330" s="102" t="s">
        <v>185</v>
      </c>
      <c r="AO330" s="102">
        <v>3</v>
      </c>
      <c r="AP330" s="99"/>
    </row>
    <row r="331" spans="1:52" ht="39" customHeight="1" x14ac:dyDescent="0.25">
      <c r="A331" s="99">
        <v>2343</v>
      </c>
      <c r="B331" s="197" t="s">
        <v>706</v>
      </c>
      <c r="C331" s="240">
        <v>101275000</v>
      </c>
      <c r="D331" s="99">
        <v>22425324</v>
      </c>
      <c r="E331" s="99"/>
      <c r="F331" s="197" t="str">
        <f>VLOOKUP(D331,'rà soát ĐK'!B324:C774,2,0)</f>
        <v>PB04090029018</v>
      </c>
      <c r="G331" s="99" t="s">
        <v>2750</v>
      </c>
      <c r="H331" s="99" t="s">
        <v>845</v>
      </c>
      <c r="I331" s="239">
        <v>112416645</v>
      </c>
      <c r="J331" s="239">
        <v>1066392763</v>
      </c>
      <c r="K331" s="197" t="s">
        <v>706</v>
      </c>
      <c r="L331" s="197" t="s">
        <v>527</v>
      </c>
      <c r="M331" s="197"/>
      <c r="N331" s="106">
        <v>46143</v>
      </c>
      <c r="O331" s="102"/>
      <c r="P331" s="102">
        <v>202</v>
      </c>
      <c r="Q331" s="102">
        <f t="shared" si="44"/>
        <v>202</v>
      </c>
      <c r="R331" s="102" t="s">
        <v>91</v>
      </c>
      <c r="S331" s="102" t="s">
        <v>90</v>
      </c>
      <c r="T331" s="102"/>
      <c r="U331" s="102" t="s">
        <v>90</v>
      </c>
      <c r="V331" s="102" t="s">
        <v>111</v>
      </c>
      <c r="W331" s="102"/>
      <c r="X331" s="102"/>
      <c r="Y331" s="102"/>
      <c r="Z331" s="102">
        <v>5</v>
      </c>
      <c r="AA331" s="102"/>
      <c r="AB331" s="102"/>
      <c r="AC331" s="242">
        <f t="shared" si="45"/>
        <v>5</v>
      </c>
      <c r="AD331" s="102">
        <v>5</v>
      </c>
      <c r="AE331" s="102"/>
      <c r="AF331" s="102"/>
      <c r="AG331" s="102">
        <f t="shared" si="47"/>
        <v>5</v>
      </c>
      <c r="AH331" s="102"/>
      <c r="AI331" s="102">
        <v>5</v>
      </c>
      <c r="AJ331" s="102"/>
      <c r="AK331" s="102"/>
      <c r="AL331" s="102"/>
      <c r="AM331" s="102">
        <f t="shared" si="46"/>
        <v>5</v>
      </c>
      <c r="AN331" s="102" t="s">
        <v>93</v>
      </c>
      <c r="AO331" s="102">
        <v>3</v>
      </c>
      <c r="AP331" s="99"/>
    </row>
    <row r="332" spans="1:52" ht="39" customHeight="1" x14ac:dyDescent="0.25">
      <c r="A332" s="99">
        <v>2343</v>
      </c>
      <c r="B332" s="197"/>
      <c r="C332" s="242"/>
      <c r="D332" s="99"/>
      <c r="E332" s="99"/>
      <c r="F332" s="197"/>
      <c r="G332" s="99"/>
      <c r="H332" s="99"/>
      <c r="I332" s="197"/>
      <c r="J332" s="197"/>
      <c r="K332" s="197" t="s">
        <v>706</v>
      </c>
      <c r="L332" s="197" t="s">
        <v>527</v>
      </c>
      <c r="M332" s="197"/>
      <c r="N332" s="106">
        <v>46143</v>
      </c>
      <c r="O332" s="102"/>
      <c r="P332" s="102">
        <v>155</v>
      </c>
      <c r="Q332" s="102">
        <f t="shared" si="44"/>
        <v>155</v>
      </c>
      <c r="R332" s="102"/>
      <c r="S332" s="102"/>
      <c r="T332" s="102"/>
      <c r="U332" s="102"/>
      <c r="V332" s="102" t="s">
        <v>111</v>
      </c>
      <c r="W332" s="102"/>
      <c r="X332" s="102"/>
      <c r="Y332" s="102"/>
      <c r="Z332" s="102">
        <v>5</v>
      </c>
      <c r="AA332" s="102"/>
      <c r="AB332" s="102"/>
      <c r="AC332" s="242">
        <f t="shared" si="45"/>
        <v>5</v>
      </c>
      <c r="AD332" s="102">
        <v>5</v>
      </c>
      <c r="AE332" s="102"/>
      <c r="AF332" s="102"/>
      <c r="AG332" s="102">
        <f t="shared" si="47"/>
        <v>5</v>
      </c>
      <c r="AH332" s="102"/>
      <c r="AI332" s="102">
        <v>5</v>
      </c>
      <c r="AJ332" s="102"/>
      <c r="AK332" s="102"/>
      <c r="AL332" s="102"/>
      <c r="AM332" s="102">
        <f t="shared" si="46"/>
        <v>5</v>
      </c>
      <c r="AN332" s="102"/>
      <c r="AO332" s="102"/>
      <c r="AP332" s="99"/>
    </row>
    <row r="333" spans="1:52" ht="39" customHeight="1" x14ac:dyDescent="0.25">
      <c r="A333" s="99">
        <v>2343</v>
      </c>
      <c r="B333" s="197" t="s">
        <v>708</v>
      </c>
      <c r="C333" s="240">
        <v>101281000</v>
      </c>
      <c r="D333" s="99">
        <v>1611082587</v>
      </c>
      <c r="E333" s="99"/>
      <c r="F333" s="197" t="str">
        <f>VLOOKUP(D333,'rà soát ĐK'!B326:C776,2,0)</f>
        <v>PB04090029017</v>
      </c>
      <c r="G333" s="99" t="s">
        <v>2741</v>
      </c>
      <c r="H333" s="99" t="s">
        <v>846</v>
      </c>
      <c r="I333" s="239">
        <v>112355598</v>
      </c>
      <c r="J333" s="239">
        <v>1066399919</v>
      </c>
      <c r="K333" s="197" t="s">
        <v>706</v>
      </c>
      <c r="L333" s="197" t="s">
        <v>527</v>
      </c>
      <c r="M333" s="197"/>
      <c r="N333" s="106">
        <v>46357</v>
      </c>
      <c r="O333" s="102"/>
      <c r="P333" s="102">
        <v>454</v>
      </c>
      <c r="Q333" s="102">
        <f t="shared" si="44"/>
        <v>454</v>
      </c>
      <c r="R333" s="102" t="s">
        <v>91</v>
      </c>
      <c r="S333" s="102" t="s">
        <v>90</v>
      </c>
      <c r="T333" s="102"/>
      <c r="U333" s="102" t="s">
        <v>90</v>
      </c>
      <c r="V333" s="102" t="s">
        <v>111</v>
      </c>
      <c r="W333" s="102"/>
      <c r="X333" s="102"/>
      <c r="Y333" s="102"/>
      <c r="Z333" s="102"/>
      <c r="AA333" s="102">
        <v>12</v>
      </c>
      <c r="AB333" s="102"/>
      <c r="AC333" s="242">
        <f t="shared" si="45"/>
        <v>12</v>
      </c>
      <c r="AD333" s="102">
        <v>12</v>
      </c>
      <c r="AE333" s="102"/>
      <c r="AF333" s="102"/>
      <c r="AG333" s="102">
        <f t="shared" si="47"/>
        <v>12</v>
      </c>
      <c r="AH333" s="102"/>
      <c r="AI333" s="102">
        <v>12</v>
      </c>
      <c r="AJ333" s="102"/>
      <c r="AK333" s="102"/>
      <c r="AL333" s="102"/>
      <c r="AM333" s="102">
        <f t="shared" si="46"/>
        <v>12</v>
      </c>
      <c r="AN333" s="102" t="s">
        <v>93</v>
      </c>
      <c r="AO333" s="102">
        <v>3</v>
      </c>
      <c r="AP333" s="99"/>
    </row>
    <row r="334" spans="1:52" ht="48.75" customHeight="1" x14ac:dyDescent="0.25">
      <c r="A334" s="99">
        <v>2344</v>
      </c>
      <c r="B334" s="197" t="s">
        <v>710</v>
      </c>
      <c r="C334" s="240">
        <v>101278000</v>
      </c>
      <c r="D334" s="99">
        <v>1511290711</v>
      </c>
      <c r="E334" s="99"/>
      <c r="F334" s="197" t="e">
        <f>VLOOKUP(D334,'rà soát ĐK'!B327:C777,2,0)</f>
        <v>#N/A</v>
      </c>
      <c r="G334" s="99"/>
      <c r="H334" s="99" t="s">
        <v>847</v>
      </c>
      <c r="I334" s="239">
        <v>112369921</v>
      </c>
      <c r="J334" s="239">
        <v>1066399388</v>
      </c>
      <c r="K334" s="197" t="s">
        <v>710</v>
      </c>
      <c r="L334" s="197" t="s">
        <v>527</v>
      </c>
      <c r="M334" s="197"/>
      <c r="N334" s="106">
        <v>46174</v>
      </c>
      <c r="O334" s="102"/>
      <c r="P334" s="102">
        <v>375</v>
      </c>
      <c r="Q334" s="102">
        <f t="shared" si="44"/>
        <v>375</v>
      </c>
      <c r="R334" s="102" t="s">
        <v>91</v>
      </c>
      <c r="S334" s="102" t="s">
        <v>90</v>
      </c>
      <c r="T334" s="102"/>
      <c r="U334" s="102" t="s">
        <v>90</v>
      </c>
      <c r="V334" s="102" t="s">
        <v>111</v>
      </c>
      <c r="W334" s="102"/>
      <c r="X334" s="102"/>
      <c r="Y334" s="102"/>
      <c r="Z334" s="102">
        <v>6</v>
      </c>
      <c r="AA334" s="102"/>
      <c r="AB334" s="102"/>
      <c r="AC334" s="242">
        <f t="shared" si="45"/>
        <v>6</v>
      </c>
      <c r="AD334" s="102">
        <v>6</v>
      </c>
      <c r="AE334" s="102"/>
      <c r="AF334" s="102"/>
      <c r="AG334" s="102">
        <f t="shared" si="47"/>
        <v>6</v>
      </c>
      <c r="AH334" s="102"/>
      <c r="AI334" s="102">
        <v>6</v>
      </c>
      <c r="AJ334" s="102"/>
      <c r="AK334" s="102"/>
      <c r="AL334" s="102"/>
      <c r="AM334" s="102">
        <f t="shared" si="46"/>
        <v>6</v>
      </c>
      <c r="AN334" s="102" t="s">
        <v>185</v>
      </c>
      <c r="AO334" s="102">
        <v>3</v>
      </c>
      <c r="AP334" s="99"/>
    </row>
    <row r="335" spans="1:52" ht="39" customHeight="1" x14ac:dyDescent="0.25">
      <c r="A335" s="99">
        <v>2345</v>
      </c>
      <c r="B335" s="197"/>
      <c r="C335" s="242"/>
      <c r="D335" s="99"/>
      <c r="E335" s="99"/>
      <c r="F335" s="197"/>
      <c r="G335" s="99"/>
      <c r="H335" s="99"/>
      <c r="I335" s="197"/>
      <c r="J335" s="197"/>
      <c r="K335" s="197" t="s">
        <v>712</v>
      </c>
      <c r="L335" s="197" t="s">
        <v>527</v>
      </c>
      <c r="M335" s="197"/>
      <c r="N335" s="106">
        <v>46296</v>
      </c>
      <c r="O335" s="102"/>
      <c r="P335" s="102">
        <v>400</v>
      </c>
      <c r="Q335" s="102">
        <f t="shared" si="44"/>
        <v>400</v>
      </c>
      <c r="R335" s="102" t="s">
        <v>91</v>
      </c>
      <c r="S335" s="102"/>
      <c r="T335" s="102"/>
      <c r="U335" s="102"/>
      <c r="V335" s="102" t="s">
        <v>111</v>
      </c>
      <c r="W335" s="102"/>
      <c r="X335" s="102"/>
      <c r="Y335" s="102"/>
      <c r="Z335" s="102"/>
      <c r="AA335" s="102">
        <v>10</v>
      </c>
      <c r="AB335" s="102"/>
      <c r="AC335" s="242">
        <f t="shared" si="45"/>
        <v>10</v>
      </c>
      <c r="AD335" s="102">
        <v>10</v>
      </c>
      <c r="AE335" s="102"/>
      <c r="AF335" s="102"/>
      <c r="AG335" s="102">
        <f t="shared" si="47"/>
        <v>10</v>
      </c>
      <c r="AH335" s="102"/>
      <c r="AI335" s="102">
        <v>10</v>
      </c>
      <c r="AJ335" s="102"/>
      <c r="AK335" s="102"/>
      <c r="AL335" s="102"/>
      <c r="AM335" s="102">
        <f t="shared" si="46"/>
        <v>10</v>
      </c>
      <c r="AN335" s="102"/>
      <c r="AO335" s="102"/>
      <c r="AP335" s="99"/>
    </row>
    <row r="336" spans="1:52" ht="39" customHeight="1" x14ac:dyDescent="0.25">
      <c r="A336" s="99">
        <v>2346</v>
      </c>
      <c r="B336" s="197" t="s">
        <v>713</v>
      </c>
      <c r="C336" s="240">
        <v>101284000</v>
      </c>
      <c r="D336" s="99">
        <v>221100363381</v>
      </c>
      <c r="E336" s="99"/>
      <c r="F336" s="197" t="str">
        <f>VLOOKUP(D336,'rà soát ĐK'!B329:C779,2,0)</f>
        <v>PB04090029016</v>
      </c>
      <c r="G336" s="99" t="s">
        <v>2727</v>
      </c>
      <c r="H336" s="99" t="s">
        <v>848</v>
      </c>
      <c r="I336" s="239">
        <v>112330397</v>
      </c>
      <c r="J336" s="239">
        <v>1066360942</v>
      </c>
      <c r="K336" s="197" t="s">
        <v>713</v>
      </c>
      <c r="L336" s="197" t="s">
        <v>527</v>
      </c>
      <c r="M336" s="197"/>
      <c r="N336" s="102" t="s">
        <v>603</v>
      </c>
      <c r="O336" s="102"/>
      <c r="P336" s="102">
        <v>432</v>
      </c>
      <c r="Q336" s="102">
        <f t="shared" si="44"/>
        <v>432</v>
      </c>
      <c r="R336" s="102" t="s">
        <v>91</v>
      </c>
      <c r="S336" s="102" t="s">
        <v>90</v>
      </c>
      <c r="T336" s="102"/>
      <c r="U336" s="102" t="s">
        <v>90</v>
      </c>
      <c r="V336" s="102" t="s">
        <v>111</v>
      </c>
      <c r="W336" s="102"/>
      <c r="X336" s="102"/>
      <c r="Y336" s="102"/>
      <c r="Z336" s="102"/>
      <c r="AA336" s="102">
        <v>14</v>
      </c>
      <c r="AB336" s="102"/>
      <c r="AC336" s="242">
        <f t="shared" si="45"/>
        <v>14</v>
      </c>
      <c r="AD336" s="102">
        <v>14</v>
      </c>
      <c r="AE336" s="102"/>
      <c r="AF336" s="102"/>
      <c r="AG336" s="102">
        <f t="shared" si="47"/>
        <v>14</v>
      </c>
      <c r="AH336" s="102"/>
      <c r="AI336" s="102">
        <v>14</v>
      </c>
      <c r="AJ336" s="102"/>
      <c r="AK336" s="102"/>
      <c r="AL336" s="102"/>
      <c r="AM336" s="102">
        <f t="shared" si="46"/>
        <v>14</v>
      </c>
      <c r="AN336" s="102" t="s">
        <v>93</v>
      </c>
      <c r="AO336" s="102">
        <v>3</v>
      </c>
      <c r="AP336" s="99"/>
    </row>
    <row r="337" spans="1:52" ht="48.75" customHeight="1" x14ac:dyDescent="0.25">
      <c r="A337" s="99">
        <v>2347</v>
      </c>
      <c r="B337" s="197" t="s">
        <v>715</v>
      </c>
      <c r="C337" s="240">
        <v>101191000</v>
      </c>
      <c r="D337" s="99">
        <v>21039944</v>
      </c>
      <c r="E337" s="99"/>
      <c r="F337" s="197" t="e">
        <f>VLOOKUP(D337,'rà soát ĐK'!B330:C780,2,0)</f>
        <v>#N/A</v>
      </c>
      <c r="G337" s="99"/>
      <c r="H337" s="99" t="s">
        <v>849</v>
      </c>
      <c r="I337" s="239">
        <v>112945498</v>
      </c>
      <c r="J337" s="239">
        <v>1066311</v>
      </c>
      <c r="K337" s="197" t="s">
        <v>715</v>
      </c>
      <c r="L337" s="197" t="s">
        <v>527</v>
      </c>
      <c r="M337" s="197"/>
      <c r="N337" s="104" t="s">
        <v>588</v>
      </c>
      <c r="O337" s="102"/>
      <c r="P337" s="102">
        <v>183</v>
      </c>
      <c r="Q337" s="102">
        <f t="shared" si="44"/>
        <v>183</v>
      </c>
      <c r="R337" s="102"/>
      <c r="S337" s="102" t="s">
        <v>90</v>
      </c>
      <c r="T337" s="102"/>
      <c r="U337" s="102" t="s">
        <v>90</v>
      </c>
      <c r="V337" s="102"/>
      <c r="W337" s="102"/>
      <c r="X337" s="102"/>
      <c r="Y337" s="102"/>
      <c r="Z337" s="102"/>
      <c r="AA337" s="102">
        <v>7</v>
      </c>
      <c r="AB337" s="102"/>
      <c r="AC337" s="242">
        <f t="shared" si="45"/>
        <v>7</v>
      </c>
      <c r="AD337" s="102">
        <v>7</v>
      </c>
      <c r="AE337" s="102"/>
      <c r="AF337" s="102"/>
      <c r="AG337" s="102">
        <f t="shared" si="47"/>
        <v>7</v>
      </c>
      <c r="AH337" s="102"/>
      <c r="AI337" s="102">
        <v>7</v>
      </c>
      <c r="AJ337" s="102"/>
      <c r="AK337" s="102"/>
      <c r="AL337" s="102"/>
      <c r="AM337" s="102">
        <f t="shared" si="46"/>
        <v>7</v>
      </c>
      <c r="AN337" s="102" t="s">
        <v>93</v>
      </c>
      <c r="AO337" s="102">
        <v>3</v>
      </c>
      <c r="AP337" s="99"/>
    </row>
    <row r="338" spans="1:52" ht="39" customHeight="1" x14ac:dyDescent="0.25">
      <c r="A338" s="99">
        <v>2348</v>
      </c>
      <c r="B338" s="197" t="s">
        <v>717</v>
      </c>
      <c r="C338" s="240">
        <v>101248000</v>
      </c>
      <c r="D338" s="99">
        <v>21081929</v>
      </c>
      <c r="E338" s="99"/>
      <c r="F338" s="197" t="str">
        <f>VLOOKUP(D338,'rà soát ĐK'!B331:C781,2,0)</f>
        <v>PB04090032542</v>
      </c>
      <c r="G338" s="99" t="s">
        <v>2573</v>
      </c>
      <c r="H338" s="99" t="s">
        <v>850</v>
      </c>
      <c r="I338" s="239">
        <v>113142843</v>
      </c>
      <c r="J338" s="239">
        <v>1066579435</v>
      </c>
      <c r="K338" s="197" t="s">
        <v>717</v>
      </c>
      <c r="L338" s="197" t="s">
        <v>527</v>
      </c>
      <c r="M338" s="197"/>
      <c r="N338" s="104" t="s">
        <v>719</v>
      </c>
      <c r="O338" s="102"/>
      <c r="P338" s="102">
        <v>582</v>
      </c>
      <c r="Q338" s="102">
        <f t="shared" si="44"/>
        <v>582</v>
      </c>
      <c r="R338" s="102"/>
      <c r="S338" s="102" t="s">
        <v>90</v>
      </c>
      <c r="T338" s="102"/>
      <c r="U338" s="102" t="s">
        <v>90</v>
      </c>
      <c r="V338" s="102"/>
      <c r="W338" s="102"/>
      <c r="X338" s="102"/>
      <c r="Y338" s="102"/>
      <c r="Z338" s="102"/>
      <c r="AA338" s="102">
        <v>16</v>
      </c>
      <c r="AB338" s="102"/>
      <c r="AC338" s="242">
        <f t="shared" si="45"/>
        <v>16</v>
      </c>
      <c r="AD338" s="102">
        <v>16</v>
      </c>
      <c r="AE338" s="102"/>
      <c r="AF338" s="102"/>
      <c r="AG338" s="102">
        <f t="shared" si="47"/>
        <v>16</v>
      </c>
      <c r="AH338" s="102"/>
      <c r="AI338" s="102">
        <v>16</v>
      </c>
      <c r="AJ338" s="102"/>
      <c r="AK338" s="102"/>
      <c r="AL338" s="102"/>
      <c r="AM338" s="102">
        <f t="shared" si="46"/>
        <v>16</v>
      </c>
      <c r="AN338" s="102" t="s">
        <v>93</v>
      </c>
      <c r="AO338" s="102">
        <v>3</v>
      </c>
      <c r="AP338" s="99"/>
    </row>
    <row r="339" spans="1:52" ht="39" customHeight="1" x14ac:dyDescent="0.25">
      <c r="A339" s="99">
        <v>2349</v>
      </c>
      <c r="B339" s="197" t="s">
        <v>720</v>
      </c>
      <c r="C339" s="240">
        <v>101298000</v>
      </c>
      <c r="D339" s="99">
        <v>2020117931</v>
      </c>
      <c r="E339" s="99"/>
      <c r="F339" s="197" t="str">
        <f>VLOOKUP(D339,'rà soát ĐK'!B332:C782,2,0)</f>
        <v>PE19000004495</v>
      </c>
      <c r="G339" s="99" t="s">
        <v>2528</v>
      </c>
      <c r="H339" s="99" t="s">
        <v>836</v>
      </c>
      <c r="I339" s="239">
        <v>112867935</v>
      </c>
      <c r="J339" s="239">
        <v>1066376391</v>
      </c>
      <c r="K339" s="197" t="s">
        <v>722</v>
      </c>
      <c r="L339" s="197" t="s">
        <v>527</v>
      </c>
      <c r="M339" s="197"/>
      <c r="N339" s="104" t="s">
        <v>555</v>
      </c>
      <c r="O339" s="102"/>
      <c r="P339" s="102">
        <v>475</v>
      </c>
      <c r="Q339" s="102">
        <f t="shared" si="44"/>
        <v>475</v>
      </c>
      <c r="R339" s="102" t="s">
        <v>90</v>
      </c>
      <c r="S339" s="102"/>
      <c r="T339" s="102"/>
      <c r="U339" s="102" t="s">
        <v>90</v>
      </c>
      <c r="V339" s="102"/>
      <c r="W339" s="102"/>
      <c r="X339" s="102"/>
      <c r="Y339" s="102"/>
      <c r="Z339" s="102"/>
      <c r="AA339" s="102">
        <v>12</v>
      </c>
      <c r="AB339" s="102"/>
      <c r="AC339" s="242">
        <f t="shared" si="45"/>
        <v>12</v>
      </c>
      <c r="AD339" s="102">
        <v>12</v>
      </c>
      <c r="AE339" s="102"/>
      <c r="AF339" s="102"/>
      <c r="AG339" s="102">
        <f t="shared" si="47"/>
        <v>12</v>
      </c>
      <c r="AH339" s="102">
        <v>12</v>
      </c>
      <c r="AI339" s="102"/>
      <c r="AJ339" s="102"/>
      <c r="AK339" s="102"/>
      <c r="AL339" s="102"/>
      <c r="AM339" s="102">
        <f t="shared" si="46"/>
        <v>12</v>
      </c>
      <c r="AN339" s="102" t="s">
        <v>93</v>
      </c>
      <c r="AO339" s="102">
        <v>3</v>
      </c>
      <c r="AP339" s="99"/>
    </row>
    <row r="340" spans="1:52" ht="39" customHeight="1" x14ac:dyDescent="0.25">
      <c r="A340" s="99">
        <v>2349</v>
      </c>
      <c r="B340" s="197" t="s">
        <v>723</v>
      </c>
      <c r="C340" s="240">
        <v>101294000</v>
      </c>
      <c r="D340" s="99">
        <v>1511024323</v>
      </c>
      <c r="E340" s="99"/>
      <c r="F340" s="197" t="str">
        <f>VLOOKUP(D340,'rà soát ĐK'!B333:C783,2,0)</f>
        <v>PB04090027246</v>
      </c>
      <c r="G340" s="99" t="s">
        <v>2512</v>
      </c>
      <c r="H340" s="99" t="s">
        <v>851</v>
      </c>
      <c r="I340" s="239">
        <v>11305212</v>
      </c>
      <c r="J340" s="239">
        <v>1066647185</v>
      </c>
      <c r="K340" s="197" t="s">
        <v>722</v>
      </c>
      <c r="L340" s="197" t="s">
        <v>527</v>
      </c>
      <c r="M340" s="197"/>
      <c r="N340" s="99" t="str">
        <f>1&amp;"-"&amp;AC340</f>
        <v>1-13</v>
      </c>
      <c r="O340" s="102"/>
      <c r="P340" s="102">
        <v>432</v>
      </c>
      <c r="Q340" s="102">
        <f t="shared" si="44"/>
        <v>432</v>
      </c>
      <c r="R340" s="102"/>
      <c r="S340" s="102" t="s">
        <v>90</v>
      </c>
      <c r="T340" s="102"/>
      <c r="U340" s="102" t="s">
        <v>90</v>
      </c>
      <c r="V340" s="102"/>
      <c r="W340" s="102"/>
      <c r="X340" s="102"/>
      <c r="Y340" s="102"/>
      <c r="Z340" s="102"/>
      <c r="AA340" s="102">
        <v>13</v>
      </c>
      <c r="AB340" s="102"/>
      <c r="AC340" s="242">
        <f t="shared" si="45"/>
        <v>13</v>
      </c>
      <c r="AD340" s="102">
        <v>13</v>
      </c>
      <c r="AE340" s="102"/>
      <c r="AF340" s="102"/>
      <c r="AG340" s="102">
        <f t="shared" si="47"/>
        <v>13</v>
      </c>
      <c r="AH340" s="102">
        <v>13</v>
      </c>
      <c r="AI340" s="102"/>
      <c r="AJ340" s="102"/>
      <c r="AK340" s="102"/>
      <c r="AL340" s="102"/>
      <c r="AM340" s="102"/>
      <c r="AN340" s="102" t="s">
        <v>93</v>
      </c>
      <c r="AO340" s="102">
        <v>3</v>
      </c>
      <c r="AP340" s="99"/>
    </row>
    <row r="341" spans="1:52" s="105" customFormat="1" ht="28.5" customHeight="1" x14ac:dyDescent="0.25">
      <c r="A341" s="99">
        <v>2349</v>
      </c>
      <c r="B341" s="197" t="s">
        <v>725</v>
      </c>
      <c r="C341" s="240">
        <v>101295000</v>
      </c>
      <c r="D341" s="99">
        <v>221100065778</v>
      </c>
      <c r="E341" s="99"/>
      <c r="F341" s="197" t="str">
        <f>VLOOKUP(D341,'rà soát ĐK'!B334:C784,2,0)</f>
        <v>PB04090027245</v>
      </c>
      <c r="G341" s="99" t="s">
        <v>2538</v>
      </c>
      <c r="H341" s="99" t="s">
        <v>852</v>
      </c>
      <c r="I341" s="239">
        <v>113045578</v>
      </c>
      <c r="J341" s="239">
        <v>1066688608</v>
      </c>
      <c r="K341" s="197" t="s">
        <v>722</v>
      </c>
      <c r="L341" s="197" t="s">
        <v>527</v>
      </c>
      <c r="M341" s="197"/>
      <c r="N341" s="104" t="s">
        <v>727</v>
      </c>
      <c r="O341" s="102"/>
      <c r="P341" s="102">
        <f>1528-P317</f>
        <v>989</v>
      </c>
      <c r="Q341" s="102">
        <f t="shared" si="44"/>
        <v>989</v>
      </c>
      <c r="R341" s="102"/>
      <c r="S341" s="102" t="s">
        <v>90</v>
      </c>
      <c r="T341" s="102"/>
      <c r="U341" s="102" t="s">
        <v>90</v>
      </c>
      <c r="V341" s="102"/>
      <c r="W341" s="102"/>
      <c r="X341" s="102"/>
      <c r="Y341" s="102"/>
      <c r="Z341" s="102"/>
      <c r="AA341" s="102">
        <v>29</v>
      </c>
      <c r="AB341" s="102"/>
      <c r="AC341" s="242">
        <f t="shared" si="45"/>
        <v>29</v>
      </c>
      <c r="AD341" s="102">
        <v>29</v>
      </c>
      <c r="AE341" s="102"/>
      <c r="AF341" s="102"/>
      <c r="AG341" s="102">
        <f t="shared" si="47"/>
        <v>29</v>
      </c>
      <c r="AH341" s="102">
        <v>29</v>
      </c>
      <c r="AI341" s="102"/>
      <c r="AJ341" s="102"/>
      <c r="AK341" s="102"/>
      <c r="AL341" s="102"/>
      <c r="AM341" s="102">
        <f t="shared" ref="AM341:AM380" si="48">SUM(AH341:AL341)</f>
        <v>29</v>
      </c>
      <c r="AN341" s="102" t="s">
        <v>93</v>
      </c>
      <c r="AO341" s="102">
        <v>3</v>
      </c>
      <c r="AP341" s="99"/>
      <c r="AQ341" s="90"/>
      <c r="AR341" s="90"/>
      <c r="AS341" s="90"/>
      <c r="AT341" s="90"/>
      <c r="AU341" s="90"/>
      <c r="AV341" s="90"/>
      <c r="AW341" s="90"/>
      <c r="AX341" s="90"/>
      <c r="AY341" s="90"/>
      <c r="AZ341" s="90"/>
    </row>
    <row r="342" spans="1:52" ht="39" customHeight="1" x14ac:dyDescent="0.25">
      <c r="A342" s="111">
        <v>2350</v>
      </c>
      <c r="B342" s="248" t="s">
        <v>728</v>
      </c>
      <c r="C342" s="241">
        <v>101146000</v>
      </c>
      <c r="D342" s="111"/>
      <c r="E342" s="111"/>
      <c r="F342" s="197"/>
      <c r="G342" s="111"/>
      <c r="H342" s="111" t="s">
        <v>853</v>
      </c>
      <c r="I342" s="253">
        <v>112938273</v>
      </c>
      <c r="J342" s="253">
        <v>1066645566</v>
      </c>
      <c r="K342" s="248" t="s">
        <v>729</v>
      </c>
      <c r="L342" s="248" t="s">
        <v>527</v>
      </c>
      <c r="M342" s="248" t="s">
        <v>730</v>
      </c>
      <c r="N342" s="113" t="s">
        <v>584</v>
      </c>
      <c r="O342" s="113"/>
      <c r="P342" s="113">
        <v>435</v>
      </c>
      <c r="Q342" s="113">
        <f t="shared" si="44"/>
        <v>435</v>
      </c>
      <c r="R342" s="113" t="s">
        <v>91</v>
      </c>
      <c r="S342" s="113" t="s">
        <v>90</v>
      </c>
      <c r="T342" s="113"/>
      <c r="U342" s="113" t="s">
        <v>90</v>
      </c>
      <c r="V342" s="113" t="s">
        <v>111</v>
      </c>
      <c r="W342" s="113"/>
      <c r="X342" s="113"/>
      <c r="Y342" s="113"/>
      <c r="Z342" s="113"/>
      <c r="AA342" s="113">
        <v>13</v>
      </c>
      <c r="AB342" s="113"/>
      <c r="AC342" s="255">
        <f t="shared" si="45"/>
        <v>13</v>
      </c>
      <c r="AD342" s="113">
        <v>13</v>
      </c>
      <c r="AE342" s="113"/>
      <c r="AF342" s="113"/>
      <c r="AG342" s="113">
        <f t="shared" si="47"/>
        <v>13</v>
      </c>
      <c r="AH342" s="113"/>
      <c r="AI342" s="113">
        <v>13</v>
      </c>
      <c r="AJ342" s="113"/>
      <c r="AK342" s="113"/>
      <c r="AL342" s="113"/>
      <c r="AM342" s="113">
        <f t="shared" si="48"/>
        <v>13</v>
      </c>
      <c r="AN342" s="113" t="s">
        <v>93</v>
      </c>
      <c r="AO342" s="113">
        <v>3</v>
      </c>
      <c r="AP342" s="111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</row>
    <row r="343" spans="1:52" ht="39" customHeight="1" x14ac:dyDescent="0.25">
      <c r="A343" s="99">
        <v>2350</v>
      </c>
      <c r="B343" s="197" t="s">
        <v>731</v>
      </c>
      <c r="C343" s="240">
        <v>101147000</v>
      </c>
      <c r="D343" s="99">
        <v>221100046703</v>
      </c>
      <c r="E343" s="99"/>
      <c r="F343" s="197" t="str">
        <f>VLOOKUP(D343,'rà soát ĐK'!B336:C786,2,0)</f>
        <v>PB04090032536</v>
      </c>
      <c r="G343" s="99" t="s">
        <v>2515</v>
      </c>
      <c r="H343" s="99" t="s">
        <v>854</v>
      </c>
      <c r="I343" s="239">
        <v>113036932</v>
      </c>
      <c r="J343" s="239">
        <v>1066635809</v>
      </c>
      <c r="K343" s="197" t="s">
        <v>729</v>
      </c>
      <c r="L343" s="197" t="s">
        <v>527</v>
      </c>
      <c r="M343" s="197" t="s">
        <v>733</v>
      </c>
      <c r="N343" s="102" t="s">
        <v>580</v>
      </c>
      <c r="O343" s="102"/>
      <c r="P343" s="102">
        <v>664</v>
      </c>
      <c r="Q343" s="102">
        <f t="shared" si="44"/>
        <v>664</v>
      </c>
      <c r="R343" s="102" t="s">
        <v>91</v>
      </c>
      <c r="S343" s="102" t="s">
        <v>90</v>
      </c>
      <c r="T343" s="102"/>
      <c r="U343" s="102" t="s">
        <v>90</v>
      </c>
      <c r="V343" s="102" t="s">
        <v>111</v>
      </c>
      <c r="W343" s="102"/>
      <c r="X343" s="102"/>
      <c r="Y343" s="102"/>
      <c r="Z343" s="102"/>
      <c r="AA343" s="102">
        <v>20</v>
      </c>
      <c r="AB343" s="102"/>
      <c r="AC343" s="242">
        <f t="shared" si="45"/>
        <v>20</v>
      </c>
      <c r="AD343" s="102">
        <v>20</v>
      </c>
      <c r="AE343" s="102"/>
      <c r="AF343" s="102"/>
      <c r="AG343" s="102">
        <f t="shared" si="47"/>
        <v>20</v>
      </c>
      <c r="AH343" s="102"/>
      <c r="AI343" s="102">
        <v>20</v>
      </c>
      <c r="AJ343" s="102"/>
      <c r="AK343" s="102"/>
      <c r="AL343" s="102"/>
      <c r="AM343" s="102">
        <f t="shared" si="48"/>
        <v>20</v>
      </c>
      <c r="AN343" s="102" t="s">
        <v>93</v>
      </c>
      <c r="AO343" s="102">
        <v>3</v>
      </c>
      <c r="AP343" s="99"/>
    </row>
    <row r="344" spans="1:52" ht="39" customHeight="1" x14ac:dyDescent="0.25">
      <c r="A344" s="99">
        <v>2350</v>
      </c>
      <c r="B344" s="197" t="s">
        <v>729</v>
      </c>
      <c r="C344" s="240">
        <v>101145000</v>
      </c>
      <c r="D344" s="99">
        <v>1511221617</v>
      </c>
      <c r="E344" s="99"/>
      <c r="F344" s="197" t="str">
        <f>VLOOKUP(D344,'rà soát ĐK'!B337:C787,2,0)</f>
        <v>PB04090032538</v>
      </c>
      <c r="G344" s="99" t="s">
        <v>2557</v>
      </c>
      <c r="H344" s="99" t="s">
        <v>855</v>
      </c>
      <c r="I344" s="239">
        <v>112907664</v>
      </c>
      <c r="J344" s="239">
        <v>1066647388</v>
      </c>
      <c r="K344" s="197" t="s">
        <v>729</v>
      </c>
      <c r="L344" s="197" t="s">
        <v>527</v>
      </c>
      <c r="M344" s="197"/>
      <c r="N344" s="102" t="s">
        <v>727</v>
      </c>
      <c r="O344" s="102"/>
      <c r="P344" s="102">
        <v>1119</v>
      </c>
      <c r="Q344" s="102">
        <f t="shared" si="44"/>
        <v>1119</v>
      </c>
      <c r="R344" s="102" t="s">
        <v>91</v>
      </c>
      <c r="S344" s="102" t="s">
        <v>90</v>
      </c>
      <c r="T344" s="102"/>
      <c r="U344" s="102" t="s">
        <v>90</v>
      </c>
      <c r="V344" s="102" t="s">
        <v>111</v>
      </c>
      <c r="W344" s="102"/>
      <c r="X344" s="102"/>
      <c r="Y344" s="102"/>
      <c r="Z344" s="102"/>
      <c r="AA344" s="102">
        <v>29</v>
      </c>
      <c r="AB344" s="102"/>
      <c r="AC344" s="242">
        <f t="shared" si="45"/>
        <v>29</v>
      </c>
      <c r="AD344" s="102">
        <v>29</v>
      </c>
      <c r="AE344" s="102"/>
      <c r="AF344" s="102"/>
      <c r="AG344" s="102">
        <f t="shared" si="47"/>
        <v>29</v>
      </c>
      <c r="AH344" s="102"/>
      <c r="AI344" s="102">
        <v>29</v>
      </c>
      <c r="AJ344" s="102"/>
      <c r="AK344" s="102"/>
      <c r="AL344" s="102"/>
      <c r="AM344" s="102">
        <f t="shared" si="48"/>
        <v>29</v>
      </c>
      <c r="AN344" s="102" t="s">
        <v>93</v>
      </c>
      <c r="AO344" s="102">
        <v>3</v>
      </c>
      <c r="AP344" s="99"/>
    </row>
    <row r="345" spans="1:52" ht="48.75" customHeight="1" x14ac:dyDescent="0.25">
      <c r="A345" s="99">
        <v>2351</v>
      </c>
      <c r="B345" s="197" t="s">
        <v>735</v>
      </c>
      <c r="C345" s="240">
        <v>101155000</v>
      </c>
      <c r="D345" s="99">
        <v>241200228607</v>
      </c>
      <c r="E345" s="99"/>
      <c r="F345" s="197" t="e">
        <f>VLOOKUP(D345,'rà soát ĐK'!B338:C788,2,0)</f>
        <v>#N/A</v>
      </c>
      <c r="G345" s="99"/>
      <c r="H345" s="99" t="s">
        <v>856</v>
      </c>
      <c r="I345" s="239">
        <v>112636789</v>
      </c>
      <c r="J345" s="239">
        <v>1066149817</v>
      </c>
      <c r="K345" s="197" t="s">
        <v>735</v>
      </c>
      <c r="L345" s="197" t="s">
        <v>527</v>
      </c>
      <c r="M345" s="197"/>
      <c r="N345" s="104" t="s">
        <v>580</v>
      </c>
      <c r="O345" s="102"/>
      <c r="P345" s="102">
        <v>668</v>
      </c>
      <c r="Q345" s="102">
        <f t="shared" si="44"/>
        <v>668</v>
      </c>
      <c r="R345" s="102"/>
      <c r="S345" s="102" t="s">
        <v>90</v>
      </c>
      <c r="T345" s="102"/>
      <c r="U345" s="102" t="s">
        <v>90</v>
      </c>
      <c r="V345" s="102"/>
      <c r="W345" s="102"/>
      <c r="X345" s="102"/>
      <c r="Y345" s="102"/>
      <c r="Z345" s="102"/>
      <c r="AA345" s="102">
        <v>20</v>
      </c>
      <c r="AB345" s="102"/>
      <c r="AC345" s="242">
        <f t="shared" si="45"/>
        <v>20</v>
      </c>
      <c r="AD345" s="102">
        <v>20</v>
      </c>
      <c r="AE345" s="102"/>
      <c r="AF345" s="102"/>
      <c r="AG345" s="102">
        <f t="shared" si="47"/>
        <v>20</v>
      </c>
      <c r="AH345" s="102"/>
      <c r="AI345" s="102">
        <v>20</v>
      </c>
      <c r="AJ345" s="102"/>
      <c r="AK345" s="102"/>
      <c r="AL345" s="102"/>
      <c r="AM345" s="102">
        <f t="shared" si="48"/>
        <v>20</v>
      </c>
      <c r="AN345" s="102" t="s">
        <v>93</v>
      </c>
      <c r="AO345" s="102">
        <v>3</v>
      </c>
      <c r="AP345" s="99"/>
    </row>
    <row r="346" spans="1:52" ht="48.75" customHeight="1" x14ac:dyDescent="0.25">
      <c r="A346" s="99">
        <v>2352</v>
      </c>
      <c r="B346" s="197" t="s">
        <v>737</v>
      </c>
      <c r="C346" s="240">
        <v>101288000</v>
      </c>
      <c r="D346" s="99">
        <v>21001204</v>
      </c>
      <c r="E346" s="99"/>
      <c r="F346" s="197" t="e">
        <f>VLOOKUP(D346,'rà soát ĐK'!B339:C789,2,0)</f>
        <v>#N/A</v>
      </c>
      <c r="G346" s="99"/>
      <c r="H346" s="99" t="s">
        <v>857</v>
      </c>
      <c r="I346" s="239">
        <v>112654794</v>
      </c>
      <c r="J346" s="239">
        <v>106644207</v>
      </c>
      <c r="K346" s="197" t="s">
        <v>737</v>
      </c>
      <c r="L346" s="197" t="s">
        <v>527</v>
      </c>
      <c r="M346" s="197"/>
      <c r="N346" s="104" t="s">
        <v>739</v>
      </c>
      <c r="O346" s="102"/>
      <c r="P346" s="102">
        <v>2537</v>
      </c>
      <c r="Q346" s="102">
        <f t="shared" si="44"/>
        <v>2537</v>
      </c>
      <c r="R346" s="102"/>
      <c r="S346" s="102" t="s">
        <v>90</v>
      </c>
      <c r="T346" s="102"/>
      <c r="U346" s="102" t="s">
        <v>90</v>
      </c>
      <c r="V346" s="102"/>
      <c r="W346" s="102"/>
      <c r="X346" s="102"/>
      <c r="Y346" s="102"/>
      <c r="Z346" s="102">
        <v>37</v>
      </c>
      <c r="AA346" s="102"/>
      <c r="AB346" s="102"/>
      <c r="AC346" s="242">
        <f t="shared" si="45"/>
        <v>37</v>
      </c>
      <c r="AD346" s="102">
        <v>37</v>
      </c>
      <c r="AE346" s="102"/>
      <c r="AF346" s="102"/>
      <c r="AG346" s="102">
        <f t="shared" si="47"/>
        <v>37</v>
      </c>
      <c r="AH346" s="102">
        <v>37</v>
      </c>
      <c r="AI346" s="102"/>
      <c r="AJ346" s="102"/>
      <c r="AK346" s="102"/>
      <c r="AL346" s="102"/>
      <c r="AM346" s="102">
        <f t="shared" si="48"/>
        <v>37</v>
      </c>
      <c r="AN346" s="102" t="s">
        <v>93</v>
      </c>
      <c r="AO346" s="102">
        <v>3</v>
      </c>
      <c r="AP346" s="99"/>
    </row>
    <row r="347" spans="1:52" ht="48.75" customHeight="1" x14ac:dyDescent="0.25">
      <c r="A347" s="99">
        <v>2352</v>
      </c>
      <c r="B347" s="197" t="s">
        <v>740</v>
      </c>
      <c r="C347" s="240">
        <v>102116000</v>
      </c>
      <c r="D347" s="99">
        <v>2321001413</v>
      </c>
      <c r="E347" s="99"/>
      <c r="F347" s="197" t="e">
        <f>VLOOKUP(D347,'rà soát ĐK'!B340:C790,2,0)</f>
        <v>#N/A</v>
      </c>
      <c r="G347" s="99"/>
      <c r="H347" s="99" t="s">
        <v>866</v>
      </c>
      <c r="I347" s="239">
        <v>112231117</v>
      </c>
      <c r="J347" s="239">
        <v>1066971128</v>
      </c>
      <c r="K347" s="197" t="s">
        <v>737</v>
      </c>
      <c r="L347" s="197" t="s">
        <v>527</v>
      </c>
      <c r="M347" s="197" t="s">
        <v>742</v>
      </c>
      <c r="N347" s="104" t="s">
        <v>528</v>
      </c>
      <c r="O347" s="102"/>
      <c r="P347" s="102">
        <v>2217</v>
      </c>
      <c r="Q347" s="102">
        <f t="shared" si="44"/>
        <v>2217</v>
      </c>
      <c r="R347" s="102"/>
      <c r="S347" s="102" t="s">
        <v>90</v>
      </c>
      <c r="T347" s="102"/>
      <c r="U347" s="102" t="s">
        <v>90</v>
      </c>
      <c r="V347" s="102"/>
      <c r="W347" s="102"/>
      <c r="X347" s="102"/>
      <c r="Y347" s="102"/>
      <c r="Z347" s="102">
        <v>23</v>
      </c>
      <c r="AA347" s="102">
        <v>8</v>
      </c>
      <c r="AB347" s="102"/>
      <c r="AC347" s="242">
        <f t="shared" si="45"/>
        <v>31</v>
      </c>
      <c r="AD347" s="102">
        <v>31</v>
      </c>
      <c r="AE347" s="102"/>
      <c r="AF347" s="102"/>
      <c r="AG347" s="102">
        <f t="shared" si="47"/>
        <v>31</v>
      </c>
      <c r="AH347" s="102"/>
      <c r="AI347" s="102">
        <v>31</v>
      </c>
      <c r="AJ347" s="102"/>
      <c r="AK347" s="102"/>
      <c r="AL347" s="102"/>
      <c r="AM347" s="102">
        <f t="shared" si="48"/>
        <v>31</v>
      </c>
      <c r="AN347" s="102" t="s">
        <v>92</v>
      </c>
      <c r="AO347" s="102">
        <v>3</v>
      </c>
      <c r="AP347" s="99"/>
    </row>
    <row r="348" spans="1:52" ht="48.75" customHeight="1" x14ac:dyDescent="0.25">
      <c r="A348" s="99">
        <v>2352</v>
      </c>
      <c r="B348" s="197" t="s">
        <v>743</v>
      </c>
      <c r="C348" s="240">
        <v>102111000</v>
      </c>
      <c r="D348" s="99">
        <v>2321001435</v>
      </c>
      <c r="E348" s="99"/>
      <c r="F348" s="197" t="e">
        <f>VLOOKUP(D348,'rà soát ĐK'!B341:C791,2,0)</f>
        <v>#N/A</v>
      </c>
      <c r="G348" s="99"/>
      <c r="H348" s="99" t="s">
        <v>867</v>
      </c>
      <c r="I348" s="239">
        <v>112155403</v>
      </c>
      <c r="J348" s="239">
        <v>1067059777</v>
      </c>
      <c r="K348" s="197" t="s">
        <v>737</v>
      </c>
      <c r="L348" s="197" t="s">
        <v>527</v>
      </c>
      <c r="M348" s="197">
        <v>122</v>
      </c>
      <c r="N348" s="104" t="s">
        <v>603</v>
      </c>
      <c r="O348" s="102"/>
      <c r="P348" s="102">
        <v>1008</v>
      </c>
      <c r="Q348" s="102">
        <f t="shared" si="44"/>
        <v>1008</v>
      </c>
      <c r="R348" s="102"/>
      <c r="S348" s="102" t="s">
        <v>90</v>
      </c>
      <c r="T348" s="102"/>
      <c r="U348" s="102" t="s">
        <v>90</v>
      </c>
      <c r="V348" s="102"/>
      <c r="W348" s="102"/>
      <c r="X348" s="102"/>
      <c r="Y348" s="102"/>
      <c r="Z348" s="102">
        <v>5</v>
      </c>
      <c r="AA348" s="102">
        <v>9</v>
      </c>
      <c r="AB348" s="102"/>
      <c r="AC348" s="242">
        <f t="shared" si="45"/>
        <v>14</v>
      </c>
      <c r="AD348" s="102">
        <v>14</v>
      </c>
      <c r="AE348" s="102"/>
      <c r="AF348" s="102"/>
      <c r="AG348" s="102">
        <f t="shared" si="47"/>
        <v>14</v>
      </c>
      <c r="AH348" s="102"/>
      <c r="AI348" s="102">
        <v>14</v>
      </c>
      <c r="AJ348" s="102"/>
      <c r="AK348" s="102"/>
      <c r="AL348" s="102"/>
      <c r="AM348" s="102">
        <f t="shared" si="48"/>
        <v>14</v>
      </c>
      <c r="AN348" s="102" t="s">
        <v>92</v>
      </c>
      <c r="AO348" s="102">
        <v>2</v>
      </c>
      <c r="AP348" s="99"/>
    </row>
    <row r="349" spans="1:52" ht="48.75" customHeight="1" x14ac:dyDescent="0.25">
      <c r="A349" s="99">
        <v>2352</v>
      </c>
      <c r="B349" s="197" t="s">
        <v>745</v>
      </c>
      <c r="C349" s="240">
        <v>102119000</v>
      </c>
      <c r="D349" s="99">
        <v>2321001424</v>
      </c>
      <c r="E349" s="99"/>
      <c r="F349" s="197" t="e">
        <f>VLOOKUP(D349,'rà soát ĐK'!B342:C792,2,0)</f>
        <v>#N/A</v>
      </c>
      <c r="G349" s="99"/>
      <c r="H349" s="99" t="s">
        <v>868</v>
      </c>
      <c r="I349" s="239">
        <v>112326125</v>
      </c>
      <c r="J349" s="239">
        <v>1066848594</v>
      </c>
      <c r="K349" s="197" t="s">
        <v>737</v>
      </c>
      <c r="L349" s="197" t="s">
        <v>527</v>
      </c>
      <c r="M349" s="197" t="s">
        <v>747</v>
      </c>
      <c r="N349" s="104" t="s">
        <v>576</v>
      </c>
      <c r="O349" s="102"/>
      <c r="P349" s="102">
        <v>1283</v>
      </c>
      <c r="Q349" s="102">
        <f t="shared" si="44"/>
        <v>1283</v>
      </c>
      <c r="R349" s="102"/>
      <c r="S349" s="102" t="s">
        <v>90</v>
      </c>
      <c r="T349" s="102"/>
      <c r="U349" s="102" t="s">
        <v>90</v>
      </c>
      <c r="V349" s="102"/>
      <c r="W349" s="102"/>
      <c r="X349" s="102"/>
      <c r="Y349" s="102"/>
      <c r="Z349" s="102">
        <v>14</v>
      </c>
      <c r="AA349" s="102">
        <v>5</v>
      </c>
      <c r="AB349" s="102"/>
      <c r="AC349" s="242">
        <f t="shared" si="45"/>
        <v>19</v>
      </c>
      <c r="AD349" s="102">
        <v>19</v>
      </c>
      <c r="AE349" s="102"/>
      <c r="AF349" s="102"/>
      <c r="AG349" s="102">
        <f t="shared" si="47"/>
        <v>19</v>
      </c>
      <c r="AH349" s="102"/>
      <c r="AI349" s="102">
        <v>19</v>
      </c>
      <c r="AJ349" s="102"/>
      <c r="AK349" s="102"/>
      <c r="AL349" s="102"/>
      <c r="AM349" s="102">
        <f t="shared" si="48"/>
        <v>19</v>
      </c>
      <c r="AN349" s="102" t="s">
        <v>93</v>
      </c>
      <c r="AO349" s="102">
        <v>3</v>
      </c>
      <c r="AP349" s="99"/>
    </row>
    <row r="350" spans="1:52" ht="48.75" customHeight="1" x14ac:dyDescent="0.25">
      <c r="A350" s="99">
        <v>2352</v>
      </c>
      <c r="B350" s="197" t="s">
        <v>748</v>
      </c>
      <c r="C350" s="240">
        <v>102118000</v>
      </c>
      <c r="D350" s="99">
        <v>2321001464</v>
      </c>
      <c r="E350" s="99"/>
      <c r="F350" s="197" t="e">
        <f>VLOOKUP(D350,'rà soát ĐK'!B343:C793,2,0)</f>
        <v>#N/A</v>
      </c>
      <c r="G350" s="99"/>
      <c r="H350" s="99" t="s">
        <v>869</v>
      </c>
      <c r="I350" s="239">
        <v>112401682</v>
      </c>
      <c r="J350" s="239">
        <v>1066753898</v>
      </c>
      <c r="K350" s="197" t="s">
        <v>737</v>
      </c>
      <c r="L350" s="197" t="s">
        <v>527</v>
      </c>
      <c r="M350" s="197">
        <v>44</v>
      </c>
      <c r="N350" s="104" t="s">
        <v>750</v>
      </c>
      <c r="O350" s="102"/>
      <c r="P350" s="102">
        <v>1283</v>
      </c>
      <c r="Q350" s="102">
        <f t="shared" ref="Q350:Q381" si="49">SUM(O350:P350)</f>
        <v>1283</v>
      </c>
      <c r="R350" s="102"/>
      <c r="S350" s="102" t="s">
        <v>90</v>
      </c>
      <c r="T350" s="102"/>
      <c r="U350" s="102" t="s">
        <v>90</v>
      </c>
      <c r="V350" s="102"/>
      <c r="W350" s="102"/>
      <c r="X350" s="102"/>
      <c r="Y350" s="102"/>
      <c r="Z350" s="102">
        <v>18</v>
      </c>
      <c r="AA350" s="102"/>
      <c r="AB350" s="102"/>
      <c r="AC350" s="242">
        <f t="shared" ref="AC350:AC381" si="50">SUM(W350:AB350)</f>
        <v>18</v>
      </c>
      <c r="AD350" s="102">
        <v>18</v>
      </c>
      <c r="AE350" s="102"/>
      <c r="AF350" s="102"/>
      <c r="AG350" s="102">
        <f t="shared" si="47"/>
        <v>18</v>
      </c>
      <c r="AH350" s="102"/>
      <c r="AI350" s="102">
        <v>18</v>
      </c>
      <c r="AJ350" s="102"/>
      <c r="AK350" s="102"/>
      <c r="AL350" s="102"/>
      <c r="AM350" s="102">
        <f t="shared" si="48"/>
        <v>18</v>
      </c>
      <c r="AN350" s="102" t="s">
        <v>93</v>
      </c>
      <c r="AO350" s="102">
        <v>3</v>
      </c>
      <c r="AP350" s="99"/>
    </row>
    <row r="351" spans="1:52" ht="48.75" customHeight="1" x14ac:dyDescent="0.25">
      <c r="A351" s="99">
        <v>2353</v>
      </c>
      <c r="B351" s="197" t="s">
        <v>751</v>
      </c>
      <c r="C351" s="240">
        <v>101296000</v>
      </c>
      <c r="D351" s="99">
        <v>211106223</v>
      </c>
      <c r="E351" s="99"/>
      <c r="F351" s="197" t="e">
        <f>VLOOKUP(D351,'rà soát ĐK'!B344:C794,2,0)</f>
        <v>#N/A</v>
      </c>
      <c r="G351" s="99"/>
      <c r="H351" s="99" t="s">
        <v>858</v>
      </c>
      <c r="I351" s="239">
        <v>112772917</v>
      </c>
      <c r="J351" s="239">
        <v>1066371591</v>
      </c>
      <c r="K351" s="197" t="s">
        <v>751</v>
      </c>
      <c r="L351" s="197" t="s">
        <v>527</v>
      </c>
      <c r="M351" s="197"/>
      <c r="N351" s="104" t="s">
        <v>580</v>
      </c>
      <c r="O351" s="102"/>
      <c r="P351" s="102">
        <v>927</v>
      </c>
      <c r="Q351" s="102">
        <f t="shared" si="49"/>
        <v>927</v>
      </c>
      <c r="R351" s="102"/>
      <c r="S351" s="102" t="s">
        <v>90</v>
      </c>
      <c r="T351" s="102"/>
      <c r="U351" s="102" t="s">
        <v>90</v>
      </c>
      <c r="V351" s="102"/>
      <c r="W351" s="102"/>
      <c r="X351" s="102"/>
      <c r="Y351" s="102"/>
      <c r="Z351" s="102">
        <v>20</v>
      </c>
      <c r="AA351" s="102"/>
      <c r="AB351" s="102"/>
      <c r="AC351" s="242">
        <f t="shared" si="50"/>
        <v>20</v>
      </c>
      <c r="AD351" s="102">
        <v>20</v>
      </c>
      <c r="AE351" s="102"/>
      <c r="AF351" s="102"/>
      <c r="AG351" s="102">
        <f t="shared" si="47"/>
        <v>20</v>
      </c>
      <c r="AH351" s="102">
        <v>20</v>
      </c>
      <c r="AI351" s="102"/>
      <c r="AJ351" s="102"/>
      <c r="AK351" s="102"/>
      <c r="AL351" s="102"/>
      <c r="AM351" s="102">
        <f t="shared" si="48"/>
        <v>20</v>
      </c>
      <c r="AN351" s="102" t="s">
        <v>93</v>
      </c>
      <c r="AO351" s="102">
        <v>3</v>
      </c>
      <c r="AP351" s="99"/>
    </row>
    <row r="352" spans="1:52" ht="48.75" customHeight="1" x14ac:dyDescent="0.25">
      <c r="A352" s="99">
        <v>2353</v>
      </c>
      <c r="B352" s="197" t="s">
        <v>751</v>
      </c>
      <c r="C352" s="240">
        <v>101297000</v>
      </c>
      <c r="D352" s="99">
        <v>21088404</v>
      </c>
      <c r="E352" s="99"/>
      <c r="F352" s="197" t="e">
        <f>VLOOKUP(D352,'rà soát ĐK'!B345:C795,2,0)</f>
        <v>#N/A</v>
      </c>
      <c r="G352" s="99"/>
      <c r="H352" s="99" t="s">
        <v>859</v>
      </c>
      <c r="I352" s="239">
        <v>112879154</v>
      </c>
      <c r="J352" s="239">
        <v>1066378478</v>
      </c>
      <c r="K352" s="197" t="s">
        <v>751</v>
      </c>
      <c r="L352" s="197" t="s">
        <v>527</v>
      </c>
      <c r="M352" s="197"/>
      <c r="N352" s="104" t="s">
        <v>603</v>
      </c>
      <c r="O352" s="102"/>
      <c r="P352" s="102">
        <v>840</v>
      </c>
      <c r="Q352" s="102">
        <f t="shared" si="49"/>
        <v>840</v>
      </c>
      <c r="R352" s="102"/>
      <c r="S352" s="102" t="s">
        <v>90</v>
      </c>
      <c r="T352" s="102"/>
      <c r="U352" s="102" t="s">
        <v>90</v>
      </c>
      <c r="V352" s="102"/>
      <c r="W352" s="102"/>
      <c r="X352" s="102"/>
      <c r="Y352" s="102"/>
      <c r="Z352" s="102">
        <v>14</v>
      </c>
      <c r="AA352" s="102"/>
      <c r="AB352" s="102"/>
      <c r="AC352" s="242">
        <f t="shared" si="50"/>
        <v>14</v>
      </c>
      <c r="AD352" s="102">
        <v>14</v>
      </c>
      <c r="AE352" s="102"/>
      <c r="AF352" s="102"/>
      <c r="AG352" s="102">
        <f t="shared" si="47"/>
        <v>14</v>
      </c>
      <c r="AH352" s="102">
        <v>14</v>
      </c>
      <c r="AI352" s="102"/>
      <c r="AJ352" s="102"/>
      <c r="AK352" s="102"/>
      <c r="AL352" s="102"/>
      <c r="AM352" s="102">
        <f t="shared" si="48"/>
        <v>14</v>
      </c>
      <c r="AN352" s="102" t="s">
        <v>93</v>
      </c>
      <c r="AO352" s="102">
        <v>3</v>
      </c>
      <c r="AP352" s="99"/>
    </row>
    <row r="353" spans="1:52" ht="39" customHeight="1" x14ac:dyDescent="0.25">
      <c r="A353" s="99">
        <v>2353</v>
      </c>
      <c r="B353" s="197" t="s">
        <v>751</v>
      </c>
      <c r="C353" s="240">
        <v>101129900</v>
      </c>
      <c r="D353" s="99">
        <v>23901597</v>
      </c>
      <c r="E353" s="99"/>
      <c r="F353" s="197" t="str">
        <f>VLOOKUP(D353,'rà soát ĐK'!B346:C796,2,0)</f>
        <v>PB04090010501</v>
      </c>
      <c r="G353" s="99" t="s">
        <v>2790</v>
      </c>
      <c r="H353" s="99" t="s">
        <v>870</v>
      </c>
      <c r="I353" s="239">
        <v>113703328</v>
      </c>
      <c r="J353" s="239">
        <v>1066893015</v>
      </c>
      <c r="K353" s="197" t="s">
        <v>751</v>
      </c>
      <c r="L353" s="197" t="s">
        <v>527</v>
      </c>
      <c r="M353" s="197"/>
      <c r="N353" s="104" t="s">
        <v>727</v>
      </c>
      <c r="O353" s="102"/>
      <c r="P353" s="102">
        <v>2004</v>
      </c>
      <c r="Q353" s="102">
        <f t="shared" si="49"/>
        <v>2004</v>
      </c>
      <c r="R353" s="102"/>
      <c r="S353" s="102" t="s">
        <v>90</v>
      </c>
      <c r="T353" s="102"/>
      <c r="U353" s="102" t="s">
        <v>90</v>
      </c>
      <c r="V353" s="102"/>
      <c r="W353" s="102"/>
      <c r="X353" s="102"/>
      <c r="Y353" s="102"/>
      <c r="Z353" s="102">
        <v>29</v>
      </c>
      <c r="AA353" s="102"/>
      <c r="AB353" s="102"/>
      <c r="AC353" s="242">
        <f t="shared" si="50"/>
        <v>29</v>
      </c>
      <c r="AD353" s="102">
        <v>29</v>
      </c>
      <c r="AE353" s="102"/>
      <c r="AF353" s="102"/>
      <c r="AG353" s="102">
        <f t="shared" ref="AG353:AG384" si="51">SUM(AD353:AF353)</f>
        <v>29</v>
      </c>
      <c r="AH353" s="102">
        <v>29</v>
      </c>
      <c r="AI353" s="102"/>
      <c r="AJ353" s="102"/>
      <c r="AK353" s="102"/>
      <c r="AL353" s="102"/>
      <c r="AM353" s="102">
        <f t="shared" si="48"/>
        <v>29</v>
      </c>
      <c r="AN353" s="102" t="s">
        <v>93</v>
      </c>
      <c r="AO353" s="102">
        <v>4</v>
      </c>
      <c r="AP353" s="99"/>
    </row>
    <row r="354" spans="1:52" ht="48.75" customHeight="1" x14ac:dyDescent="0.25">
      <c r="A354" s="99">
        <v>2354</v>
      </c>
      <c r="B354" s="197" t="s">
        <v>1646</v>
      </c>
      <c r="C354" s="240">
        <v>101213000</v>
      </c>
      <c r="D354" s="99">
        <v>1511290481</v>
      </c>
      <c r="E354" s="99"/>
      <c r="F354" s="197" t="e">
        <f>VLOOKUP(D354,'rà soát ĐK'!B347:C797,2,0)</f>
        <v>#N/A</v>
      </c>
      <c r="G354" s="99"/>
      <c r="H354" s="99" t="s">
        <v>860</v>
      </c>
      <c r="I354" s="239">
        <v>112667862</v>
      </c>
      <c r="J354" s="239">
        <v>1066325397</v>
      </c>
      <c r="K354" s="197" t="s">
        <v>1646</v>
      </c>
      <c r="L354" s="197" t="s">
        <v>527</v>
      </c>
      <c r="M354" s="197"/>
      <c r="N354" s="102" t="s">
        <v>719</v>
      </c>
      <c r="O354" s="102"/>
      <c r="P354" s="102">
        <v>566</v>
      </c>
      <c r="Q354" s="102">
        <f t="shared" si="49"/>
        <v>566</v>
      </c>
      <c r="R354" s="102" t="s">
        <v>90</v>
      </c>
      <c r="S354" s="102"/>
      <c r="T354" s="102"/>
      <c r="U354" s="102" t="s">
        <v>90</v>
      </c>
      <c r="V354" s="102" t="s">
        <v>111</v>
      </c>
      <c r="W354" s="102"/>
      <c r="X354" s="102"/>
      <c r="Y354" s="102"/>
      <c r="Z354" s="102"/>
      <c r="AA354" s="102">
        <v>16</v>
      </c>
      <c r="AB354" s="102"/>
      <c r="AC354" s="242">
        <f t="shared" si="50"/>
        <v>16</v>
      </c>
      <c r="AD354" s="102">
        <v>16</v>
      </c>
      <c r="AE354" s="102"/>
      <c r="AF354" s="102"/>
      <c r="AG354" s="102">
        <f t="shared" si="51"/>
        <v>16</v>
      </c>
      <c r="AH354" s="102"/>
      <c r="AI354" s="102">
        <v>16</v>
      </c>
      <c r="AJ354" s="102"/>
      <c r="AK354" s="102"/>
      <c r="AL354" s="102"/>
      <c r="AM354" s="102">
        <f t="shared" si="48"/>
        <v>16</v>
      </c>
      <c r="AN354" s="102" t="s">
        <v>185</v>
      </c>
      <c r="AO354" s="102">
        <v>4</v>
      </c>
      <c r="AP354" s="99"/>
    </row>
    <row r="355" spans="1:52" ht="48.75" customHeight="1" x14ac:dyDescent="0.25">
      <c r="A355" s="99">
        <v>2355</v>
      </c>
      <c r="B355" s="197" t="s">
        <v>757</v>
      </c>
      <c r="C355" s="240">
        <v>101158000</v>
      </c>
      <c r="D355" s="99">
        <v>2321001622</v>
      </c>
      <c r="E355" s="99"/>
      <c r="F355" s="197" t="e">
        <f>VLOOKUP(D355,'rà soát ĐK'!B348:C798,2,0)</f>
        <v>#N/A</v>
      </c>
      <c r="G355" s="99"/>
      <c r="H355" s="99" t="s">
        <v>861</v>
      </c>
      <c r="I355" s="239">
        <v>112900415</v>
      </c>
      <c r="J355" s="239">
        <v>1066310198</v>
      </c>
      <c r="K355" s="197" t="s">
        <v>757</v>
      </c>
      <c r="L355" s="197" t="s">
        <v>527</v>
      </c>
      <c r="M355" s="197" t="s">
        <v>759</v>
      </c>
      <c r="N355" s="99" t="str">
        <f t="shared" ref="N355:N361" si="52">1&amp;"-"&amp;AC355</f>
        <v>1-99</v>
      </c>
      <c r="O355" s="102">
        <v>1715</v>
      </c>
      <c r="P355" s="102"/>
      <c r="Q355" s="102">
        <f t="shared" si="49"/>
        <v>1715</v>
      </c>
      <c r="R355" s="102" t="s">
        <v>90</v>
      </c>
      <c r="S355" s="102"/>
      <c r="T355" s="102"/>
      <c r="U355" s="102" t="s">
        <v>92</v>
      </c>
      <c r="V355" s="102"/>
      <c r="W355" s="102"/>
      <c r="X355" s="102"/>
      <c r="Y355" s="102"/>
      <c r="Z355" s="102"/>
      <c r="AA355" s="102">
        <v>99</v>
      </c>
      <c r="AB355" s="102"/>
      <c r="AC355" s="242">
        <f t="shared" si="50"/>
        <v>99</v>
      </c>
      <c r="AD355" s="102"/>
      <c r="AE355" s="102">
        <v>49</v>
      </c>
      <c r="AF355" s="102"/>
      <c r="AG355" s="102">
        <f t="shared" si="51"/>
        <v>49</v>
      </c>
      <c r="AH355" s="102"/>
      <c r="AI355" s="102">
        <v>1</v>
      </c>
      <c r="AJ355" s="102">
        <v>46</v>
      </c>
      <c r="AK355" s="102">
        <v>2</v>
      </c>
      <c r="AL355" s="102"/>
      <c r="AM355" s="102">
        <f t="shared" si="48"/>
        <v>49</v>
      </c>
      <c r="AN355" s="102"/>
      <c r="AO355" s="102"/>
      <c r="AP355" s="99" t="s">
        <v>760</v>
      </c>
    </row>
    <row r="356" spans="1:52" ht="48.75" customHeight="1" x14ac:dyDescent="0.25">
      <c r="A356" s="99">
        <v>2355</v>
      </c>
      <c r="B356" s="197" t="s">
        <v>761</v>
      </c>
      <c r="C356" s="240">
        <v>101159000</v>
      </c>
      <c r="D356" s="99">
        <v>2321001628</v>
      </c>
      <c r="E356" s="99"/>
      <c r="F356" s="197" t="e">
        <f>VLOOKUP(D356,'rà soát ĐK'!B349:C799,2,0)</f>
        <v>#N/A</v>
      </c>
      <c r="G356" s="99"/>
      <c r="H356" s="99" t="s">
        <v>862</v>
      </c>
      <c r="I356" s="239">
        <v>112883748</v>
      </c>
      <c r="J356" s="239">
        <v>1066202853</v>
      </c>
      <c r="K356" s="197" t="s">
        <v>757</v>
      </c>
      <c r="L356" s="197" t="s">
        <v>527</v>
      </c>
      <c r="M356" s="197" t="s">
        <v>763</v>
      </c>
      <c r="N356" s="99" t="str">
        <f t="shared" si="52"/>
        <v>1-97</v>
      </c>
      <c r="O356" s="102">
        <v>1680</v>
      </c>
      <c r="P356" s="99"/>
      <c r="Q356" s="102">
        <f t="shared" si="49"/>
        <v>1680</v>
      </c>
      <c r="R356" s="102" t="s">
        <v>90</v>
      </c>
      <c r="S356" s="102"/>
      <c r="T356" s="102"/>
      <c r="U356" s="102" t="s">
        <v>92</v>
      </c>
      <c r="V356" s="102"/>
      <c r="W356" s="102"/>
      <c r="X356" s="102"/>
      <c r="Y356" s="102"/>
      <c r="Z356" s="102"/>
      <c r="AA356" s="102">
        <v>97</v>
      </c>
      <c r="AB356" s="102"/>
      <c r="AC356" s="242">
        <f t="shared" si="50"/>
        <v>97</v>
      </c>
      <c r="AD356" s="102"/>
      <c r="AE356" s="102">
        <v>48</v>
      </c>
      <c r="AF356" s="102"/>
      <c r="AG356" s="102">
        <f t="shared" si="51"/>
        <v>48</v>
      </c>
      <c r="AH356" s="102"/>
      <c r="AI356" s="102">
        <v>1</v>
      </c>
      <c r="AJ356" s="102">
        <v>45</v>
      </c>
      <c r="AK356" s="102">
        <v>2</v>
      </c>
      <c r="AL356" s="102"/>
      <c r="AM356" s="102">
        <f t="shared" si="48"/>
        <v>48</v>
      </c>
      <c r="AN356" s="102"/>
      <c r="AO356" s="102"/>
      <c r="AP356" s="99" t="s">
        <v>760</v>
      </c>
    </row>
    <row r="357" spans="1:52" ht="48.75" customHeight="1" x14ac:dyDescent="0.25">
      <c r="A357" s="99">
        <v>2355</v>
      </c>
      <c r="B357" s="197" t="s">
        <v>764</v>
      </c>
      <c r="C357" s="240">
        <v>101161000</v>
      </c>
      <c r="D357" s="99">
        <v>2321001763</v>
      </c>
      <c r="E357" s="99"/>
      <c r="F357" s="197" t="e">
        <f>VLOOKUP(D357,'rà soát ĐK'!B350:C800,2,0)</f>
        <v>#N/A</v>
      </c>
      <c r="G357" s="99"/>
      <c r="H357" s="99" t="s">
        <v>863</v>
      </c>
      <c r="I357" s="239">
        <v>112867438</v>
      </c>
      <c r="J357" s="239">
        <v>106609498</v>
      </c>
      <c r="K357" s="197" t="s">
        <v>757</v>
      </c>
      <c r="L357" s="197" t="s">
        <v>527</v>
      </c>
      <c r="M357" s="197" t="s">
        <v>766</v>
      </c>
      <c r="N357" s="99" t="str">
        <f t="shared" si="52"/>
        <v>1-98</v>
      </c>
      <c r="O357" s="102">
        <v>1715</v>
      </c>
      <c r="P357" s="99"/>
      <c r="Q357" s="102">
        <f t="shared" si="49"/>
        <v>1715</v>
      </c>
      <c r="R357" s="102" t="s">
        <v>90</v>
      </c>
      <c r="S357" s="102"/>
      <c r="T357" s="102"/>
      <c r="U357" s="102" t="s">
        <v>92</v>
      </c>
      <c r="V357" s="102"/>
      <c r="W357" s="102"/>
      <c r="X357" s="102"/>
      <c r="Y357" s="102"/>
      <c r="Z357" s="102"/>
      <c r="AA357" s="102">
        <v>98</v>
      </c>
      <c r="AB357" s="102"/>
      <c r="AC357" s="242">
        <f t="shared" si="50"/>
        <v>98</v>
      </c>
      <c r="AD357" s="99"/>
      <c r="AE357" s="102">
        <v>49</v>
      </c>
      <c r="AF357" s="99"/>
      <c r="AG357" s="102">
        <f t="shared" si="51"/>
        <v>49</v>
      </c>
      <c r="AH357" s="99"/>
      <c r="AI357" s="99">
        <v>1</v>
      </c>
      <c r="AJ357" s="99">
        <v>47</v>
      </c>
      <c r="AK357" s="99">
        <v>1</v>
      </c>
      <c r="AL357" s="99"/>
      <c r="AM357" s="102">
        <f t="shared" si="48"/>
        <v>49</v>
      </c>
      <c r="AN357" s="102"/>
      <c r="AO357" s="102"/>
      <c r="AP357" s="99" t="s">
        <v>760</v>
      </c>
    </row>
    <row r="358" spans="1:52" ht="48.75" customHeight="1" x14ac:dyDescent="0.25">
      <c r="A358" s="99">
        <v>2355</v>
      </c>
      <c r="B358" s="197" t="s">
        <v>767</v>
      </c>
      <c r="C358" s="240">
        <v>101305000</v>
      </c>
      <c r="D358" s="99">
        <v>2321001762</v>
      </c>
      <c r="E358" s="99"/>
      <c r="F358" s="197" t="e">
        <f>VLOOKUP(D358,'rà soát ĐK'!B351:C801,2,0)</f>
        <v>#N/A</v>
      </c>
      <c r="G358" s="99"/>
      <c r="H358" s="99" t="s">
        <v>864</v>
      </c>
      <c r="I358" s="239">
        <v>112900463</v>
      </c>
      <c r="J358" s="239">
        <v>1066402573</v>
      </c>
      <c r="K358" s="197" t="s">
        <v>757</v>
      </c>
      <c r="L358" s="197" t="s">
        <v>527</v>
      </c>
      <c r="M358" s="197" t="s">
        <v>769</v>
      </c>
      <c r="N358" s="99" t="str">
        <f t="shared" si="52"/>
        <v>1-95</v>
      </c>
      <c r="O358" s="102">
        <v>1680</v>
      </c>
      <c r="P358" s="99"/>
      <c r="Q358" s="102">
        <f t="shared" si="49"/>
        <v>1680</v>
      </c>
      <c r="R358" s="102" t="s">
        <v>90</v>
      </c>
      <c r="S358" s="102"/>
      <c r="T358" s="102"/>
      <c r="U358" s="102" t="s">
        <v>92</v>
      </c>
      <c r="V358" s="102"/>
      <c r="W358" s="102"/>
      <c r="X358" s="102"/>
      <c r="Y358" s="102"/>
      <c r="Z358" s="102"/>
      <c r="AA358" s="102">
        <v>95</v>
      </c>
      <c r="AB358" s="102"/>
      <c r="AC358" s="242">
        <f t="shared" si="50"/>
        <v>95</v>
      </c>
      <c r="AD358" s="99"/>
      <c r="AE358" s="102">
        <v>48</v>
      </c>
      <c r="AF358" s="99"/>
      <c r="AG358" s="102">
        <f t="shared" si="51"/>
        <v>48</v>
      </c>
      <c r="AH358" s="99"/>
      <c r="AI358" s="99">
        <v>2</v>
      </c>
      <c r="AJ358" s="99">
        <v>45</v>
      </c>
      <c r="AK358" s="99">
        <v>1</v>
      </c>
      <c r="AL358" s="99"/>
      <c r="AM358" s="102">
        <f t="shared" si="48"/>
        <v>48</v>
      </c>
      <c r="AN358" s="102"/>
      <c r="AO358" s="102"/>
      <c r="AP358" s="99" t="s">
        <v>760</v>
      </c>
    </row>
    <row r="359" spans="1:52" ht="48.75" customHeight="1" x14ac:dyDescent="0.25">
      <c r="A359" s="99">
        <v>2355</v>
      </c>
      <c r="B359" s="197" t="s">
        <v>770</v>
      </c>
      <c r="C359" s="240">
        <v>101303000</v>
      </c>
      <c r="D359" s="99">
        <v>2321001765</v>
      </c>
      <c r="E359" s="99"/>
      <c r="F359" s="197" t="e">
        <f>VLOOKUP(D359,'rà soát ĐK'!B352:C802,2,0)</f>
        <v>#N/A</v>
      </c>
      <c r="G359" s="99"/>
      <c r="H359" s="99" t="s">
        <v>871</v>
      </c>
      <c r="I359" s="239">
        <v>112893896</v>
      </c>
      <c r="J359" s="239">
        <v>1066501554</v>
      </c>
      <c r="K359" s="197" t="s">
        <v>757</v>
      </c>
      <c r="L359" s="197" t="s">
        <v>527</v>
      </c>
      <c r="M359" s="197" t="s">
        <v>772</v>
      </c>
      <c r="N359" s="99" t="str">
        <f t="shared" si="52"/>
        <v>1-103</v>
      </c>
      <c r="O359" s="102">
        <v>1785</v>
      </c>
      <c r="P359" s="99"/>
      <c r="Q359" s="102">
        <f t="shared" si="49"/>
        <v>1785</v>
      </c>
      <c r="R359" s="102" t="s">
        <v>90</v>
      </c>
      <c r="S359" s="102"/>
      <c r="T359" s="102"/>
      <c r="U359" s="102" t="s">
        <v>92</v>
      </c>
      <c r="V359" s="102"/>
      <c r="W359" s="102"/>
      <c r="X359" s="102"/>
      <c r="Y359" s="102"/>
      <c r="Z359" s="102"/>
      <c r="AA359" s="102">
        <v>103</v>
      </c>
      <c r="AB359" s="102"/>
      <c r="AC359" s="242">
        <f t="shared" si="50"/>
        <v>103</v>
      </c>
      <c r="AD359" s="99"/>
      <c r="AE359" s="102">
        <v>51</v>
      </c>
      <c r="AF359" s="99"/>
      <c r="AG359" s="102">
        <f t="shared" si="51"/>
        <v>51</v>
      </c>
      <c r="AH359" s="99"/>
      <c r="AI359" s="99">
        <v>2</v>
      </c>
      <c r="AJ359" s="99">
        <v>46</v>
      </c>
      <c r="AK359" s="99">
        <v>3</v>
      </c>
      <c r="AL359" s="99"/>
      <c r="AM359" s="102">
        <f t="shared" si="48"/>
        <v>51</v>
      </c>
      <c r="AN359" s="102"/>
      <c r="AO359" s="102"/>
      <c r="AP359" s="99" t="s">
        <v>760</v>
      </c>
    </row>
    <row r="360" spans="1:52" ht="39" customHeight="1" x14ac:dyDescent="0.25">
      <c r="A360" s="99">
        <v>2355</v>
      </c>
      <c r="B360" s="197" t="s">
        <v>773</v>
      </c>
      <c r="C360" s="240">
        <v>101304000</v>
      </c>
      <c r="D360" s="99">
        <v>2321001741</v>
      </c>
      <c r="E360" s="99"/>
      <c r="F360" s="197" t="str">
        <f>VLOOKUP(D360,'rà soát ĐK'!B353:C803,2,0)</f>
        <v>PB04090038137</v>
      </c>
      <c r="G360" s="99" t="s">
        <v>2783</v>
      </c>
      <c r="H360" s="99" t="s">
        <v>865</v>
      </c>
      <c r="I360" s="239">
        <v>112893575</v>
      </c>
      <c r="J360" s="239">
        <v>1066595068</v>
      </c>
      <c r="K360" s="197" t="s">
        <v>757</v>
      </c>
      <c r="L360" s="197" t="s">
        <v>527</v>
      </c>
      <c r="M360" s="197" t="s">
        <v>775</v>
      </c>
      <c r="N360" s="99" t="str">
        <f t="shared" si="52"/>
        <v>1-95</v>
      </c>
      <c r="O360" s="102">
        <v>1645</v>
      </c>
      <c r="P360" s="99"/>
      <c r="Q360" s="102">
        <f t="shared" si="49"/>
        <v>1645</v>
      </c>
      <c r="R360" s="102" t="s">
        <v>90</v>
      </c>
      <c r="S360" s="102"/>
      <c r="T360" s="102"/>
      <c r="U360" s="102" t="s">
        <v>92</v>
      </c>
      <c r="V360" s="102"/>
      <c r="W360" s="102"/>
      <c r="X360" s="102"/>
      <c r="Y360" s="102"/>
      <c r="Z360" s="102"/>
      <c r="AA360" s="102">
        <v>95</v>
      </c>
      <c r="AB360" s="102"/>
      <c r="AC360" s="242">
        <f t="shared" si="50"/>
        <v>95</v>
      </c>
      <c r="AD360" s="99"/>
      <c r="AE360" s="102">
        <v>47</v>
      </c>
      <c r="AF360" s="99"/>
      <c r="AG360" s="102">
        <f t="shared" si="51"/>
        <v>47</v>
      </c>
      <c r="AH360" s="99"/>
      <c r="AI360" s="99"/>
      <c r="AJ360" s="99">
        <v>46</v>
      </c>
      <c r="AK360" s="99">
        <v>1</v>
      </c>
      <c r="AL360" s="99"/>
      <c r="AM360" s="102">
        <f t="shared" si="48"/>
        <v>47</v>
      </c>
      <c r="AN360" s="102"/>
      <c r="AO360" s="102"/>
      <c r="AP360" s="99" t="s">
        <v>760</v>
      </c>
    </row>
    <row r="361" spans="1:52" ht="48.75" customHeight="1" x14ac:dyDescent="0.25">
      <c r="A361" s="99">
        <v>2355</v>
      </c>
      <c r="B361" s="197" t="s">
        <v>776</v>
      </c>
      <c r="C361" s="240">
        <v>101110000</v>
      </c>
      <c r="D361" s="99">
        <v>2321001674</v>
      </c>
      <c r="E361" s="99"/>
      <c r="F361" s="197" t="e">
        <f>VLOOKUP(D361,'rà soát ĐK'!B354:C804,2,0)</f>
        <v>#N/A</v>
      </c>
      <c r="G361" s="99"/>
      <c r="H361" s="99"/>
      <c r="I361" s="197"/>
      <c r="J361" s="197"/>
      <c r="K361" s="197" t="s">
        <v>757</v>
      </c>
      <c r="L361" s="197" t="s">
        <v>527</v>
      </c>
      <c r="M361" s="197" t="s">
        <v>778</v>
      </c>
      <c r="N361" s="99" t="str">
        <f t="shared" si="52"/>
        <v>1-91</v>
      </c>
      <c r="O361" s="102">
        <v>1575</v>
      </c>
      <c r="P361" s="99"/>
      <c r="Q361" s="102">
        <f t="shared" si="49"/>
        <v>1575</v>
      </c>
      <c r="R361" s="102" t="s">
        <v>90</v>
      </c>
      <c r="S361" s="102"/>
      <c r="T361" s="102"/>
      <c r="U361" s="102" t="s">
        <v>92</v>
      </c>
      <c r="V361" s="102"/>
      <c r="W361" s="102"/>
      <c r="X361" s="102"/>
      <c r="Y361" s="102"/>
      <c r="Z361" s="102"/>
      <c r="AA361" s="102">
        <v>91</v>
      </c>
      <c r="AB361" s="102"/>
      <c r="AC361" s="242">
        <f t="shared" si="50"/>
        <v>91</v>
      </c>
      <c r="AD361" s="99"/>
      <c r="AE361" s="102">
        <v>45</v>
      </c>
      <c r="AF361" s="99"/>
      <c r="AG361" s="102">
        <f t="shared" si="51"/>
        <v>45</v>
      </c>
      <c r="AH361" s="99"/>
      <c r="AI361" s="99"/>
      <c r="AJ361" s="99">
        <v>44</v>
      </c>
      <c r="AK361" s="99">
        <v>1</v>
      </c>
      <c r="AL361" s="99"/>
      <c r="AM361" s="102">
        <f t="shared" si="48"/>
        <v>45</v>
      </c>
      <c r="AN361" s="102"/>
      <c r="AO361" s="102"/>
      <c r="AP361" s="99" t="s">
        <v>760</v>
      </c>
    </row>
    <row r="362" spans="1:52" ht="39" customHeight="1" x14ac:dyDescent="0.25">
      <c r="A362" s="99">
        <v>2356</v>
      </c>
      <c r="B362" s="197" t="s">
        <v>779</v>
      </c>
      <c r="C362" s="240">
        <v>102001000</v>
      </c>
      <c r="D362" s="99">
        <v>2321001432</v>
      </c>
      <c r="E362" s="99"/>
      <c r="F362" s="197" t="str">
        <f>VLOOKUP(D362,'rà soát ĐK'!B355:C805,2,0)</f>
        <v>PB04090007061</v>
      </c>
      <c r="G362" s="99" t="s">
        <v>2794</v>
      </c>
      <c r="H362" s="99" t="s">
        <v>492</v>
      </c>
      <c r="I362" s="239">
        <v>113442438</v>
      </c>
      <c r="J362" s="239">
        <v>1066453377</v>
      </c>
      <c r="K362" s="197" t="s">
        <v>779</v>
      </c>
      <c r="L362" s="197" t="s">
        <v>527</v>
      </c>
      <c r="M362" s="197" t="s">
        <v>781</v>
      </c>
      <c r="N362" s="119" t="s">
        <v>555</v>
      </c>
      <c r="O362" s="99"/>
      <c r="P362" s="99">
        <v>813</v>
      </c>
      <c r="Q362" s="102">
        <f t="shared" si="49"/>
        <v>813</v>
      </c>
      <c r="R362" s="102" t="s">
        <v>90</v>
      </c>
      <c r="S362" s="102"/>
      <c r="T362" s="102"/>
      <c r="U362" s="102" t="s">
        <v>92</v>
      </c>
      <c r="V362" s="102"/>
      <c r="W362" s="102"/>
      <c r="X362" s="102"/>
      <c r="Y362" s="102"/>
      <c r="Z362" s="102"/>
      <c r="AA362" s="102">
        <v>12</v>
      </c>
      <c r="AB362" s="102"/>
      <c r="AC362" s="242">
        <f t="shared" si="50"/>
        <v>12</v>
      </c>
      <c r="AD362" s="99">
        <v>12</v>
      </c>
      <c r="AE362" s="99"/>
      <c r="AF362" s="99"/>
      <c r="AG362" s="102">
        <f t="shared" si="51"/>
        <v>12</v>
      </c>
      <c r="AH362" s="99"/>
      <c r="AI362" s="99">
        <v>12</v>
      </c>
      <c r="AJ362" s="99"/>
      <c r="AK362" s="99"/>
      <c r="AL362" s="99"/>
      <c r="AM362" s="102">
        <f t="shared" si="48"/>
        <v>12</v>
      </c>
      <c r="AN362" s="102" t="s">
        <v>93</v>
      </c>
      <c r="AO362" s="102">
        <v>2</v>
      </c>
      <c r="AP362" s="99"/>
    </row>
    <row r="363" spans="1:52" s="105" customFormat="1" ht="28.5" customHeight="1" x14ac:dyDescent="0.25">
      <c r="A363" s="99">
        <v>2357</v>
      </c>
      <c r="B363" s="197"/>
      <c r="C363" s="242"/>
      <c r="D363" s="99"/>
      <c r="E363" s="99"/>
      <c r="F363" s="197"/>
      <c r="G363" s="99"/>
      <c r="H363" s="99"/>
      <c r="I363" s="197"/>
      <c r="J363" s="197"/>
      <c r="K363" s="197" t="s">
        <v>782</v>
      </c>
      <c r="L363" s="197" t="s">
        <v>527</v>
      </c>
      <c r="M363" s="197"/>
      <c r="N363" s="99" t="str">
        <f>1&amp;"-"&amp;AC363</f>
        <v>1-0</v>
      </c>
      <c r="O363" s="99"/>
      <c r="P363" s="99"/>
      <c r="Q363" s="102">
        <f t="shared" si="49"/>
        <v>0</v>
      </c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242">
        <f t="shared" si="50"/>
        <v>0</v>
      </c>
      <c r="AD363" s="99"/>
      <c r="AE363" s="99"/>
      <c r="AF363" s="99"/>
      <c r="AG363" s="102">
        <f t="shared" si="51"/>
        <v>0</v>
      </c>
      <c r="AH363" s="99"/>
      <c r="AI363" s="99"/>
      <c r="AJ363" s="99"/>
      <c r="AK363" s="99"/>
      <c r="AL363" s="99"/>
      <c r="AM363" s="102">
        <f t="shared" si="48"/>
        <v>0</v>
      </c>
      <c r="AN363" s="102"/>
      <c r="AO363" s="102"/>
      <c r="AP363" s="99" t="s">
        <v>783</v>
      </c>
      <c r="AQ363" s="90"/>
      <c r="AR363" s="90"/>
      <c r="AS363" s="90"/>
      <c r="AT363" s="90"/>
      <c r="AU363" s="90"/>
      <c r="AV363" s="90"/>
      <c r="AW363" s="90"/>
      <c r="AX363" s="90"/>
      <c r="AY363" s="90"/>
      <c r="AZ363" s="90"/>
    </row>
    <row r="364" spans="1:52" ht="39" customHeight="1" x14ac:dyDescent="0.25">
      <c r="A364" s="99" t="s">
        <v>1530</v>
      </c>
      <c r="B364" s="197" t="s">
        <v>1531</v>
      </c>
      <c r="C364" s="239"/>
      <c r="D364" s="99"/>
      <c r="E364" s="99"/>
      <c r="F364" s="197"/>
      <c r="G364" s="99"/>
      <c r="H364" s="99"/>
      <c r="I364" s="197"/>
      <c r="J364" s="197"/>
      <c r="K364" s="197" t="s">
        <v>737</v>
      </c>
      <c r="L364" s="197" t="s">
        <v>878</v>
      </c>
      <c r="M364" s="197" t="s">
        <v>1363</v>
      </c>
      <c r="N364" s="99" t="s">
        <v>880</v>
      </c>
      <c r="O364" s="99"/>
      <c r="P364" s="99">
        <v>220</v>
      </c>
      <c r="Q364" s="99">
        <f t="shared" si="49"/>
        <v>220</v>
      </c>
      <c r="R364" s="99" t="s">
        <v>91</v>
      </c>
      <c r="S364" s="99" t="s">
        <v>90</v>
      </c>
      <c r="T364" s="99" t="s">
        <v>91</v>
      </c>
      <c r="U364" s="99" t="s">
        <v>881</v>
      </c>
      <c r="V364" s="99" t="s">
        <v>882</v>
      </c>
      <c r="W364" s="99"/>
      <c r="X364" s="99"/>
      <c r="Y364" s="99"/>
      <c r="Z364" s="99"/>
      <c r="AA364" s="99">
        <v>4</v>
      </c>
      <c r="AB364" s="99"/>
      <c r="AC364" s="197">
        <f t="shared" si="50"/>
        <v>4</v>
      </c>
      <c r="AD364" s="99">
        <v>4</v>
      </c>
      <c r="AE364" s="99"/>
      <c r="AF364" s="99"/>
      <c r="AG364" s="99">
        <f t="shared" si="51"/>
        <v>4</v>
      </c>
      <c r="AH364" s="99"/>
      <c r="AI364" s="99">
        <v>4</v>
      </c>
      <c r="AJ364" s="99"/>
      <c r="AK364" s="99"/>
      <c r="AL364" s="99"/>
      <c r="AM364" s="99">
        <f t="shared" si="48"/>
        <v>4</v>
      </c>
      <c r="AN364" s="99" t="s">
        <v>883</v>
      </c>
      <c r="AO364" s="99">
        <v>3</v>
      </c>
      <c r="AP364" s="99" t="s">
        <v>1645</v>
      </c>
    </row>
    <row r="365" spans="1:52" ht="39" customHeight="1" x14ac:dyDescent="0.25">
      <c r="A365" s="99" t="s">
        <v>1364</v>
      </c>
      <c r="B365" s="197" t="s">
        <v>1365</v>
      </c>
      <c r="C365" s="239">
        <v>101277000</v>
      </c>
      <c r="D365" s="99">
        <v>1611082857</v>
      </c>
      <c r="E365" s="99"/>
      <c r="F365" s="197" t="e">
        <f>VLOOKUP(D365,'rà soát ĐK'!B358:C808,2,0)</f>
        <v>#N/A</v>
      </c>
      <c r="G365" s="99"/>
      <c r="H365" s="99" t="str">
        <f>VLOOKUP(C365,'[1]Bến Cát'!$E$4:$F$177,2,0)</f>
        <v>11.2613528, 106.6483117</v>
      </c>
      <c r="I365" s="239">
        <v>112613528</v>
      </c>
      <c r="J365" s="239">
        <v>1066483117</v>
      </c>
      <c r="K365" s="197" t="s">
        <v>1366</v>
      </c>
      <c r="L365" s="197" t="s">
        <v>878</v>
      </c>
      <c r="M365" s="197" t="s">
        <v>1368</v>
      </c>
      <c r="N365" s="99" t="s">
        <v>1369</v>
      </c>
      <c r="O365" s="99"/>
      <c r="P365" s="99">
        <v>1980</v>
      </c>
      <c r="Q365" s="99">
        <f t="shared" si="49"/>
        <v>1980</v>
      </c>
      <c r="R365" s="99" t="s">
        <v>91</v>
      </c>
      <c r="S365" s="99" t="s">
        <v>90</v>
      </c>
      <c r="T365" s="99" t="s">
        <v>91</v>
      </c>
      <c r="U365" s="99" t="s">
        <v>881</v>
      </c>
      <c r="V365" s="99" t="s">
        <v>882</v>
      </c>
      <c r="W365" s="99"/>
      <c r="X365" s="99"/>
      <c r="Y365" s="99">
        <v>28</v>
      </c>
      <c r="Z365" s="99"/>
      <c r="AA365" s="99">
        <v>7</v>
      </c>
      <c r="AB365" s="99"/>
      <c r="AC365" s="197">
        <f t="shared" si="50"/>
        <v>35</v>
      </c>
      <c r="AD365" s="99">
        <v>35</v>
      </c>
      <c r="AE365" s="99"/>
      <c r="AF365" s="99"/>
      <c r="AG365" s="99">
        <f t="shared" si="51"/>
        <v>35</v>
      </c>
      <c r="AH365" s="99"/>
      <c r="AI365" s="99">
        <v>35</v>
      </c>
      <c r="AJ365" s="99"/>
      <c r="AK365" s="99"/>
      <c r="AL365" s="99"/>
      <c r="AM365" s="99">
        <f t="shared" si="48"/>
        <v>35</v>
      </c>
      <c r="AN365" s="99" t="s">
        <v>883</v>
      </c>
      <c r="AO365" s="99">
        <v>3</v>
      </c>
      <c r="AP365" s="99"/>
    </row>
    <row r="366" spans="1:52" ht="39" customHeight="1" x14ac:dyDescent="0.25">
      <c r="A366" s="99" t="s">
        <v>1550</v>
      </c>
      <c r="B366" s="197" t="s">
        <v>1551</v>
      </c>
      <c r="C366" s="239">
        <v>103268000</v>
      </c>
      <c r="D366" s="99">
        <v>1911596390</v>
      </c>
      <c r="E366" s="99"/>
      <c r="F366" s="197" t="e">
        <f>VLOOKUP(D366,'rà soát ĐK'!B359:C809,2,0)</f>
        <v>#N/A</v>
      </c>
      <c r="G366" s="99"/>
      <c r="H366" s="99" t="str">
        <f>VLOOKUP(C366,'[1]Bến Cát'!$E$4:$F$177,2,0)</f>
        <v>11.2452671, 106.6680928</v>
      </c>
      <c r="I366" s="239">
        <v>112452671</v>
      </c>
      <c r="J366" s="239">
        <v>1066680928</v>
      </c>
      <c r="K366" s="197" t="s">
        <v>1552</v>
      </c>
      <c r="L366" s="197" t="s">
        <v>878</v>
      </c>
      <c r="M366" s="197" t="s">
        <v>1554</v>
      </c>
      <c r="N366" s="99" t="s">
        <v>1467</v>
      </c>
      <c r="O366" s="99"/>
      <c r="P366" s="99">
        <v>1710</v>
      </c>
      <c r="Q366" s="99">
        <f t="shared" si="49"/>
        <v>1710</v>
      </c>
      <c r="R366" s="99" t="s">
        <v>91</v>
      </c>
      <c r="S366" s="99" t="s">
        <v>90</v>
      </c>
      <c r="T366" s="99" t="s">
        <v>91</v>
      </c>
      <c r="U366" s="99" t="s">
        <v>881</v>
      </c>
      <c r="V366" s="99" t="s">
        <v>882</v>
      </c>
      <c r="W366" s="99"/>
      <c r="X366" s="99"/>
      <c r="Y366" s="99">
        <v>28</v>
      </c>
      <c r="Z366" s="99">
        <v>1</v>
      </c>
      <c r="AA366" s="99">
        <v>3</v>
      </c>
      <c r="AB366" s="99"/>
      <c r="AC366" s="197">
        <f t="shared" si="50"/>
        <v>32</v>
      </c>
      <c r="AD366" s="99">
        <v>32</v>
      </c>
      <c r="AE366" s="99"/>
      <c r="AF366" s="99"/>
      <c r="AG366" s="99">
        <f t="shared" si="51"/>
        <v>32</v>
      </c>
      <c r="AH366" s="99"/>
      <c r="AI366" s="99">
        <v>32</v>
      </c>
      <c r="AJ366" s="99"/>
      <c r="AK366" s="99"/>
      <c r="AL366" s="99"/>
      <c r="AM366" s="99">
        <f t="shared" si="48"/>
        <v>32</v>
      </c>
      <c r="AN366" s="99" t="s">
        <v>883</v>
      </c>
      <c r="AO366" s="99">
        <v>3</v>
      </c>
      <c r="AP366" s="99"/>
    </row>
    <row r="367" spans="1:52" ht="39" customHeight="1" x14ac:dyDescent="0.25">
      <c r="A367" s="99" t="s">
        <v>1427</v>
      </c>
      <c r="B367" s="197" t="s">
        <v>1428</v>
      </c>
      <c r="C367" s="239">
        <v>102702000</v>
      </c>
      <c r="D367" s="99">
        <v>1611082748</v>
      </c>
      <c r="E367" s="99"/>
      <c r="F367" s="197" t="e">
        <f>VLOOKUP(D367,'rà soát ĐK'!B360:C810,2,0)</f>
        <v>#N/A</v>
      </c>
      <c r="G367" s="99"/>
      <c r="H367" s="99" t="str">
        <f>VLOOKUP(C367,'[1]Bến Cát'!$E$4:$F$177,2,0)</f>
        <v>11.2647117, 106.64714</v>
      </c>
      <c r="I367" s="239">
        <v>112647117</v>
      </c>
      <c r="J367" s="239">
        <v>10664714</v>
      </c>
      <c r="K367" s="197" t="s">
        <v>1431</v>
      </c>
      <c r="L367" s="197" t="s">
        <v>878</v>
      </c>
      <c r="M367" s="197" t="s">
        <v>1432</v>
      </c>
      <c r="N367" s="99" t="s">
        <v>969</v>
      </c>
      <c r="O367" s="99"/>
      <c r="P367" s="99">
        <v>1440</v>
      </c>
      <c r="Q367" s="99">
        <f t="shared" si="49"/>
        <v>1440</v>
      </c>
      <c r="R367" s="99" t="s">
        <v>91</v>
      </c>
      <c r="S367" s="99" t="s">
        <v>90</v>
      </c>
      <c r="T367" s="99" t="s">
        <v>91</v>
      </c>
      <c r="U367" s="99" t="s">
        <v>881</v>
      </c>
      <c r="V367" s="99" t="s">
        <v>882</v>
      </c>
      <c r="W367" s="99"/>
      <c r="X367" s="99"/>
      <c r="Y367" s="99">
        <v>23</v>
      </c>
      <c r="Z367" s="99"/>
      <c r="AA367" s="99"/>
      <c r="AB367" s="99"/>
      <c r="AC367" s="197">
        <f t="shared" si="50"/>
        <v>23</v>
      </c>
      <c r="AD367" s="99">
        <v>23</v>
      </c>
      <c r="AE367" s="99"/>
      <c r="AF367" s="99"/>
      <c r="AG367" s="99">
        <f t="shared" si="51"/>
        <v>23</v>
      </c>
      <c r="AH367" s="99"/>
      <c r="AI367" s="99">
        <v>23</v>
      </c>
      <c r="AJ367" s="99"/>
      <c r="AK367" s="99"/>
      <c r="AL367" s="99"/>
      <c r="AM367" s="99">
        <f t="shared" si="48"/>
        <v>23</v>
      </c>
      <c r="AN367" s="99" t="s">
        <v>883</v>
      </c>
      <c r="AO367" s="99">
        <v>3</v>
      </c>
      <c r="AP367" s="99"/>
    </row>
    <row r="368" spans="1:52" ht="39" customHeight="1" x14ac:dyDescent="0.25">
      <c r="A368" s="99" t="s">
        <v>1463</v>
      </c>
      <c r="B368" s="197" t="s">
        <v>1464</v>
      </c>
      <c r="C368" s="239">
        <v>102703000</v>
      </c>
      <c r="D368" s="99">
        <v>1911429309</v>
      </c>
      <c r="E368" s="99"/>
      <c r="F368" s="197" t="e">
        <f>VLOOKUP(D368,'rà soát ĐK'!B361:C811,2,0)</f>
        <v>#N/A</v>
      </c>
      <c r="G368" s="99"/>
      <c r="H368" s="99" t="str">
        <f>VLOOKUP(C368,'[1]Bến Cát'!$E$4:$F$177,2,0)</f>
        <v>11.2600375, 106.6529022</v>
      </c>
      <c r="I368" s="239">
        <v>112600375</v>
      </c>
      <c r="J368" s="239">
        <v>1066529022</v>
      </c>
      <c r="K368" s="197" t="s">
        <v>1431</v>
      </c>
      <c r="L368" s="197" t="s">
        <v>878</v>
      </c>
      <c r="M368" s="197" t="s">
        <v>1432</v>
      </c>
      <c r="N368" s="99" t="s">
        <v>1467</v>
      </c>
      <c r="O368" s="99"/>
      <c r="P368" s="99">
        <v>1200</v>
      </c>
      <c r="Q368" s="99">
        <f t="shared" si="49"/>
        <v>1200</v>
      </c>
      <c r="R368" s="99" t="s">
        <v>91</v>
      </c>
      <c r="S368" s="99" t="s">
        <v>90</v>
      </c>
      <c r="T368" s="99" t="s">
        <v>91</v>
      </c>
      <c r="U368" s="99" t="s">
        <v>881</v>
      </c>
      <c r="V368" s="99" t="s">
        <v>882</v>
      </c>
      <c r="W368" s="99"/>
      <c r="X368" s="99"/>
      <c r="Y368" s="99">
        <v>12</v>
      </c>
      <c r="Z368" s="99">
        <v>2</v>
      </c>
      <c r="AA368" s="99">
        <v>7</v>
      </c>
      <c r="AB368" s="99"/>
      <c r="AC368" s="197">
        <f t="shared" si="50"/>
        <v>21</v>
      </c>
      <c r="AD368" s="99">
        <v>21</v>
      </c>
      <c r="AE368" s="99"/>
      <c r="AF368" s="99"/>
      <c r="AG368" s="99">
        <f t="shared" si="51"/>
        <v>21</v>
      </c>
      <c r="AH368" s="99">
        <v>2</v>
      </c>
      <c r="AI368" s="99">
        <v>19</v>
      </c>
      <c r="AJ368" s="99"/>
      <c r="AK368" s="99"/>
      <c r="AL368" s="99"/>
      <c r="AM368" s="99">
        <f t="shared" si="48"/>
        <v>21</v>
      </c>
      <c r="AN368" s="99" t="s">
        <v>883</v>
      </c>
      <c r="AO368" s="99">
        <v>3</v>
      </c>
      <c r="AP368" s="99"/>
    </row>
    <row r="369" spans="1:42" ht="39" customHeight="1" x14ac:dyDescent="0.25">
      <c r="A369" s="99" t="s">
        <v>1512</v>
      </c>
      <c r="B369" s="197" t="s">
        <v>1513</v>
      </c>
      <c r="C369" s="239">
        <v>102705000</v>
      </c>
      <c r="D369" s="99">
        <v>1611391689</v>
      </c>
      <c r="E369" s="99"/>
      <c r="F369" s="197" t="e">
        <f>VLOOKUP(D369,'rà soát ĐK'!B362:C812,2,0)</f>
        <v>#N/A</v>
      </c>
      <c r="G369" s="99"/>
      <c r="H369" s="99" t="str">
        <f>VLOOKUP(C369,'[1]Bến Cát'!$E$4:$F$177,2,0)</f>
        <v>11.2525064, 106.6616621</v>
      </c>
      <c r="I369" s="239">
        <v>112525064</v>
      </c>
      <c r="J369" s="239">
        <v>1066616621</v>
      </c>
      <c r="K369" s="197" t="s">
        <v>1431</v>
      </c>
      <c r="L369" s="197" t="s">
        <v>878</v>
      </c>
      <c r="M369" s="197" t="s">
        <v>1496</v>
      </c>
      <c r="N369" s="99" t="s">
        <v>1516</v>
      </c>
      <c r="O369" s="99"/>
      <c r="P369" s="99">
        <v>1230</v>
      </c>
      <c r="Q369" s="99">
        <f t="shared" si="49"/>
        <v>1230</v>
      </c>
      <c r="R369" s="99" t="s">
        <v>91</v>
      </c>
      <c r="S369" s="99" t="s">
        <v>90</v>
      </c>
      <c r="T369" s="99" t="s">
        <v>91</v>
      </c>
      <c r="U369" s="99" t="s">
        <v>881</v>
      </c>
      <c r="V369" s="99" t="s">
        <v>882</v>
      </c>
      <c r="W369" s="99"/>
      <c r="X369" s="99"/>
      <c r="Y369" s="99">
        <v>8</v>
      </c>
      <c r="Z369" s="99"/>
      <c r="AA369" s="99">
        <v>8</v>
      </c>
      <c r="AB369" s="99"/>
      <c r="AC369" s="197">
        <f t="shared" si="50"/>
        <v>16</v>
      </c>
      <c r="AD369" s="99">
        <v>16</v>
      </c>
      <c r="AE369" s="99"/>
      <c r="AF369" s="99"/>
      <c r="AG369" s="99">
        <f t="shared" si="51"/>
        <v>16</v>
      </c>
      <c r="AH369" s="99"/>
      <c r="AI369" s="99">
        <v>16</v>
      </c>
      <c r="AJ369" s="99"/>
      <c r="AK369" s="99"/>
      <c r="AL369" s="99"/>
      <c r="AM369" s="99">
        <f t="shared" si="48"/>
        <v>16</v>
      </c>
      <c r="AN369" s="99" t="s">
        <v>883</v>
      </c>
      <c r="AO369" s="99">
        <v>3</v>
      </c>
      <c r="AP369" s="99"/>
    </row>
    <row r="370" spans="1:42" ht="39" customHeight="1" x14ac:dyDescent="0.25">
      <c r="A370" s="99" t="s">
        <v>1541</v>
      </c>
      <c r="B370" s="197" t="s">
        <v>1542</v>
      </c>
      <c r="C370" s="239">
        <v>102706000</v>
      </c>
      <c r="D370" s="99">
        <v>21016193</v>
      </c>
      <c r="E370" s="99"/>
      <c r="F370" s="197" t="e">
        <f>VLOOKUP(D370,'rà soát ĐK'!B363:C813,2,0)</f>
        <v>#N/A</v>
      </c>
      <c r="G370" s="99"/>
      <c r="H370" s="99" t="str">
        <f>VLOOKUP(C370,'[1]Bến Cát'!$E$4:$F$177,2,0)</f>
        <v>11.2469271, 106.6687276</v>
      </c>
      <c r="I370" s="239">
        <v>112469271</v>
      </c>
      <c r="J370" s="239">
        <v>1066687276</v>
      </c>
      <c r="K370" s="197" t="s">
        <v>1431</v>
      </c>
      <c r="L370" s="197" t="s">
        <v>878</v>
      </c>
      <c r="M370" s="197" t="s">
        <v>1432</v>
      </c>
      <c r="N370" s="99" t="s">
        <v>1516</v>
      </c>
      <c r="O370" s="99"/>
      <c r="P370" s="99">
        <v>880</v>
      </c>
      <c r="Q370" s="99">
        <f t="shared" si="49"/>
        <v>880</v>
      </c>
      <c r="R370" s="99" t="s">
        <v>91</v>
      </c>
      <c r="S370" s="99" t="s">
        <v>90</v>
      </c>
      <c r="T370" s="99" t="s">
        <v>91</v>
      </c>
      <c r="U370" s="99" t="s">
        <v>881</v>
      </c>
      <c r="V370" s="99" t="s">
        <v>882</v>
      </c>
      <c r="W370" s="99"/>
      <c r="X370" s="99"/>
      <c r="Y370" s="99">
        <v>9</v>
      </c>
      <c r="Z370" s="99"/>
      <c r="AA370" s="99">
        <v>8</v>
      </c>
      <c r="AB370" s="99"/>
      <c r="AC370" s="197">
        <f t="shared" si="50"/>
        <v>17</v>
      </c>
      <c r="AD370" s="99">
        <v>17</v>
      </c>
      <c r="AE370" s="99"/>
      <c r="AF370" s="99"/>
      <c r="AG370" s="99">
        <f t="shared" si="51"/>
        <v>17</v>
      </c>
      <c r="AH370" s="99"/>
      <c r="AI370" s="99">
        <v>17</v>
      </c>
      <c r="AJ370" s="99"/>
      <c r="AK370" s="99"/>
      <c r="AL370" s="99"/>
      <c r="AM370" s="99">
        <f t="shared" si="48"/>
        <v>17</v>
      </c>
      <c r="AN370" s="99" t="s">
        <v>883</v>
      </c>
      <c r="AO370" s="99">
        <v>3</v>
      </c>
      <c r="AP370" s="99"/>
    </row>
    <row r="371" spans="1:42" ht="39" customHeight="1" x14ac:dyDescent="0.25">
      <c r="A371" s="99" t="s">
        <v>1003</v>
      </c>
      <c r="B371" s="197" t="s">
        <v>1004</v>
      </c>
      <c r="C371" s="239">
        <v>102736000</v>
      </c>
      <c r="D371" s="99" t="s">
        <v>1006</v>
      </c>
      <c r="E371" s="99"/>
      <c r="F371" s="197" t="s">
        <v>1006</v>
      </c>
      <c r="G371" s="99" t="s">
        <v>1006</v>
      </c>
      <c r="H371" s="99" t="str">
        <f>VLOOKUP(C371,'[1]Bến Cát'!$E$4:$F$177,2,0)</f>
        <v>11.1520701, 106.6015212</v>
      </c>
      <c r="I371" s="239">
        <v>111520701</v>
      </c>
      <c r="J371" s="239">
        <v>1066015212</v>
      </c>
      <c r="K371" s="197" t="s">
        <v>1005</v>
      </c>
      <c r="L371" s="197" t="s">
        <v>878</v>
      </c>
      <c r="M371" s="197" t="s">
        <v>1007</v>
      </c>
      <c r="N371" s="99" t="s">
        <v>969</v>
      </c>
      <c r="O371" s="99"/>
      <c r="P371" s="99">
        <v>455</v>
      </c>
      <c r="Q371" s="99">
        <f t="shared" si="49"/>
        <v>455</v>
      </c>
      <c r="R371" s="99" t="s">
        <v>91</v>
      </c>
      <c r="S371" s="99" t="s">
        <v>90</v>
      </c>
      <c r="T371" s="99" t="s">
        <v>91</v>
      </c>
      <c r="U371" s="99" t="s">
        <v>881</v>
      </c>
      <c r="V371" s="99" t="s">
        <v>897</v>
      </c>
      <c r="W371" s="99"/>
      <c r="X371" s="99"/>
      <c r="Y371" s="99"/>
      <c r="Z371" s="99"/>
      <c r="AA371" s="99">
        <v>14</v>
      </c>
      <c r="AB371" s="99"/>
      <c r="AC371" s="197">
        <f t="shared" si="50"/>
        <v>14</v>
      </c>
      <c r="AD371" s="99">
        <v>14</v>
      </c>
      <c r="AE371" s="99"/>
      <c r="AF371" s="99"/>
      <c r="AG371" s="99">
        <f t="shared" si="51"/>
        <v>14</v>
      </c>
      <c r="AH371" s="99"/>
      <c r="AI371" s="99">
        <v>14</v>
      </c>
      <c r="AJ371" s="99"/>
      <c r="AK371" s="99"/>
      <c r="AL371" s="99"/>
      <c r="AM371" s="99">
        <f t="shared" si="48"/>
        <v>14</v>
      </c>
      <c r="AN371" s="99" t="s">
        <v>883</v>
      </c>
      <c r="AO371" s="99">
        <v>3</v>
      </c>
      <c r="AP371" s="99"/>
    </row>
    <row r="372" spans="1:42" ht="39" customHeight="1" x14ac:dyDescent="0.25">
      <c r="A372" s="99" t="s">
        <v>906</v>
      </c>
      <c r="B372" s="197" t="s">
        <v>907</v>
      </c>
      <c r="C372" s="239">
        <v>102731000</v>
      </c>
      <c r="D372" s="99" t="s">
        <v>909</v>
      </c>
      <c r="E372" s="99"/>
      <c r="F372" s="197" t="s">
        <v>909</v>
      </c>
      <c r="G372" s="99" t="s">
        <v>909</v>
      </c>
      <c r="H372" s="99" t="str">
        <f>VLOOKUP(C372,'[1]Bến Cát'!$E$4:$F$177,2,0)</f>
        <v>11.1564574, 106.6070764</v>
      </c>
      <c r="I372" s="239">
        <v>111564574</v>
      </c>
      <c r="J372" s="239">
        <v>1066070764</v>
      </c>
      <c r="K372" s="197" t="s">
        <v>908</v>
      </c>
      <c r="L372" s="197" t="s">
        <v>878</v>
      </c>
      <c r="M372" s="197" t="s">
        <v>910</v>
      </c>
      <c r="N372" s="99" t="s">
        <v>911</v>
      </c>
      <c r="O372" s="99"/>
      <c r="P372" s="99">
        <v>555</v>
      </c>
      <c r="Q372" s="99">
        <f t="shared" si="49"/>
        <v>555</v>
      </c>
      <c r="R372" s="99" t="s">
        <v>91</v>
      </c>
      <c r="S372" s="99" t="s">
        <v>90</v>
      </c>
      <c r="T372" s="99" t="s">
        <v>91</v>
      </c>
      <c r="U372" s="99" t="s">
        <v>881</v>
      </c>
      <c r="V372" s="99" t="s">
        <v>897</v>
      </c>
      <c r="W372" s="99"/>
      <c r="X372" s="99"/>
      <c r="Y372" s="99"/>
      <c r="Z372" s="99"/>
      <c r="AA372" s="99">
        <v>19</v>
      </c>
      <c r="AB372" s="99"/>
      <c r="AC372" s="197">
        <f t="shared" si="50"/>
        <v>19</v>
      </c>
      <c r="AD372" s="99">
        <v>19</v>
      </c>
      <c r="AE372" s="99"/>
      <c r="AF372" s="99"/>
      <c r="AG372" s="99">
        <f t="shared" si="51"/>
        <v>19</v>
      </c>
      <c r="AH372" s="99"/>
      <c r="AI372" s="99">
        <v>19</v>
      </c>
      <c r="AJ372" s="99"/>
      <c r="AK372" s="99"/>
      <c r="AL372" s="99"/>
      <c r="AM372" s="99">
        <f t="shared" si="48"/>
        <v>19</v>
      </c>
      <c r="AN372" s="99" t="s">
        <v>883</v>
      </c>
      <c r="AO372" s="99">
        <v>2</v>
      </c>
      <c r="AP372" s="99"/>
    </row>
    <row r="373" spans="1:42" ht="39" customHeight="1" x14ac:dyDescent="0.25">
      <c r="A373" s="99" t="s">
        <v>1062</v>
      </c>
      <c r="B373" s="197" t="s">
        <v>1063</v>
      </c>
      <c r="C373" s="239">
        <v>102737000</v>
      </c>
      <c r="D373" s="99">
        <v>1511022234</v>
      </c>
      <c r="E373" s="99"/>
      <c r="F373" s="197" t="e">
        <f>VLOOKUP(D373,'rà soát ĐK'!B366:C816,2,0)</f>
        <v>#N/A</v>
      </c>
      <c r="G373" s="99"/>
      <c r="H373" s="99" t="str">
        <f>VLOOKUP(C373,'[1]Bến Cát'!$E$4:$F$177,2,0)</f>
        <v>11.1571164, 106.5835292</v>
      </c>
      <c r="I373" s="239">
        <v>111571164</v>
      </c>
      <c r="J373" s="239">
        <v>1065835292</v>
      </c>
      <c r="K373" s="197" t="s">
        <v>1064</v>
      </c>
      <c r="L373" s="197" t="s">
        <v>878</v>
      </c>
      <c r="M373" s="197" t="s">
        <v>1066</v>
      </c>
      <c r="N373" s="99" t="s">
        <v>926</v>
      </c>
      <c r="O373" s="99"/>
      <c r="P373" s="99">
        <v>305</v>
      </c>
      <c r="Q373" s="99">
        <f t="shared" si="49"/>
        <v>305</v>
      </c>
      <c r="R373" s="99" t="s">
        <v>91</v>
      </c>
      <c r="S373" s="99" t="s">
        <v>90</v>
      </c>
      <c r="T373" s="99" t="s">
        <v>91</v>
      </c>
      <c r="U373" s="99" t="s">
        <v>881</v>
      </c>
      <c r="V373" s="99" t="s">
        <v>897</v>
      </c>
      <c r="W373" s="99"/>
      <c r="X373" s="99"/>
      <c r="Y373" s="99"/>
      <c r="Z373" s="99"/>
      <c r="AA373" s="99">
        <v>10</v>
      </c>
      <c r="AB373" s="99"/>
      <c r="AC373" s="197">
        <f t="shared" si="50"/>
        <v>10</v>
      </c>
      <c r="AD373" s="99">
        <v>10</v>
      </c>
      <c r="AE373" s="99"/>
      <c r="AF373" s="99"/>
      <c r="AG373" s="99">
        <f t="shared" si="51"/>
        <v>10</v>
      </c>
      <c r="AH373" s="99"/>
      <c r="AI373" s="99">
        <v>10</v>
      </c>
      <c r="AJ373" s="99"/>
      <c r="AK373" s="99"/>
      <c r="AL373" s="99"/>
      <c r="AM373" s="99">
        <f t="shared" si="48"/>
        <v>10</v>
      </c>
      <c r="AN373" s="99" t="s">
        <v>883</v>
      </c>
      <c r="AO373" s="99">
        <v>2</v>
      </c>
      <c r="AP373" s="99"/>
    </row>
    <row r="374" spans="1:42" ht="39" customHeight="1" x14ac:dyDescent="0.25">
      <c r="A374" s="99" t="s">
        <v>1100</v>
      </c>
      <c r="B374" s="197" t="s">
        <v>1101</v>
      </c>
      <c r="C374" s="239">
        <v>102740000</v>
      </c>
      <c r="D374" s="99">
        <v>24120000936</v>
      </c>
      <c r="E374" s="99"/>
      <c r="F374" s="197" t="e">
        <f>VLOOKUP(D374,'rà soát ĐK'!B367:C817,2,0)</f>
        <v>#N/A</v>
      </c>
      <c r="G374" s="99"/>
      <c r="H374" s="99" t="str">
        <f>VLOOKUP(C374,'[1]Bến Cát'!$E$4:$F$177,2,0)</f>
        <v>11.1557743, 106.5798114</v>
      </c>
      <c r="I374" s="239">
        <v>111557743</v>
      </c>
      <c r="J374" s="239">
        <v>1065798114</v>
      </c>
      <c r="K374" s="197" t="s">
        <v>1102</v>
      </c>
      <c r="L374" s="197" t="s">
        <v>878</v>
      </c>
      <c r="M374" s="197" t="s">
        <v>1104</v>
      </c>
      <c r="N374" s="99" t="s">
        <v>911</v>
      </c>
      <c r="O374" s="99"/>
      <c r="P374" s="99">
        <v>215</v>
      </c>
      <c r="Q374" s="99">
        <f t="shared" si="49"/>
        <v>215</v>
      </c>
      <c r="R374" s="99" t="s">
        <v>90</v>
      </c>
      <c r="S374" s="99" t="s">
        <v>91</v>
      </c>
      <c r="T374" s="99" t="s">
        <v>91</v>
      </c>
      <c r="U374" s="99" t="s">
        <v>881</v>
      </c>
      <c r="V374" s="99" t="s">
        <v>897</v>
      </c>
      <c r="W374" s="99"/>
      <c r="X374" s="99"/>
      <c r="Y374" s="99"/>
      <c r="Z374" s="99"/>
      <c r="AA374" s="99">
        <v>7</v>
      </c>
      <c r="AB374" s="99"/>
      <c r="AC374" s="197">
        <f t="shared" si="50"/>
        <v>7</v>
      </c>
      <c r="AD374" s="99">
        <v>7</v>
      </c>
      <c r="AE374" s="99"/>
      <c r="AF374" s="99"/>
      <c r="AG374" s="99">
        <f t="shared" si="51"/>
        <v>7</v>
      </c>
      <c r="AH374" s="99"/>
      <c r="AI374" s="99">
        <v>7</v>
      </c>
      <c r="AJ374" s="99"/>
      <c r="AK374" s="99"/>
      <c r="AL374" s="99"/>
      <c r="AM374" s="99">
        <f t="shared" si="48"/>
        <v>7</v>
      </c>
      <c r="AN374" s="99" t="s">
        <v>883</v>
      </c>
      <c r="AO374" s="99">
        <v>3</v>
      </c>
      <c r="AP374" s="99"/>
    </row>
    <row r="375" spans="1:42" ht="39" customHeight="1" x14ac:dyDescent="0.25">
      <c r="A375" s="99" t="s">
        <v>1509</v>
      </c>
      <c r="B375" s="197" t="s">
        <v>1510</v>
      </c>
      <c r="C375" s="239">
        <v>102751000</v>
      </c>
      <c r="D375" s="99">
        <v>241200275421</v>
      </c>
      <c r="E375" s="99"/>
      <c r="F375" s="197" t="e">
        <f>VLOOKUP(D375,'rà soát ĐK'!B368:C818,2,0)</f>
        <v>#N/A</v>
      </c>
      <c r="G375" s="99"/>
      <c r="H375" s="99" t="str">
        <f>VLOOKUP(C375,'[1]Bến Cát'!$E$4:$F$177,2,0)</f>
        <v>11.151840684754257, 106.58878315892898</v>
      </c>
      <c r="I375" s="239">
        <v>1.11518406847542E+16</v>
      </c>
      <c r="J375" s="239">
        <v>1.06588783158928E+16</v>
      </c>
      <c r="K375" s="197" t="s">
        <v>1506</v>
      </c>
      <c r="L375" s="197" t="s">
        <v>878</v>
      </c>
      <c r="M375" s="197" t="s">
        <v>1508</v>
      </c>
      <c r="N375" s="99" t="s">
        <v>1511</v>
      </c>
      <c r="O375" s="99"/>
      <c r="P375" s="99">
        <v>390</v>
      </c>
      <c r="Q375" s="99">
        <f t="shared" si="49"/>
        <v>390</v>
      </c>
      <c r="R375" s="99" t="s">
        <v>90</v>
      </c>
      <c r="S375" s="99" t="s">
        <v>91</v>
      </c>
      <c r="T375" s="99" t="s">
        <v>91</v>
      </c>
      <c r="U375" s="99" t="s">
        <v>881</v>
      </c>
      <c r="V375" s="99" t="s">
        <v>882</v>
      </c>
      <c r="W375" s="99"/>
      <c r="X375" s="99"/>
      <c r="Y375" s="99"/>
      <c r="Z375" s="99"/>
      <c r="AA375" s="99">
        <v>13</v>
      </c>
      <c r="AB375" s="99"/>
      <c r="AC375" s="197">
        <f t="shared" si="50"/>
        <v>13</v>
      </c>
      <c r="AD375" s="99">
        <v>13</v>
      </c>
      <c r="AE375" s="99"/>
      <c r="AF375" s="99"/>
      <c r="AG375" s="99">
        <f t="shared" si="51"/>
        <v>13</v>
      </c>
      <c r="AH375" s="99"/>
      <c r="AI375" s="99">
        <v>13</v>
      </c>
      <c r="AJ375" s="99"/>
      <c r="AK375" s="99"/>
      <c r="AL375" s="99"/>
      <c r="AM375" s="99">
        <f t="shared" si="48"/>
        <v>13</v>
      </c>
      <c r="AN375" s="99" t="s">
        <v>883</v>
      </c>
      <c r="AO375" s="99">
        <v>3</v>
      </c>
      <c r="AP375" s="99"/>
    </row>
    <row r="376" spans="1:42" ht="39" customHeight="1" x14ac:dyDescent="0.25">
      <c r="A376" s="99" t="s">
        <v>1179</v>
      </c>
      <c r="B376" s="197" t="s">
        <v>1180</v>
      </c>
      <c r="C376" s="239">
        <v>100938000</v>
      </c>
      <c r="D376" s="99" t="s">
        <v>1182</v>
      </c>
      <c r="E376" s="99"/>
      <c r="F376" s="197" t="s">
        <v>1182</v>
      </c>
      <c r="G376" s="99" t="s">
        <v>1182</v>
      </c>
      <c r="H376" s="99" t="str">
        <f>VLOOKUP(C376,'[1]Bến Cát'!$E$4:$F$177,2,0)</f>
        <v>11.1495126, 106.5919162</v>
      </c>
      <c r="I376" s="239">
        <v>111495126</v>
      </c>
      <c r="J376" s="239">
        <v>1065919162</v>
      </c>
      <c r="K376" s="197" t="s">
        <v>1181</v>
      </c>
      <c r="L376" s="197" t="s">
        <v>878</v>
      </c>
      <c r="M376" s="197" t="s">
        <v>1183</v>
      </c>
      <c r="N376" s="99" t="s">
        <v>911</v>
      </c>
      <c r="O376" s="99"/>
      <c r="P376" s="99">
        <v>220</v>
      </c>
      <c r="Q376" s="99">
        <f t="shared" si="49"/>
        <v>220</v>
      </c>
      <c r="R376" s="99" t="s">
        <v>91</v>
      </c>
      <c r="S376" s="99" t="s">
        <v>90</v>
      </c>
      <c r="T376" s="99" t="s">
        <v>91</v>
      </c>
      <c r="U376" s="99" t="s">
        <v>881</v>
      </c>
      <c r="V376" s="99" t="s">
        <v>882</v>
      </c>
      <c r="W376" s="99"/>
      <c r="X376" s="99"/>
      <c r="Y376" s="99"/>
      <c r="Z376" s="99"/>
      <c r="AA376" s="99">
        <v>5</v>
      </c>
      <c r="AB376" s="99">
        <v>3</v>
      </c>
      <c r="AC376" s="197">
        <f t="shared" si="50"/>
        <v>8</v>
      </c>
      <c r="AD376" s="99">
        <v>8</v>
      </c>
      <c r="AE376" s="99"/>
      <c r="AF376" s="99"/>
      <c r="AG376" s="99">
        <f t="shared" si="51"/>
        <v>8</v>
      </c>
      <c r="AH376" s="99">
        <v>3</v>
      </c>
      <c r="AI376" s="99">
        <v>5</v>
      </c>
      <c r="AJ376" s="99"/>
      <c r="AK376" s="99"/>
      <c r="AL376" s="99"/>
      <c r="AM376" s="99">
        <f t="shared" si="48"/>
        <v>8</v>
      </c>
      <c r="AN376" s="99" t="s">
        <v>883</v>
      </c>
      <c r="AO376" s="99">
        <v>2</v>
      </c>
      <c r="AP376" s="99"/>
    </row>
    <row r="377" spans="1:42" ht="39" customHeight="1" x14ac:dyDescent="0.25">
      <c r="A377" s="99" t="s">
        <v>1251</v>
      </c>
      <c r="B377" s="197" t="s">
        <v>1252</v>
      </c>
      <c r="C377" s="239">
        <v>102696000</v>
      </c>
      <c r="D377" s="99">
        <v>18110007437</v>
      </c>
      <c r="E377" s="99"/>
      <c r="F377" s="197" t="e">
        <f>VLOOKUP(D377,'rà soát ĐK'!B370:C820,2,0)</f>
        <v>#N/A</v>
      </c>
      <c r="G377" s="99"/>
      <c r="H377" s="99" t="str">
        <f>VLOOKUP(C377,'[1]Bến Cát'!$E$4:$F$177,2,0)</f>
        <v>11.1421535, 106.6045351</v>
      </c>
      <c r="I377" s="239">
        <v>111421535</v>
      </c>
      <c r="J377" s="239">
        <v>1066045351</v>
      </c>
      <c r="K377" s="197" t="s">
        <v>1253</v>
      </c>
      <c r="L377" s="197" t="s">
        <v>878</v>
      </c>
      <c r="M377" s="197" t="s">
        <v>1255</v>
      </c>
      <c r="N377" s="99" t="s">
        <v>911</v>
      </c>
      <c r="O377" s="99"/>
      <c r="P377" s="99">
        <v>450</v>
      </c>
      <c r="Q377" s="99">
        <f t="shared" si="49"/>
        <v>450</v>
      </c>
      <c r="R377" s="99" t="s">
        <v>91</v>
      </c>
      <c r="S377" s="99" t="s">
        <v>90</v>
      </c>
      <c r="T377" s="99" t="s">
        <v>91</v>
      </c>
      <c r="U377" s="99" t="s">
        <v>881</v>
      </c>
      <c r="V377" s="99" t="s">
        <v>897</v>
      </c>
      <c r="W377" s="99"/>
      <c r="X377" s="99"/>
      <c r="Y377" s="99"/>
      <c r="Z377" s="99"/>
      <c r="AA377" s="99">
        <v>14</v>
      </c>
      <c r="AB377" s="99"/>
      <c r="AC377" s="197">
        <f t="shared" si="50"/>
        <v>14</v>
      </c>
      <c r="AD377" s="99">
        <v>14</v>
      </c>
      <c r="AE377" s="99"/>
      <c r="AF377" s="99"/>
      <c r="AG377" s="99">
        <f t="shared" si="51"/>
        <v>14</v>
      </c>
      <c r="AH377" s="99"/>
      <c r="AI377" s="99">
        <v>14</v>
      </c>
      <c r="AJ377" s="99"/>
      <c r="AK377" s="99"/>
      <c r="AL377" s="99"/>
      <c r="AM377" s="99">
        <f t="shared" si="48"/>
        <v>14</v>
      </c>
      <c r="AN377" s="99" t="s">
        <v>883</v>
      </c>
      <c r="AO377" s="99">
        <v>2</v>
      </c>
      <c r="AP377" s="99"/>
    </row>
    <row r="378" spans="1:42" ht="39" customHeight="1" x14ac:dyDescent="0.25">
      <c r="A378" s="99" t="s">
        <v>1383</v>
      </c>
      <c r="B378" s="197" t="s">
        <v>1384</v>
      </c>
      <c r="C378" s="239">
        <v>102747000</v>
      </c>
      <c r="D378" s="99" t="s">
        <v>1386</v>
      </c>
      <c r="E378" s="99"/>
      <c r="F378" s="197" t="s">
        <v>1386</v>
      </c>
      <c r="G378" s="99" t="s">
        <v>1386</v>
      </c>
      <c r="H378" s="99" t="str">
        <f>VLOOKUP(C378,'[1]Bến Cát'!$E$4:$F$177,2,0)</f>
        <v>11.133994192791187, 106.6042462978791</v>
      </c>
      <c r="I378" s="239">
        <v>1.11339941927911E+16</v>
      </c>
      <c r="J378" s="239">
        <v>1066042462978790</v>
      </c>
      <c r="K378" s="197" t="s">
        <v>1385</v>
      </c>
      <c r="L378" s="197" t="s">
        <v>878</v>
      </c>
      <c r="M378" s="197" t="s">
        <v>1387</v>
      </c>
      <c r="N378" s="99" t="s">
        <v>891</v>
      </c>
      <c r="O378" s="99"/>
      <c r="P378" s="99">
        <v>210</v>
      </c>
      <c r="Q378" s="99">
        <f t="shared" si="49"/>
        <v>210</v>
      </c>
      <c r="R378" s="99" t="s">
        <v>91</v>
      </c>
      <c r="S378" s="99" t="s">
        <v>90</v>
      </c>
      <c r="T378" s="99" t="s">
        <v>91</v>
      </c>
      <c r="U378" s="99" t="s">
        <v>881</v>
      </c>
      <c r="V378" s="99" t="s">
        <v>897</v>
      </c>
      <c r="W378" s="99"/>
      <c r="X378" s="99"/>
      <c r="Y378" s="99"/>
      <c r="Z378" s="99"/>
      <c r="AA378" s="99">
        <v>6</v>
      </c>
      <c r="AB378" s="99"/>
      <c r="AC378" s="197">
        <f t="shared" si="50"/>
        <v>6</v>
      </c>
      <c r="AD378" s="99">
        <v>6</v>
      </c>
      <c r="AE378" s="99"/>
      <c r="AF378" s="99"/>
      <c r="AG378" s="99">
        <f t="shared" si="51"/>
        <v>6</v>
      </c>
      <c r="AH378" s="99"/>
      <c r="AI378" s="99">
        <v>6</v>
      </c>
      <c r="AJ378" s="99"/>
      <c r="AK378" s="99"/>
      <c r="AL378" s="99"/>
      <c r="AM378" s="99">
        <f t="shared" si="48"/>
        <v>6</v>
      </c>
      <c r="AN378" s="99" t="s">
        <v>883</v>
      </c>
      <c r="AO378" s="99">
        <v>2</v>
      </c>
      <c r="AP378" s="99"/>
    </row>
    <row r="379" spans="1:42" ht="39" customHeight="1" x14ac:dyDescent="0.25">
      <c r="A379" s="99" t="s">
        <v>1443</v>
      </c>
      <c r="B379" s="197" t="s">
        <v>1444</v>
      </c>
      <c r="C379" s="239">
        <v>102750000</v>
      </c>
      <c r="D379" s="99">
        <v>1511112075</v>
      </c>
      <c r="E379" s="99"/>
      <c r="F379" s="197" t="e">
        <f>VLOOKUP(D379,'rà soát ĐK'!B372:C822,2,0)</f>
        <v>#N/A</v>
      </c>
      <c r="G379" s="99"/>
      <c r="H379" s="99" t="str">
        <f>VLOOKUP(C379,'[1]Bến Cát'!$E$4:$F$177,2,0)</f>
        <v>11.127885468422724, 106.61101807889264</v>
      </c>
      <c r="I379" s="239">
        <v>1.11278854684227E+16</v>
      </c>
      <c r="J379" s="239">
        <v>1.06611018078892E+16</v>
      </c>
      <c r="K379" s="197" t="s">
        <v>1445</v>
      </c>
      <c r="L379" s="197" t="s">
        <v>878</v>
      </c>
      <c r="M379" s="197" t="s">
        <v>1447</v>
      </c>
      <c r="N379" s="99" t="s">
        <v>926</v>
      </c>
      <c r="O379" s="99"/>
      <c r="P379" s="99">
        <v>390</v>
      </c>
      <c r="Q379" s="99">
        <f t="shared" si="49"/>
        <v>390</v>
      </c>
      <c r="R379" s="99" t="s">
        <v>91</v>
      </c>
      <c r="S379" s="99" t="s">
        <v>90</v>
      </c>
      <c r="T379" s="99" t="s">
        <v>91</v>
      </c>
      <c r="U379" s="99" t="s">
        <v>881</v>
      </c>
      <c r="V379" s="99" t="s">
        <v>897</v>
      </c>
      <c r="W379" s="99"/>
      <c r="X379" s="99"/>
      <c r="Y379" s="99"/>
      <c r="Z379" s="99">
        <v>2</v>
      </c>
      <c r="AA379" s="99">
        <v>13</v>
      </c>
      <c r="AB379" s="99"/>
      <c r="AC379" s="197">
        <f t="shared" si="50"/>
        <v>15</v>
      </c>
      <c r="AD379" s="99">
        <v>15</v>
      </c>
      <c r="AE379" s="99"/>
      <c r="AF379" s="99"/>
      <c r="AG379" s="99">
        <f t="shared" si="51"/>
        <v>15</v>
      </c>
      <c r="AH379" s="99">
        <v>2</v>
      </c>
      <c r="AI379" s="99">
        <v>13</v>
      </c>
      <c r="AJ379" s="99"/>
      <c r="AK379" s="99"/>
      <c r="AL379" s="99"/>
      <c r="AM379" s="99">
        <f t="shared" si="48"/>
        <v>15</v>
      </c>
      <c r="AN379" s="99" t="s">
        <v>883</v>
      </c>
      <c r="AO379" s="99">
        <v>2</v>
      </c>
      <c r="AP379" s="99"/>
    </row>
    <row r="380" spans="1:42" ht="39" customHeight="1" x14ac:dyDescent="0.25">
      <c r="A380" s="99" t="s">
        <v>921</v>
      </c>
      <c r="B380" s="197" t="s">
        <v>922</v>
      </c>
      <c r="C380" s="239">
        <v>102730000</v>
      </c>
      <c r="D380" s="99" t="s">
        <v>924</v>
      </c>
      <c r="E380" s="99"/>
      <c r="F380" s="197" t="s">
        <v>924</v>
      </c>
      <c r="G380" s="99" t="s">
        <v>924</v>
      </c>
      <c r="H380" s="99" t="str">
        <f>VLOOKUP(C380,'[1]Bến Cát'!$E$4:$F$177,2,0)</f>
        <v>11.1532425, 106.6141001</v>
      </c>
      <c r="I380" s="239">
        <v>111532425</v>
      </c>
      <c r="J380" s="239">
        <v>1066141001</v>
      </c>
      <c r="K380" s="197" t="s">
        <v>889</v>
      </c>
      <c r="L380" s="197" t="s">
        <v>878</v>
      </c>
      <c r="M380" s="197" t="s">
        <v>925</v>
      </c>
      <c r="N380" s="99" t="s">
        <v>926</v>
      </c>
      <c r="O380" s="99"/>
      <c r="P380" s="99">
        <v>2220</v>
      </c>
      <c r="Q380" s="99">
        <f t="shared" si="49"/>
        <v>2220</v>
      </c>
      <c r="R380" s="99" t="s">
        <v>90</v>
      </c>
      <c r="S380" s="99" t="s">
        <v>91</v>
      </c>
      <c r="T380" s="99" t="s">
        <v>91</v>
      </c>
      <c r="U380" s="99" t="s">
        <v>881</v>
      </c>
      <c r="V380" s="99" t="s">
        <v>897</v>
      </c>
      <c r="W380" s="99"/>
      <c r="X380" s="99"/>
      <c r="Y380" s="99">
        <v>27</v>
      </c>
      <c r="Z380" s="99"/>
      <c r="AA380" s="99">
        <v>8</v>
      </c>
      <c r="AB380" s="99"/>
      <c r="AC380" s="197">
        <f t="shared" si="50"/>
        <v>35</v>
      </c>
      <c r="AD380" s="99">
        <v>35</v>
      </c>
      <c r="AE380" s="99"/>
      <c r="AF380" s="99"/>
      <c r="AG380" s="99">
        <f t="shared" si="51"/>
        <v>35</v>
      </c>
      <c r="AH380" s="99"/>
      <c r="AI380" s="99">
        <v>35</v>
      </c>
      <c r="AJ380" s="99"/>
      <c r="AK380" s="99"/>
      <c r="AL380" s="99"/>
      <c r="AM380" s="99">
        <f t="shared" si="48"/>
        <v>35</v>
      </c>
      <c r="AN380" s="99" t="s">
        <v>883</v>
      </c>
      <c r="AO380" s="99">
        <v>3</v>
      </c>
      <c r="AP380" s="99"/>
    </row>
    <row r="381" spans="1:42" ht="15.75" customHeight="1" x14ac:dyDescent="0.25">
      <c r="B381" s="243"/>
      <c r="C381" s="243"/>
      <c r="D381" s="108"/>
      <c r="E381" s="108"/>
      <c r="F381" s="243"/>
      <c r="G381" s="108"/>
      <c r="H381" s="108"/>
      <c r="I381" s="243"/>
      <c r="J381" s="243"/>
      <c r="K381" s="243"/>
      <c r="L381" s="243"/>
      <c r="M381" s="243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243"/>
      <c r="AD381" s="108"/>
      <c r="AE381" s="108"/>
      <c r="AF381" s="108"/>
      <c r="AG381" s="108"/>
      <c r="AH381" s="108"/>
      <c r="AI381" s="108"/>
      <c r="AJ381" s="108"/>
      <c r="AK381" s="108"/>
      <c r="AL381" s="108"/>
      <c r="AM381" s="108"/>
      <c r="AN381" s="108"/>
      <c r="AO381" s="108"/>
      <c r="AP381" s="108"/>
    </row>
    <row r="382" spans="1:42" ht="15.75" customHeight="1" x14ac:dyDescent="0.25">
      <c r="B382" s="243"/>
      <c r="C382" s="243"/>
      <c r="D382" s="108"/>
      <c r="E382" s="108"/>
      <c r="F382" s="243"/>
      <c r="G382" s="108"/>
      <c r="H382" s="108"/>
      <c r="I382" s="243"/>
      <c r="J382" s="243"/>
      <c r="K382" s="243"/>
      <c r="L382" s="243"/>
      <c r="M382" s="243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243"/>
      <c r="AD382" s="108"/>
      <c r="AE382" s="108"/>
      <c r="AF382" s="108"/>
      <c r="AG382" s="108"/>
      <c r="AH382" s="108"/>
      <c r="AI382" s="108"/>
      <c r="AJ382" s="108"/>
      <c r="AK382" s="108"/>
      <c r="AL382" s="108"/>
      <c r="AM382" s="108"/>
      <c r="AN382" s="108"/>
      <c r="AO382" s="108"/>
      <c r="AP382" s="108"/>
    </row>
    <row r="383" spans="1:42" ht="15.75" customHeight="1" x14ac:dyDescent="0.25">
      <c r="B383" s="243"/>
      <c r="C383" s="243"/>
      <c r="D383" s="108"/>
      <c r="E383" s="108"/>
      <c r="F383" s="243"/>
      <c r="G383" s="108"/>
      <c r="H383" s="108"/>
      <c r="I383" s="243"/>
      <c r="J383" s="243"/>
      <c r="K383" s="243"/>
      <c r="L383" s="243"/>
      <c r="M383" s="243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243"/>
      <c r="AD383" s="108"/>
      <c r="AE383" s="108"/>
      <c r="AF383" s="108"/>
      <c r="AG383" s="108"/>
      <c r="AH383" s="108"/>
      <c r="AI383" s="108"/>
      <c r="AJ383" s="108"/>
      <c r="AK383" s="108"/>
      <c r="AL383" s="108"/>
      <c r="AM383" s="108"/>
      <c r="AN383" s="108"/>
      <c r="AO383" s="108"/>
      <c r="AP383" s="108"/>
    </row>
    <row r="384" spans="1:42" ht="15.75" customHeight="1" x14ac:dyDescent="0.25">
      <c r="B384" s="243"/>
      <c r="C384" s="243"/>
      <c r="D384" s="108"/>
      <c r="E384" s="108"/>
      <c r="F384" s="243"/>
      <c r="G384" s="108"/>
      <c r="H384" s="108"/>
      <c r="I384" s="243"/>
      <c r="J384" s="243"/>
      <c r="K384" s="243"/>
      <c r="L384" s="243"/>
      <c r="M384" s="243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243"/>
      <c r="AD384" s="108"/>
      <c r="AE384" s="108"/>
      <c r="AF384" s="108"/>
      <c r="AG384" s="108"/>
      <c r="AH384" s="108"/>
      <c r="AI384" s="108"/>
      <c r="AJ384" s="108"/>
      <c r="AK384" s="108"/>
      <c r="AL384" s="108"/>
      <c r="AM384" s="108"/>
      <c r="AN384" s="108"/>
      <c r="AO384" s="108"/>
      <c r="AP384" s="108"/>
    </row>
    <row r="385" spans="2:42" ht="15.75" customHeight="1" x14ac:dyDescent="0.25">
      <c r="B385" s="243"/>
      <c r="C385" s="243"/>
      <c r="D385" s="108"/>
      <c r="E385" s="108"/>
      <c r="F385" s="243"/>
      <c r="G385" s="108"/>
      <c r="H385" s="108"/>
      <c r="I385" s="243"/>
      <c r="J385" s="243"/>
      <c r="K385" s="243"/>
      <c r="L385" s="243"/>
      <c r="M385" s="243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243"/>
      <c r="AD385" s="108"/>
      <c r="AE385" s="108"/>
      <c r="AF385" s="108"/>
      <c r="AG385" s="108"/>
      <c r="AH385" s="108"/>
      <c r="AI385" s="108"/>
      <c r="AJ385" s="108"/>
      <c r="AK385" s="108"/>
      <c r="AL385" s="108"/>
      <c r="AM385" s="108"/>
      <c r="AN385" s="108"/>
      <c r="AO385" s="108"/>
      <c r="AP385" s="108"/>
    </row>
    <row r="386" spans="2:42" ht="15.75" customHeight="1" x14ac:dyDescent="0.25">
      <c r="B386" s="243"/>
      <c r="C386" s="243"/>
      <c r="D386" s="108"/>
      <c r="E386" s="108"/>
      <c r="F386" s="243"/>
      <c r="G386" s="108"/>
      <c r="H386" s="108"/>
      <c r="I386" s="243"/>
      <c r="J386" s="243"/>
      <c r="K386" s="243"/>
      <c r="L386" s="243"/>
      <c r="M386" s="243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243"/>
      <c r="AD386" s="108"/>
      <c r="AE386" s="108"/>
      <c r="AF386" s="108"/>
      <c r="AG386" s="108"/>
      <c r="AH386" s="108"/>
      <c r="AI386" s="108"/>
      <c r="AJ386" s="108"/>
      <c r="AK386" s="108"/>
      <c r="AL386" s="108"/>
      <c r="AM386" s="108"/>
      <c r="AN386" s="108"/>
      <c r="AO386" s="108"/>
      <c r="AP386" s="108"/>
    </row>
    <row r="387" spans="2:42" ht="15.75" customHeight="1" x14ac:dyDescent="0.25">
      <c r="B387" s="243"/>
      <c r="C387" s="243"/>
      <c r="D387" s="108"/>
      <c r="E387" s="108"/>
      <c r="F387" s="243"/>
      <c r="G387" s="108"/>
      <c r="H387" s="108"/>
      <c r="I387" s="243"/>
      <c r="J387" s="243"/>
      <c r="K387" s="243"/>
      <c r="L387" s="243"/>
      <c r="M387" s="243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243"/>
      <c r="AD387" s="108"/>
      <c r="AE387" s="108"/>
      <c r="AF387" s="108"/>
      <c r="AG387" s="108"/>
      <c r="AH387" s="108"/>
      <c r="AI387" s="108"/>
      <c r="AJ387" s="108"/>
      <c r="AK387" s="108"/>
      <c r="AL387" s="108"/>
      <c r="AM387" s="108"/>
      <c r="AN387" s="108"/>
      <c r="AO387" s="108"/>
      <c r="AP387" s="108"/>
    </row>
    <row r="388" spans="2:42" ht="15.75" customHeight="1" x14ac:dyDescent="0.25">
      <c r="B388" s="243"/>
      <c r="C388" s="243"/>
      <c r="D388" s="108"/>
      <c r="E388" s="108"/>
      <c r="F388" s="243"/>
      <c r="G388" s="108"/>
      <c r="H388" s="108"/>
      <c r="I388" s="243"/>
      <c r="J388" s="243"/>
      <c r="K388" s="243"/>
      <c r="L388" s="243"/>
      <c r="M388" s="243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243"/>
      <c r="AD388" s="108"/>
      <c r="AE388" s="108"/>
      <c r="AF388" s="108"/>
      <c r="AG388" s="108"/>
      <c r="AH388" s="108"/>
      <c r="AI388" s="108"/>
      <c r="AJ388" s="108"/>
      <c r="AK388" s="108"/>
      <c r="AL388" s="108"/>
      <c r="AM388" s="108"/>
      <c r="AN388" s="108"/>
      <c r="AO388" s="108"/>
      <c r="AP388" s="108"/>
    </row>
    <row r="389" spans="2:42" ht="15.75" customHeight="1" x14ac:dyDescent="0.25">
      <c r="B389" s="243"/>
      <c r="C389" s="243"/>
      <c r="D389" s="108"/>
      <c r="E389" s="108"/>
      <c r="F389" s="243"/>
      <c r="G389" s="108"/>
      <c r="H389" s="108"/>
      <c r="I389" s="243"/>
      <c r="J389" s="243"/>
      <c r="K389" s="243"/>
      <c r="L389" s="243"/>
      <c r="M389" s="243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243"/>
      <c r="AD389" s="108"/>
      <c r="AE389" s="108"/>
      <c r="AF389" s="108"/>
      <c r="AG389" s="108"/>
      <c r="AH389" s="108"/>
      <c r="AI389" s="108"/>
      <c r="AJ389" s="108"/>
      <c r="AK389" s="108"/>
      <c r="AL389" s="108"/>
      <c r="AM389" s="108"/>
      <c r="AN389" s="108"/>
      <c r="AO389" s="108"/>
      <c r="AP389" s="108"/>
    </row>
    <row r="390" spans="2:42" ht="15.75" customHeight="1" x14ac:dyDescent="0.25">
      <c r="B390" s="243"/>
      <c r="C390" s="243"/>
      <c r="D390" s="108"/>
      <c r="E390" s="108"/>
      <c r="F390" s="243"/>
      <c r="G390" s="108"/>
      <c r="H390" s="108"/>
      <c r="I390" s="243"/>
      <c r="J390" s="243"/>
      <c r="K390" s="243"/>
      <c r="L390" s="243"/>
      <c r="M390" s="243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243"/>
      <c r="AD390" s="108"/>
      <c r="AE390" s="108"/>
      <c r="AF390" s="108"/>
      <c r="AG390" s="108"/>
      <c r="AH390" s="108"/>
      <c r="AI390" s="108"/>
      <c r="AJ390" s="108"/>
      <c r="AK390" s="108"/>
      <c r="AL390" s="108"/>
      <c r="AM390" s="108"/>
      <c r="AN390" s="108"/>
      <c r="AO390" s="108"/>
      <c r="AP390" s="108"/>
    </row>
    <row r="391" spans="2:42" ht="15.75" customHeight="1" x14ac:dyDescent="0.25">
      <c r="B391" s="243"/>
      <c r="C391" s="243"/>
      <c r="D391" s="108"/>
      <c r="E391" s="108"/>
      <c r="F391" s="243"/>
      <c r="G391" s="108"/>
      <c r="H391" s="108"/>
      <c r="I391" s="243"/>
      <c r="J391" s="243"/>
      <c r="K391" s="243"/>
      <c r="L391" s="243"/>
      <c r="M391" s="243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243"/>
      <c r="AD391" s="108"/>
      <c r="AE391" s="108"/>
      <c r="AF391" s="108"/>
      <c r="AG391" s="108"/>
      <c r="AH391" s="108"/>
      <c r="AI391" s="108"/>
      <c r="AJ391" s="108"/>
      <c r="AK391" s="108"/>
      <c r="AL391" s="108"/>
      <c r="AM391" s="108"/>
      <c r="AN391" s="108"/>
      <c r="AO391" s="108"/>
      <c r="AP391" s="108"/>
    </row>
    <row r="392" spans="2:42" ht="15.75" customHeight="1" x14ac:dyDescent="0.25">
      <c r="B392" s="243"/>
      <c r="C392" s="243"/>
      <c r="D392" s="108"/>
      <c r="E392" s="108"/>
      <c r="F392" s="243"/>
      <c r="G392" s="108"/>
      <c r="H392" s="108"/>
      <c r="I392" s="243"/>
      <c r="J392" s="243"/>
      <c r="K392" s="243"/>
      <c r="L392" s="243"/>
      <c r="M392" s="243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243"/>
      <c r="AD392" s="108"/>
      <c r="AE392" s="108"/>
      <c r="AF392" s="108"/>
      <c r="AG392" s="108"/>
      <c r="AH392" s="108"/>
      <c r="AI392" s="108"/>
      <c r="AJ392" s="108"/>
      <c r="AK392" s="108"/>
      <c r="AL392" s="108"/>
      <c r="AM392" s="108"/>
      <c r="AN392" s="108"/>
      <c r="AO392" s="108"/>
      <c r="AP392" s="108"/>
    </row>
    <row r="393" spans="2:42" ht="15.75" customHeight="1" x14ac:dyDescent="0.25">
      <c r="B393" s="243"/>
      <c r="C393" s="243"/>
      <c r="D393" s="108"/>
      <c r="E393" s="108"/>
      <c r="F393" s="243"/>
      <c r="G393" s="108"/>
      <c r="H393" s="108"/>
      <c r="I393" s="243"/>
      <c r="J393" s="243"/>
      <c r="K393" s="243"/>
      <c r="L393" s="243"/>
      <c r="M393" s="243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243"/>
      <c r="AD393" s="108"/>
      <c r="AE393" s="108"/>
      <c r="AF393" s="108"/>
      <c r="AG393" s="108"/>
      <c r="AH393" s="108"/>
      <c r="AI393" s="108"/>
      <c r="AJ393" s="108"/>
      <c r="AK393" s="108"/>
      <c r="AL393" s="108"/>
      <c r="AM393" s="108"/>
      <c r="AN393" s="108"/>
      <c r="AO393" s="108"/>
      <c r="AP393" s="108"/>
    </row>
    <row r="394" spans="2:42" ht="15.75" customHeight="1" x14ac:dyDescent="0.25">
      <c r="B394" s="243"/>
      <c r="C394" s="243"/>
      <c r="D394" s="108"/>
      <c r="E394" s="108"/>
      <c r="F394" s="243"/>
      <c r="G394" s="108"/>
      <c r="H394" s="108"/>
      <c r="I394" s="243"/>
      <c r="J394" s="243"/>
      <c r="K394" s="243"/>
      <c r="L394" s="243"/>
      <c r="M394" s="243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243"/>
      <c r="AD394" s="108"/>
      <c r="AE394" s="108"/>
      <c r="AF394" s="108"/>
      <c r="AG394" s="108"/>
      <c r="AH394" s="108"/>
      <c r="AI394" s="108"/>
      <c r="AJ394" s="108"/>
      <c r="AK394" s="108"/>
      <c r="AL394" s="108"/>
      <c r="AM394" s="108"/>
      <c r="AN394" s="108"/>
      <c r="AO394" s="108"/>
      <c r="AP394" s="108"/>
    </row>
    <row r="395" spans="2:42" ht="15.75" customHeight="1" x14ac:dyDescent="0.25">
      <c r="B395" s="243"/>
      <c r="C395" s="243"/>
      <c r="D395" s="108"/>
      <c r="E395" s="108"/>
      <c r="F395" s="243"/>
      <c r="G395" s="108"/>
      <c r="H395" s="108"/>
      <c r="I395" s="243"/>
      <c r="J395" s="243"/>
      <c r="K395" s="243"/>
      <c r="L395" s="243"/>
      <c r="M395" s="243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243"/>
      <c r="AD395" s="108"/>
      <c r="AE395" s="108"/>
      <c r="AF395" s="108"/>
      <c r="AG395" s="108"/>
      <c r="AH395" s="108"/>
      <c r="AI395" s="108"/>
      <c r="AJ395" s="108"/>
      <c r="AK395" s="108"/>
      <c r="AL395" s="108"/>
      <c r="AM395" s="108"/>
      <c r="AN395" s="108"/>
      <c r="AO395" s="108"/>
      <c r="AP395" s="108"/>
    </row>
    <row r="396" spans="2:42" ht="15.75" customHeight="1" x14ac:dyDescent="0.25">
      <c r="B396" s="243"/>
      <c r="C396" s="243"/>
      <c r="D396" s="108"/>
      <c r="E396" s="108"/>
      <c r="F396" s="243"/>
      <c r="G396" s="108"/>
      <c r="H396" s="108"/>
      <c r="I396" s="243"/>
      <c r="J396" s="243"/>
      <c r="K396" s="243"/>
      <c r="L396" s="243"/>
      <c r="M396" s="243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243"/>
      <c r="AD396" s="108"/>
      <c r="AE396" s="108"/>
      <c r="AF396" s="108"/>
      <c r="AG396" s="108"/>
      <c r="AH396" s="108"/>
      <c r="AI396" s="108"/>
      <c r="AJ396" s="108"/>
      <c r="AK396" s="108"/>
      <c r="AL396" s="108"/>
      <c r="AM396" s="108"/>
      <c r="AN396" s="108"/>
      <c r="AO396" s="108"/>
      <c r="AP396" s="108"/>
    </row>
    <row r="397" spans="2:42" ht="15.75" customHeight="1" x14ac:dyDescent="0.25">
      <c r="B397" s="243"/>
      <c r="C397" s="243"/>
      <c r="D397" s="108"/>
      <c r="E397" s="108"/>
      <c r="F397" s="243"/>
      <c r="G397" s="108"/>
      <c r="H397" s="108"/>
      <c r="I397" s="243"/>
      <c r="J397" s="243"/>
      <c r="K397" s="243"/>
      <c r="L397" s="243"/>
      <c r="M397" s="243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243"/>
      <c r="AD397" s="108"/>
      <c r="AE397" s="108"/>
      <c r="AF397" s="108"/>
      <c r="AG397" s="108"/>
      <c r="AH397" s="108"/>
      <c r="AI397" s="108"/>
      <c r="AJ397" s="108"/>
      <c r="AK397" s="108"/>
      <c r="AL397" s="108"/>
      <c r="AM397" s="108"/>
      <c r="AN397" s="108"/>
      <c r="AO397" s="108"/>
      <c r="AP397" s="108"/>
    </row>
    <row r="398" spans="2:42" ht="15.75" customHeight="1" x14ac:dyDescent="0.25"/>
    <row r="399" spans="2:42" ht="15.75" customHeight="1" x14ac:dyDescent="0.25"/>
    <row r="400" spans="2:42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</sheetData>
  <autoFilter ref="A8:AZ380" xr:uid="{61384AAE-39CE-4B9E-B1CB-2E17CF765E7B}">
    <sortState xmlns:xlrd2="http://schemas.microsoft.com/office/spreadsheetml/2017/richdata2" ref="A9:AZ380">
      <sortCondition ref="A8:A380"/>
    </sortState>
  </autoFilter>
  <mergeCells count="39">
    <mergeCell ref="A1:AP2"/>
    <mergeCell ref="A3:A5"/>
    <mergeCell ref="B3:B5"/>
    <mergeCell ref="C3:C5"/>
    <mergeCell ref="D3:D5"/>
    <mergeCell ref="H3:H5"/>
    <mergeCell ref="K3:K5"/>
    <mergeCell ref="L3:L5"/>
    <mergeCell ref="M3:M5"/>
    <mergeCell ref="AN3:AO3"/>
    <mergeCell ref="AP3:AP5"/>
    <mergeCell ref="O4:O5"/>
    <mergeCell ref="P4:P5"/>
    <mergeCell ref="Q4:Q5"/>
    <mergeCell ref="R4:R5"/>
    <mergeCell ref="S4:S5"/>
    <mergeCell ref="O3:Q3"/>
    <mergeCell ref="R3:V3"/>
    <mergeCell ref="W3:AC3"/>
    <mergeCell ref="AD3:AG3"/>
    <mergeCell ref="AH3:AM3"/>
    <mergeCell ref="T4:T5"/>
    <mergeCell ref="U4:U5"/>
    <mergeCell ref="V4:V5"/>
    <mergeCell ref="W4:Z4"/>
    <mergeCell ref="AM4:AM5"/>
    <mergeCell ref="AN4:AO4"/>
    <mergeCell ref="AA4:AA5"/>
    <mergeCell ref="AB4:AB5"/>
    <mergeCell ref="AC4:AC5"/>
    <mergeCell ref="AD4:AF4"/>
    <mergeCell ref="AG4:AG5"/>
    <mergeCell ref="AH4:AI4"/>
    <mergeCell ref="G3:G5"/>
    <mergeCell ref="E3:E4"/>
    <mergeCell ref="AJ4:AJ5"/>
    <mergeCell ref="AK4:AK5"/>
    <mergeCell ref="AL4:AL5"/>
    <mergeCell ref="N3:N5"/>
  </mergeCells>
  <phoneticPr fontId="22" type="noConversion"/>
  <conditionalFormatting sqref="B353">
    <cfRule type="duplicateValues" dxfId="16" priority="10"/>
  </conditionalFormatting>
  <conditionalFormatting sqref="C3:C6">
    <cfRule type="duplicateValues" dxfId="15" priority="14"/>
  </conditionalFormatting>
  <conditionalFormatting sqref="C381:C1048576 C8:C291">
    <cfRule type="duplicateValues" dxfId="14" priority="15"/>
  </conditionalFormatting>
  <conditionalFormatting sqref="D10:E10 G10">
    <cfRule type="duplicateValues" dxfId="13" priority="6"/>
  </conditionalFormatting>
  <conditionalFormatting sqref="D11:E11 G11">
    <cfRule type="duplicateValues" dxfId="12" priority="5"/>
  </conditionalFormatting>
  <conditionalFormatting sqref="D344:E344 D375:E378 G375:G378 G344 F376 F378">
    <cfRule type="duplicateValues" dxfId="11" priority="16"/>
  </conditionalFormatting>
  <conditionalFormatting sqref="D9:G9 F10:F16 F18:F19 F22:F91 F94 F96:F98 F100:F103 F105:F112 F116 F119 F122:F126 F128 F130 F134:F136 F139 F141 F143 F148:F154 F304:F370 F373:F375 F377 F379 F156:F302">
    <cfRule type="duplicateValues" dxfId="10" priority="8"/>
  </conditionalFormatting>
  <conditionalFormatting sqref="G9">
    <cfRule type="duplicateValues" dxfId="9" priority="9"/>
  </conditionalFormatting>
  <conditionalFormatting sqref="G10">
    <cfRule type="duplicateValues" dxfId="8" priority="7"/>
  </conditionalFormatting>
  <conditionalFormatting sqref="G289">
    <cfRule type="duplicateValues" dxfId="7" priority="4" stopIfTrue="1"/>
  </conditionalFormatting>
  <conditionalFormatting sqref="G290">
    <cfRule type="duplicateValues" dxfId="6" priority="3" stopIfTrue="1"/>
  </conditionalFormatting>
  <conditionalFormatting sqref="G306">
    <cfRule type="duplicateValues" dxfId="5" priority="2" stopIfTrue="1"/>
  </conditionalFormatting>
  <conditionalFormatting sqref="G308">
    <cfRule type="duplicateValues" dxfId="4" priority="1" stopIfTrue="1"/>
  </conditionalFormatting>
  <conditionalFormatting sqref="K292:K380">
    <cfRule type="duplicateValues" dxfId="3" priority="11"/>
  </conditionalFormatting>
  <conditionalFormatting sqref="H344:J344 H375:J378 D293:E305 D345:E374 D379:E380 H306:J306 D307:E343 H308:J308 G309:J343 G307:J307 G379:J380 G345:J374 G293:J305 F303 F371:F372 F380">
    <cfRule type="duplicateValues" dxfId="0" priority="17"/>
  </conditionalFormatting>
  <dataValidations disablePrompts="1" count="7">
    <dataValidation type="list" allowBlank="1" showErrorMessage="1" sqref="U8" xr:uid="{18BFAD46-0A66-42BC-B5AE-50483F3848A7}">
      <formula1>"T,Nhựa,C"</formula1>
    </dataValidation>
    <dataValidation type="list" allowBlank="1" showErrorMessage="1" sqref="V8" xr:uid="{12693839-EB9E-43DE-9AB5-F5E619467929}">
      <formula1>"K,C"</formula1>
    </dataValidation>
    <dataValidation type="list" allowBlank="1" showErrorMessage="1" sqref="AN7:AN8" xr:uid="{2F0DDEAD-ACA6-403C-8208-B424743F12BC}">
      <formula1>"nhôm,đồng"</formula1>
    </dataValidation>
    <dataValidation type="list" allowBlank="1" showErrorMessage="1" sqref="V9:V183" xr:uid="{F65739A0-CD90-47C7-A8CD-320605BE244B}">
      <formula1>"Có,Không"</formula1>
    </dataValidation>
    <dataValidation type="list" allowBlank="1" showErrorMessage="1" sqref="AO9:AO183" xr:uid="{049A29F0-69CF-4238-BADF-BDAD78FC0B02}">
      <formula1>"1,2,3,4"</formula1>
    </dataValidation>
    <dataValidation type="list" allowBlank="1" showErrorMessage="1" sqref="AN9:AN183" xr:uid="{6469D4AA-F0C5-436B-810E-DBF6760FF833}">
      <formula1>"Nhôm,Đồng"</formula1>
    </dataValidation>
    <dataValidation type="list" allowBlank="1" showErrorMessage="1" sqref="U9:U183" xr:uid="{EE92D5EC-1632-48F7-8699-E212EB6EE5B5}">
      <formula1>"Thép,Composite"</formula1>
    </dataValidation>
  </dataValidations>
  <pageMargins left="0" right="0" top="0.74803149606299213" bottom="0.74803149606299213" header="0.31496062992125984" footer="0.31496062992125984"/>
  <pageSetup paperSize="8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E5C0-9AAB-4B29-B227-908562B2AA00}">
  <sheetPr filterMode="1">
    <tabColor rgb="FFFF0000"/>
  </sheetPr>
  <dimension ref="A1:L527"/>
  <sheetViews>
    <sheetView zoomScale="85" zoomScaleNormal="85" workbookViewId="0">
      <pane ySplit="1" topLeftCell="A453" activePane="bottomLeft" state="frozen"/>
      <selection pane="bottomLeft" activeCell="E537" sqref="E537"/>
    </sheetView>
  </sheetViews>
  <sheetFormatPr defaultColWidth="9" defaultRowHeight="17.25" x14ac:dyDescent="0.3"/>
  <cols>
    <col min="1" max="1" width="8.28515625" style="121" bestFit="1" customWidth="1"/>
    <col min="2" max="2" width="37.28515625" style="121" customWidth="1"/>
    <col min="3" max="3" width="26.5703125" style="121" customWidth="1"/>
    <col min="4" max="4" width="26.140625" style="121" customWidth="1"/>
    <col min="5" max="5" width="40.7109375" style="121" customWidth="1"/>
    <col min="6" max="6" width="23.140625" style="121" customWidth="1"/>
    <col min="7" max="7" width="16.140625" style="121" customWidth="1"/>
    <col min="8" max="8" width="26.7109375" style="121" bestFit="1" customWidth="1"/>
    <col min="9" max="9" width="27.140625" style="121" customWidth="1"/>
    <col min="10" max="10" width="19.85546875" style="121" customWidth="1"/>
    <col min="11" max="11" width="11" style="121" bestFit="1" customWidth="1"/>
    <col min="12" max="12" width="19.85546875" style="121" bestFit="1" customWidth="1"/>
    <col min="13" max="16384" width="9" style="121"/>
  </cols>
  <sheetData>
    <row r="1" spans="1:12" s="132" customFormat="1" ht="45.75" customHeight="1" x14ac:dyDescent="0.3">
      <c r="A1" s="215" t="s">
        <v>1653</v>
      </c>
      <c r="B1" s="215" t="s">
        <v>1657</v>
      </c>
      <c r="C1" s="215" t="s">
        <v>1654</v>
      </c>
      <c r="D1" s="215" t="s">
        <v>1655</v>
      </c>
      <c r="E1" s="215" t="s">
        <v>1656</v>
      </c>
      <c r="F1" s="215" t="s">
        <v>1658</v>
      </c>
      <c r="G1" s="215" t="s">
        <v>1659</v>
      </c>
      <c r="H1" s="216" t="s">
        <v>1660</v>
      </c>
      <c r="I1" s="215" t="s">
        <v>16</v>
      </c>
      <c r="J1" s="215" t="s">
        <v>13</v>
      </c>
      <c r="K1" s="215" t="s">
        <v>1661</v>
      </c>
      <c r="L1" s="217" t="s">
        <v>1662</v>
      </c>
    </row>
    <row r="2" spans="1:12" ht="66" hidden="1" x14ac:dyDescent="0.3">
      <c r="A2" s="122">
        <v>1</v>
      </c>
      <c r="B2" s="123">
        <v>241200275421</v>
      </c>
      <c r="C2" s="123" t="s">
        <v>1663</v>
      </c>
      <c r="D2" s="123" t="s">
        <v>1664</v>
      </c>
      <c r="E2" s="123" t="s">
        <v>1665</v>
      </c>
      <c r="F2" s="123" t="s">
        <v>1666</v>
      </c>
      <c r="G2" s="123" t="s">
        <v>1667</v>
      </c>
      <c r="H2" s="124"/>
      <c r="I2" s="199" t="s">
        <v>1668</v>
      </c>
      <c r="J2" s="199"/>
      <c r="K2" s="200">
        <f t="shared" ref="K2:K65" si="0">IF(L2="","",IF(L2&lt;&gt;0,1,0))</f>
        <v>1</v>
      </c>
      <c r="L2" s="201">
        <v>5837106</v>
      </c>
    </row>
    <row r="3" spans="1:12" ht="66" hidden="1" x14ac:dyDescent="0.3">
      <c r="A3" s="122">
        <v>2</v>
      </c>
      <c r="B3" s="123">
        <v>1511024550</v>
      </c>
      <c r="C3" s="123" t="s">
        <v>1669</v>
      </c>
      <c r="D3" s="123" t="s">
        <v>1664</v>
      </c>
      <c r="E3" s="123" t="s">
        <v>1670</v>
      </c>
      <c r="F3" s="123" t="s">
        <v>1671</v>
      </c>
      <c r="G3" s="123" t="s">
        <v>1667</v>
      </c>
      <c r="H3" s="124" t="s">
        <v>1672</v>
      </c>
      <c r="I3" s="199" t="s">
        <v>1673</v>
      </c>
      <c r="J3" s="199"/>
      <c r="K3" s="200">
        <f t="shared" si="0"/>
        <v>1</v>
      </c>
      <c r="L3" s="201">
        <v>750073</v>
      </c>
    </row>
    <row r="4" spans="1:12" ht="66" hidden="1" x14ac:dyDescent="0.3">
      <c r="A4" s="122">
        <v>3</v>
      </c>
      <c r="B4" s="123">
        <v>221100364297</v>
      </c>
      <c r="C4" s="123" t="s">
        <v>1674</v>
      </c>
      <c r="D4" s="123" t="s">
        <v>1664</v>
      </c>
      <c r="E4" s="123" t="s">
        <v>1665</v>
      </c>
      <c r="F4" s="123" t="s">
        <v>1675</v>
      </c>
      <c r="G4" s="123" t="s">
        <v>1667</v>
      </c>
      <c r="H4" s="124" t="s">
        <v>1672</v>
      </c>
      <c r="I4" s="199" t="s">
        <v>1676</v>
      </c>
      <c r="J4" s="199"/>
      <c r="K4" s="200">
        <f t="shared" si="0"/>
        <v>1</v>
      </c>
      <c r="L4" s="201">
        <v>3202234</v>
      </c>
    </row>
    <row r="5" spans="1:12" ht="66" hidden="1" x14ac:dyDescent="0.3">
      <c r="A5" s="122">
        <v>4</v>
      </c>
      <c r="B5" s="123">
        <v>25405540</v>
      </c>
      <c r="C5" s="123" t="s">
        <v>1677</v>
      </c>
      <c r="D5" s="123" t="s">
        <v>1664</v>
      </c>
      <c r="E5" s="123" t="s">
        <v>1670</v>
      </c>
      <c r="F5" s="123" t="s">
        <v>1678</v>
      </c>
      <c r="G5" s="123" t="s">
        <v>1667</v>
      </c>
      <c r="H5" s="124" t="s">
        <v>1672</v>
      </c>
      <c r="I5" s="199" t="s">
        <v>1673</v>
      </c>
      <c r="J5" s="199"/>
      <c r="K5" s="200">
        <f t="shared" si="0"/>
        <v>1</v>
      </c>
      <c r="L5" s="201">
        <v>5024527</v>
      </c>
    </row>
    <row r="6" spans="1:12" ht="66" hidden="1" x14ac:dyDescent="0.3">
      <c r="A6" s="122">
        <v>5</v>
      </c>
      <c r="B6" s="123">
        <v>251200007558</v>
      </c>
      <c r="C6" s="123" t="s">
        <v>1679</v>
      </c>
      <c r="D6" s="123" t="s">
        <v>1664</v>
      </c>
      <c r="E6" s="123" t="s">
        <v>1670</v>
      </c>
      <c r="F6" s="123" t="s">
        <v>1680</v>
      </c>
      <c r="G6" s="123" t="s">
        <v>1667</v>
      </c>
      <c r="H6" s="124" t="s">
        <v>1672</v>
      </c>
      <c r="I6" s="199" t="s">
        <v>1673</v>
      </c>
      <c r="J6" s="199"/>
      <c r="K6" s="200">
        <f t="shared" si="0"/>
        <v>1</v>
      </c>
      <c r="L6" s="201">
        <v>5440433</v>
      </c>
    </row>
    <row r="7" spans="1:12" ht="66" hidden="1" x14ac:dyDescent="0.3">
      <c r="A7" s="122">
        <v>6</v>
      </c>
      <c r="B7" s="123">
        <v>19775931</v>
      </c>
      <c r="C7" s="123" t="s">
        <v>1681</v>
      </c>
      <c r="D7" s="123" t="s">
        <v>1664</v>
      </c>
      <c r="E7" s="123" t="s">
        <v>1670</v>
      </c>
      <c r="F7" s="123" t="s">
        <v>1682</v>
      </c>
      <c r="G7" s="123" t="s">
        <v>1667</v>
      </c>
      <c r="H7" s="124"/>
      <c r="I7" s="199"/>
      <c r="J7" s="199"/>
      <c r="K7" s="200">
        <f t="shared" si="0"/>
        <v>1</v>
      </c>
      <c r="L7" s="201">
        <v>15979920</v>
      </c>
    </row>
    <row r="8" spans="1:12" ht="66" hidden="1" x14ac:dyDescent="0.3">
      <c r="A8" s="122">
        <v>7</v>
      </c>
      <c r="B8" s="123">
        <v>22000659</v>
      </c>
      <c r="C8" s="123" t="s">
        <v>1683</v>
      </c>
      <c r="D8" s="123" t="s">
        <v>1664</v>
      </c>
      <c r="E8" s="123" t="s">
        <v>1665</v>
      </c>
      <c r="F8" s="123" t="s">
        <v>1684</v>
      </c>
      <c r="G8" s="123" t="s">
        <v>1667</v>
      </c>
      <c r="H8" s="124" t="s">
        <v>1672</v>
      </c>
      <c r="I8" s="199" t="s">
        <v>1685</v>
      </c>
      <c r="J8" s="199"/>
      <c r="K8" s="200">
        <f t="shared" si="0"/>
        <v>1</v>
      </c>
      <c r="L8" s="201">
        <v>21350634</v>
      </c>
    </row>
    <row r="9" spans="1:12" ht="115.5" hidden="1" x14ac:dyDescent="0.3">
      <c r="A9" s="122">
        <v>8</v>
      </c>
      <c r="B9" s="123">
        <v>25901723</v>
      </c>
      <c r="C9" s="123" t="s">
        <v>1686</v>
      </c>
      <c r="D9" s="123" t="s">
        <v>1664</v>
      </c>
      <c r="E9" s="123" t="s">
        <v>1665</v>
      </c>
      <c r="F9" s="123" t="s">
        <v>1687</v>
      </c>
      <c r="G9" s="123" t="s">
        <v>1667</v>
      </c>
      <c r="H9" s="124"/>
      <c r="I9" s="199"/>
      <c r="J9" s="199"/>
      <c r="K9" s="200">
        <f t="shared" si="0"/>
        <v>1</v>
      </c>
      <c r="L9" s="201">
        <v>2319937</v>
      </c>
    </row>
    <row r="10" spans="1:12" ht="115.5" hidden="1" x14ac:dyDescent="0.3">
      <c r="A10" s="122">
        <v>9</v>
      </c>
      <c r="B10" s="123">
        <v>25907029</v>
      </c>
      <c r="C10" s="123" t="s">
        <v>1688</v>
      </c>
      <c r="D10" s="123" t="s">
        <v>1664</v>
      </c>
      <c r="E10" s="123" t="s">
        <v>1665</v>
      </c>
      <c r="F10" s="123" t="s">
        <v>1689</v>
      </c>
      <c r="G10" s="123" t="s">
        <v>1667</v>
      </c>
      <c r="H10" s="124" t="s">
        <v>1672</v>
      </c>
      <c r="I10" s="199" t="s">
        <v>1685</v>
      </c>
      <c r="J10" s="199"/>
      <c r="K10" s="200">
        <f t="shared" si="0"/>
        <v>1</v>
      </c>
      <c r="L10" s="201">
        <v>6851628</v>
      </c>
    </row>
    <row r="11" spans="1:12" ht="82.5" hidden="1" x14ac:dyDescent="0.3">
      <c r="A11" s="122">
        <v>10</v>
      </c>
      <c r="B11" s="123">
        <v>19774343</v>
      </c>
      <c r="C11" s="123" t="s">
        <v>1690</v>
      </c>
      <c r="D11" s="123" t="s">
        <v>1664</v>
      </c>
      <c r="E11" s="123" t="s">
        <v>1670</v>
      </c>
      <c r="F11" s="123" t="s">
        <v>1691</v>
      </c>
      <c r="G11" s="123" t="s">
        <v>1667</v>
      </c>
      <c r="H11" s="124" t="s">
        <v>1672</v>
      </c>
      <c r="I11" s="199" t="s">
        <v>1692</v>
      </c>
      <c r="J11" s="199"/>
      <c r="K11" s="200">
        <f t="shared" si="0"/>
        <v>1</v>
      </c>
      <c r="L11" s="201">
        <v>9219647</v>
      </c>
    </row>
    <row r="12" spans="1:12" ht="66" hidden="1" x14ac:dyDescent="0.3">
      <c r="A12" s="122">
        <v>11</v>
      </c>
      <c r="B12" s="123">
        <v>20418062</v>
      </c>
      <c r="C12" s="123" t="s">
        <v>1693</v>
      </c>
      <c r="D12" s="123" t="s">
        <v>1664</v>
      </c>
      <c r="E12" s="123" t="s">
        <v>1670</v>
      </c>
      <c r="F12" s="123" t="s">
        <v>1694</v>
      </c>
      <c r="G12" s="123" t="s">
        <v>1667</v>
      </c>
      <c r="H12" s="124" t="s">
        <v>1672</v>
      </c>
      <c r="I12" s="199" t="s">
        <v>1685</v>
      </c>
      <c r="J12" s="199"/>
      <c r="K12" s="200">
        <f t="shared" si="0"/>
        <v>1</v>
      </c>
      <c r="L12" s="201">
        <v>8993663</v>
      </c>
    </row>
    <row r="13" spans="1:12" ht="49.5" hidden="1" x14ac:dyDescent="0.3">
      <c r="A13" s="122">
        <v>12</v>
      </c>
      <c r="B13" s="123">
        <v>20418297</v>
      </c>
      <c r="C13" s="123" t="s">
        <v>1695</v>
      </c>
      <c r="D13" s="123" t="s">
        <v>1664</v>
      </c>
      <c r="E13" s="123" t="s">
        <v>1665</v>
      </c>
      <c r="F13" s="123" t="s">
        <v>1696</v>
      </c>
      <c r="G13" s="123" t="s">
        <v>1667</v>
      </c>
      <c r="H13" s="124"/>
      <c r="I13" s="199"/>
      <c r="J13" s="199"/>
      <c r="K13" s="200">
        <f t="shared" si="0"/>
        <v>0</v>
      </c>
      <c r="L13" s="201">
        <v>0</v>
      </c>
    </row>
    <row r="14" spans="1:12" ht="49.5" hidden="1" x14ac:dyDescent="0.3">
      <c r="A14" s="122">
        <v>13</v>
      </c>
      <c r="B14" s="123">
        <v>20396595</v>
      </c>
      <c r="C14" s="123" t="s">
        <v>1697</v>
      </c>
      <c r="D14" s="123" t="s">
        <v>1698</v>
      </c>
      <c r="E14" s="123" t="s">
        <v>1670</v>
      </c>
      <c r="F14" s="123" t="s">
        <v>1696</v>
      </c>
      <c r="G14" s="123" t="s">
        <v>1667</v>
      </c>
      <c r="H14" s="124" t="s">
        <v>1672</v>
      </c>
      <c r="I14" s="199" t="s">
        <v>1685</v>
      </c>
      <c r="J14" s="199"/>
      <c r="K14" s="200">
        <f t="shared" si="0"/>
        <v>1</v>
      </c>
      <c r="L14" s="201">
        <v>2257431</v>
      </c>
    </row>
    <row r="15" spans="1:12" ht="66" hidden="1" x14ac:dyDescent="0.3">
      <c r="A15" s="122">
        <v>14</v>
      </c>
      <c r="B15" s="123">
        <v>2510411112</v>
      </c>
      <c r="C15" s="123" t="s">
        <v>1699</v>
      </c>
      <c r="D15" s="123" t="s">
        <v>1664</v>
      </c>
      <c r="E15" s="123" t="s">
        <v>1670</v>
      </c>
      <c r="F15" s="123" t="s">
        <v>1700</v>
      </c>
      <c r="G15" s="123" t="s">
        <v>1667</v>
      </c>
      <c r="H15" s="124" t="s">
        <v>1672</v>
      </c>
      <c r="I15" s="199" t="s">
        <v>1685</v>
      </c>
      <c r="J15" s="199"/>
      <c r="K15" s="200">
        <f t="shared" si="0"/>
        <v>1</v>
      </c>
      <c r="L15" s="201">
        <v>7385334</v>
      </c>
    </row>
    <row r="16" spans="1:12" ht="49.5" hidden="1" x14ac:dyDescent="0.3">
      <c r="A16" s="122">
        <v>15</v>
      </c>
      <c r="B16" s="123">
        <v>1511033107</v>
      </c>
      <c r="C16" s="123" t="s">
        <v>1701</v>
      </c>
      <c r="D16" s="123" t="s">
        <v>1698</v>
      </c>
      <c r="E16" s="123" t="s">
        <v>1670</v>
      </c>
      <c r="F16" s="123" t="s">
        <v>1696</v>
      </c>
      <c r="G16" s="123" t="s">
        <v>1667</v>
      </c>
      <c r="H16" s="124"/>
      <c r="I16" s="199"/>
      <c r="J16" s="199"/>
      <c r="K16" s="200">
        <f t="shared" si="0"/>
        <v>0</v>
      </c>
      <c r="L16" s="201">
        <v>0</v>
      </c>
    </row>
    <row r="17" spans="1:12" ht="66" hidden="1" x14ac:dyDescent="0.3">
      <c r="A17" s="122">
        <v>16</v>
      </c>
      <c r="B17" s="123">
        <v>241200149406</v>
      </c>
      <c r="C17" s="123" t="s">
        <v>1702</v>
      </c>
      <c r="D17" s="123" t="s">
        <v>1664</v>
      </c>
      <c r="E17" s="123" t="s">
        <v>1665</v>
      </c>
      <c r="F17" s="123" t="s">
        <v>1700</v>
      </c>
      <c r="G17" s="123" t="s">
        <v>1667</v>
      </c>
      <c r="H17" s="124" t="s">
        <v>1672</v>
      </c>
      <c r="I17" s="199"/>
      <c r="J17" s="199"/>
      <c r="K17" s="200">
        <f t="shared" si="0"/>
        <v>1</v>
      </c>
      <c r="L17" s="201">
        <v>11967510</v>
      </c>
    </row>
    <row r="18" spans="1:12" s="128" customFormat="1" ht="82.5" hidden="1" x14ac:dyDescent="0.3">
      <c r="A18" s="125">
        <v>17</v>
      </c>
      <c r="B18" s="126">
        <v>18110173326</v>
      </c>
      <c r="C18" s="126" t="s">
        <v>1703</v>
      </c>
      <c r="D18" s="126" t="s">
        <v>1698</v>
      </c>
      <c r="E18" s="126" t="s">
        <v>1665</v>
      </c>
      <c r="F18" s="126" t="s">
        <v>1704</v>
      </c>
      <c r="G18" s="126" t="s">
        <v>1667</v>
      </c>
      <c r="H18" s="127"/>
      <c r="I18" s="202" t="s">
        <v>1705</v>
      </c>
      <c r="J18" s="202"/>
      <c r="K18" s="200">
        <f t="shared" si="0"/>
        <v>1</v>
      </c>
      <c r="L18" s="203">
        <v>3122900</v>
      </c>
    </row>
    <row r="19" spans="1:12" ht="49.5" hidden="1" x14ac:dyDescent="0.3">
      <c r="A19" s="122">
        <v>18</v>
      </c>
      <c r="B19" s="123">
        <v>241200030890</v>
      </c>
      <c r="C19" s="123" t="s">
        <v>1706</v>
      </c>
      <c r="D19" s="123" t="s">
        <v>1698</v>
      </c>
      <c r="E19" s="123" t="s">
        <v>1670</v>
      </c>
      <c r="F19" s="123" t="s">
        <v>1707</v>
      </c>
      <c r="G19" s="123" t="s">
        <v>1667</v>
      </c>
      <c r="H19" s="129" t="s">
        <v>1708</v>
      </c>
      <c r="I19" s="199"/>
      <c r="J19" s="199"/>
      <c r="K19" s="200">
        <f t="shared" si="0"/>
        <v>1</v>
      </c>
      <c r="L19" s="201">
        <v>3877781</v>
      </c>
    </row>
    <row r="20" spans="1:12" ht="66" hidden="1" x14ac:dyDescent="0.3">
      <c r="A20" s="122">
        <v>19</v>
      </c>
      <c r="B20" s="123">
        <v>221100320895</v>
      </c>
      <c r="C20" s="123" t="s">
        <v>1709</v>
      </c>
      <c r="D20" s="123" t="s">
        <v>1664</v>
      </c>
      <c r="E20" s="123" t="s">
        <v>1670</v>
      </c>
      <c r="F20" s="123" t="s">
        <v>1710</v>
      </c>
      <c r="G20" s="123" t="s">
        <v>1667</v>
      </c>
      <c r="H20" s="124" t="s">
        <v>1672</v>
      </c>
      <c r="I20" s="199"/>
      <c r="J20" s="199"/>
      <c r="K20" s="200">
        <f t="shared" si="0"/>
        <v>1</v>
      </c>
      <c r="L20" s="201">
        <v>2918553</v>
      </c>
    </row>
    <row r="21" spans="1:12" s="128" customFormat="1" ht="66" hidden="1" x14ac:dyDescent="0.3">
      <c r="A21" s="125">
        <v>20</v>
      </c>
      <c r="B21" s="126">
        <v>1511111865</v>
      </c>
      <c r="C21" s="126" t="s">
        <v>1711</v>
      </c>
      <c r="D21" s="126" t="s">
        <v>1664</v>
      </c>
      <c r="E21" s="126" t="s">
        <v>1665</v>
      </c>
      <c r="F21" s="126" t="s">
        <v>1710</v>
      </c>
      <c r="G21" s="126" t="s">
        <v>1667</v>
      </c>
      <c r="H21" s="125" t="s">
        <v>1712</v>
      </c>
      <c r="I21" s="202"/>
      <c r="J21" s="202"/>
      <c r="K21" s="200">
        <f t="shared" si="0"/>
        <v>1</v>
      </c>
      <c r="L21" s="203">
        <v>6964619</v>
      </c>
    </row>
    <row r="22" spans="1:12" ht="66" hidden="1" x14ac:dyDescent="0.3">
      <c r="A22" s="122">
        <v>21</v>
      </c>
      <c r="B22" s="123">
        <v>231100106050</v>
      </c>
      <c r="C22" s="123" t="s">
        <v>1713</v>
      </c>
      <c r="D22" s="123" t="s">
        <v>1664</v>
      </c>
      <c r="E22" s="123" t="s">
        <v>1670</v>
      </c>
      <c r="F22" s="123" t="s">
        <v>1714</v>
      </c>
      <c r="G22" s="123" t="s">
        <v>1667</v>
      </c>
      <c r="H22" s="124"/>
      <c r="I22" s="199" t="s">
        <v>1673</v>
      </c>
      <c r="J22" s="199"/>
      <c r="K22" s="200">
        <f t="shared" si="0"/>
        <v>1</v>
      </c>
      <c r="L22" s="201">
        <v>2704590</v>
      </c>
    </row>
    <row r="23" spans="1:12" ht="66" hidden="1" x14ac:dyDescent="0.3">
      <c r="A23" s="122">
        <v>22</v>
      </c>
      <c r="B23" s="123">
        <v>241200009091</v>
      </c>
      <c r="C23" s="123" t="s">
        <v>1715</v>
      </c>
      <c r="D23" s="123" t="s">
        <v>1716</v>
      </c>
      <c r="E23" s="123" t="s">
        <v>1717</v>
      </c>
      <c r="F23" s="123" t="s">
        <v>1718</v>
      </c>
      <c r="G23" s="123" t="s">
        <v>1667</v>
      </c>
      <c r="H23" s="124" t="s">
        <v>1672</v>
      </c>
      <c r="I23" s="199" t="s">
        <v>1719</v>
      </c>
      <c r="J23" s="199"/>
      <c r="K23" s="200">
        <f t="shared" si="0"/>
        <v>1</v>
      </c>
      <c r="L23" s="201">
        <v>4745654</v>
      </c>
    </row>
    <row r="24" spans="1:12" ht="66" hidden="1" x14ac:dyDescent="0.3">
      <c r="A24" s="122">
        <v>23</v>
      </c>
      <c r="B24" s="123">
        <v>1611024210</v>
      </c>
      <c r="C24" s="123" t="s">
        <v>1720</v>
      </c>
      <c r="D24" s="123" t="s">
        <v>1664</v>
      </c>
      <c r="E24" s="123" t="s">
        <v>1670</v>
      </c>
      <c r="F24" s="123" t="s">
        <v>1721</v>
      </c>
      <c r="G24" s="123" t="s">
        <v>1667</v>
      </c>
      <c r="H24" s="124" t="s">
        <v>1672</v>
      </c>
      <c r="I24" s="199" t="s">
        <v>1719</v>
      </c>
      <c r="J24" s="199"/>
      <c r="K24" s="200">
        <f t="shared" si="0"/>
        <v>1</v>
      </c>
      <c r="L24" s="201">
        <v>6120788</v>
      </c>
    </row>
    <row r="25" spans="1:12" ht="66" hidden="1" x14ac:dyDescent="0.3">
      <c r="A25" s="122">
        <v>24</v>
      </c>
      <c r="B25" s="123">
        <v>251200035315</v>
      </c>
      <c r="C25" s="123" t="s">
        <v>1722</v>
      </c>
      <c r="D25" s="123" t="s">
        <v>1664</v>
      </c>
      <c r="E25" s="123" t="s">
        <v>1670</v>
      </c>
      <c r="F25" s="123" t="s">
        <v>1723</v>
      </c>
      <c r="G25" s="123" t="s">
        <v>1667</v>
      </c>
      <c r="H25" s="124" t="s">
        <v>1672</v>
      </c>
      <c r="I25" s="199" t="s">
        <v>1673</v>
      </c>
      <c r="J25" s="199"/>
      <c r="K25" s="200">
        <f t="shared" si="0"/>
        <v>1</v>
      </c>
      <c r="L25" s="201">
        <v>4115785</v>
      </c>
    </row>
    <row r="26" spans="1:12" ht="66" hidden="1" x14ac:dyDescent="0.3">
      <c r="A26" s="122">
        <v>25</v>
      </c>
      <c r="B26" s="123">
        <v>221200043429</v>
      </c>
      <c r="C26" s="123" t="s">
        <v>1724</v>
      </c>
      <c r="D26" s="123" t="s">
        <v>1664</v>
      </c>
      <c r="E26" s="123" t="s">
        <v>1670</v>
      </c>
      <c r="F26" s="123" t="s">
        <v>1710</v>
      </c>
      <c r="G26" s="123" t="s">
        <v>1667</v>
      </c>
      <c r="H26" s="124" t="s">
        <v>1672</v>
      </c>
      <c r="I26" s="199" t="s">
        <v>1685</v>
      </c>
      <c r="J26" s="199"/>
      <c r="K26" s="200">
        <f t="shared" si="0"/>
        <v>1</v>
      </c>
      <c r="L26" s="201">
        <v>701992</v>
      </c>
    </row>
    <row r="27" spans="1:12" ht="49.5" hidden="1" x14ac:dyDescent="0.3">
      <c r="A27" s="122">
        <v>26</v>
      </c>
      <c r="B27" s="123">
        <v>17506965</v>
      </c>
      <c r="C27" s="123" t="s">
        <v>1725</v>
      </c>
      <c r="D27" s="123" t="s">
        <v>1664</v>
      </c>
      <c r="E27" s="123" t="s">
        <v>1665</v>
      </c>
      <c r="F27" s="123" t="s">
        <v>1726</v>
      </c>
      <c r="G27" s="123" t="s">
        <v>1667</v>
      </c>
      <c r="H27" s="124" t="s">
        <v>1672</v>
      </c>
      <c r="I27" s="199" t="s">
        <v>1673</v>
      </c>
      <c r="J27" s="199"/>
      <c r="K27" s="200">
        <f t="shared" si="0"/>
        <v>1</v>
      </c>
      <c r="L27" s="201">
        <v>4959617</v>
      </c>
    </row>
    <row r="28" spans="1:12" ht="66" hidden="1" x14ac:dyDescent="0.3">
      <c r="A28" s="122">
        <v>27</v>
      </c>
      <c r="B28" s="123">
        <v>1611167757</v>
      </c>
      <c r="C28" s="123" t="s">
        <v>1727</v>
      </c>
      <c r="D28" s="123" t="s">
        <v>1664</v>
      </c>
      <c r="E28" s="123" t="s">
        <v>1670</v>
      </c>
      <c r="F28" s="123" t="s">
        <v>1728</v>
      </c>
      <c r="G28" s="123" t="s">
        <v>1667</v>
      </c>
      <c r="H28" s="124"/>
      <c r="I28" s="199" t="s">
        <v>1668</v>
      </c>
      <c r="J28" s="199"/>
      <c r="K28" s="200">
        <f t="shared" si="0"/>
        <v>1</v>
      </c>
      <c r="L28" s="201">
        <v>5084629</v>
      </c>
    </row>
    <row r="29" spans="1:12" ht="66" hidden="1" x14ac:dyDescent="0.3">
      <c r="A29" s="122">
        <v>28</v>
      </c>
      <c r="B29" s="123">
        <v>18110171440</v>
      </c>
      <c r="C29" s="123" t="s">
        <v>1729</v>
      </c>
      <c r="D29" s="123" t="s">
        <v>1664</v>
      </c>
      <c r="E29" s="123" t="s">
        <v>1670</v>
      </c>
      <c r="F29" s="123" t="s">
        <v>1730</v>
      </c>
      <c r="G29" s="123" t="s">
        <v>1667</v>
      </c>
      <c r="H29" s="124" t="s">
        <v>1672</v>
      </c>
      <c r="I29" s="199" t="s">
        <v>1685</v>
      </c>
      <c r="J29" s="199"/>
      <c r="K29" s="200">
        <f t="shared" si="0"/>
        <v>1</v>
      </c>
      <c r="L29" s="201">
        <v>5514960</v>
      </c>
    </row>
    <row r="30" spans="1:12" ht="82.5" hidden="1" x14ac:dyDescent="0.3">
      <c r="A30" s="122">
        <v>29</v>
      </c>
      <c r="B30" s="123">
        <v>1511030471</v>
      </c>
      <c r="C30" s="123" t="s">
        <v>1731</v>
      </c>
      <c r="D30" s="123" t="s">
        <v>1698</v>
      </c>
      <c r="E30" s="123" t="s">
        <v>1665</v>
      </c>
      <c r="F30" s="123" t="s">
        <v>1732</v>
      </c>
      <c r="G30" s="123" t="s">
        <v>1667</v>
      </c>
      <c r="H30" s="124"/>
      <c r="I30" s="199"/>
      <c r="J30" s="199"/>
      <c r="K30" s="200">
        <f t="shared" si="0"/>
        <v>0</v>
      </c>
      <c r="L30" s="201">
        <v>0</v>
      </c>
    </row>
    <row r="31" spans="1:12" s="128" customFormat="1" ht="66" hidden="1" x14ac:dyDescent="0.3">
      <c r="A31" s="125">
        <v>30</v>
      </c>
      <c r="B31" s="126">
        <v>221100377149</v>
      </c>
      <c r="C31" s="126" t="s">
        <v>1733</v>
      </c>
      <c r="D31" s="126" t="s">
        <v>1664</v>
      </c>
      <c r="E31" s="126" t="s">
        <v>1670</v>
      </c>
      <c r="F31" s="126" t="s">
        <v>1714</v>
      </c>
      <c r="G31" s="126" t="s">
        <v>1667</v>
      </c>
      <c r="H31" s="127" t="s">
        <v>1734</v>
      </c>
      <c r="I31" s="202"/>
      <c r="J31" s="202"/>
      <c r="K31" s="200">
        <f t="shared" si="0"/>
        <v>0</v>
      </c>
      <c r="L31" s="203">
        <v>0</v>
      </c>
    </row>
    <row r="32" spans="1:12" s="128" customFormat="1" ht="66" hidden="1" x14ac:dyDescent="0.3">
      <c r="A32" s="125">
        <v>31</v>
      </c>
      <c r="B32" s="126">
        <v>231100094113</v>
      </c>
      <c r="C32" s="126" t="s">
        <v>1735</v>
      </c>
      <c r="D32" s="126" t="s">
        <v>1736</v>
      </c>
      <c r="E32" s="126" t="s">
        <v>1737</v>
      </c>
      <c r="F32" s="126" t="s">
        <v>1738</v>
      </c>
      <c r="G32" s="126" t="s">
        <v>1667</v>
      </c>
      <c r="H32" s="127"/>
      <c r="I32" s="202" t="s">
        <v>1739</v>
      </c>
      <c r="J32" s="202"/>
      <c r="K32" s="200">
        <f t="shared" si="0"/>
        <v>1</v>
      </c>
      <c r="L32" s="203">
        <v>7212</v>
      </c>
    </row>
    <row r="33" spans="1:12" ht="49.5" hidden="1" x14ac:dyDescent="0.3">
      <c r="A33" s="122">
        <v>32</v>
      </c>
      <c r="B33" s="123">
        <v>17210076055</v>
      </c>
      <c r="C33" s="123" t="s">
        <v>1740</v>
      </c>
      <c r="D33" s="123" t="s">
        <v>1736</v>
      </c>
      <c r="E33" s="123" t="s">
        <v>1741</v>
      </c>
      <c r="F33" s="123" t="s">
        <v>1707</v>
      </c>
      <c r="G33" s="123" t="s">
        <v>1667</v>
      </c>
      <c r="H33" s="130" t="s">
        <v>1672</v>
      </c>
      <c r="I33" s="199" t="s">
        <v>1673</v>
      </c>
      <c r="J33" s="199"/>
      <c r="K33" s="200">
        <f t="shared" si="0"/>
        <v>1</v>
      </c>
      <c r="L33" s="201">
        <v>4925961</v>
      </c>
    </row>
    <row r="34" spans="1:12" ht="49.5" hidden="1" x14ac:dyDescent="0.3">
      <c r="A34" s="122">
        <v>33</v>
      </c>
      <c r="B34" s="123">
        <v>221100314008</v>
      </c>
      <c r="C34" s="123" t="s">
        <v>1742</v>
      </c>
      <c r="D34" s="123" t="s">
        <v>1736</v>
      </c>
      <c r="E34" s="123" t="s">
        <v>1741</v>
      </c>
      <c r="F34" s="123" t="s">
        <v>1707</v>
      </c>
      <c r="G34" s="123" t="s">
        <v>1667</v>
      </c>
      <c r="H34" s="130" t="s">
        <v>1672</v>
      </c>
      <c r="I34" s="199" t="s">
        <v>1685</v>
      </c>
      <c r="J34" s="199"/>
      <c r="K34" s="200">
        <f t="shared" si="0"/>
        <v>1</v>
      </c>
      <c r="L34" s="201">
        <v>9234071</v>
      </c>
    </row>
    <row r="35" spans="1:12" s="128" customFormat="1" ht="66" hidden="1" x14ac:dyDescent="0.3">
      <c r="A35" s="125">
        <v>34</v>
      </c>
      <c r="B35" s="126">
        <v>241200130819</v>
      </c>
      <c r="C35" s="126" t="s">
        <v>1743</v>
      </c>
      <c r="D35" s="126" t="s">
        <v>1744</v>
      </c>
      <c r="E35" s="126" t="s">
        <v>1745</v>
      </c>
      <c r="F35" s="126" t="s">
        <v>1746</v>
      </c>
      <c r="G35" s="126" t="s">
        <v>1667</v>
      </c>
      <c r="H35" s="127"/>
      <c r="I35" s="202" t="s">
        <v>1747</v>
      </c>
      <c r="J35" s="202"/>
      <c r="K35" s="200">
        <f t="shared" si="0"/>
        <v>1</v>
      </c>
      <c r="L35" s="203">
        <v>2315130</v>
      </c>
    </row>
    <row r="36" spans="1:12" ht="66" hidden="1" x14ac:dyDescent="0.3">
      <c r="A36" s="122">
        <v>35</v>
      </c>
      <c r="B36" s="123">
        <v>221100036831</v>
      </c>
      <c r="C36" s="123" t="s">
        <v>1748</v>
      </c>
      <c r="D36" s="123" t="s">
        <v>1744</v>
      </c>
      <c r="E36" s="123" t="s">
        <v>1665</v>
      </c>
      <c r="F36" s="123" t="s">
        <v>1749</v>
      </c>
      <c r="G36" s="123" t="s">
        <v>1667</v>
      </c>
      <c r="H36" s="130"/>
      <c r="I36" s="199"/>
      <c r="J36" s="199"/>
      <c r="K36" s="200">
        <f t="shared" si="0"/>
        <v>1</v>
      </c>
      <c r="L36" s="201">
        <v>7318019</v>
      </c>
    </row>
    <row r="37" spans="1:12" s="128" customFormat="1" ht="66" hidden="1" x14ac:dyDescent="0.3">
      <c r="A37" s="125">
        <v>36</v>
      </c>
      <c r="B37" s="126">
        <v>1611083770</v>
      </c>
      <c r="C37" s="126" t="s">
        <v>1750</v>
      </c>
      <c r="D37" s="126" t="s">
        <v>1744</v>
      </c>
      <c r="E37" s="126" t="s">
        <v>1751</v>
      </c>
      <c r="F37" s="126" t="s">
        <v>1752</v>
      </c>
      <c r="G37" s="126" t="s">
        <v>1667</v>
      </c>
      <c r="H37" s="127"/>
      <c r="I37" s="204" t="s">
        <v>1753</v>
      </c>
      <c r="J37" s="204"/>
      <c r="K37" s="200">
        <f t="shared" si="0"/>
        <v>0</v>
      </c>
      <c r="L37" s="205">
        <v>0</v>
      </c>
    </row>
    <row r="38" spans="1:12" s="128" customFormat="1" ht="66" hidden="1" x14ac:dyDescent="0.3">
      <c r="A38" s="125">
        <v>37</v>
      </c>
      <c r="B38" s="126">
        <v>241200289115</v>
      </c>
      <c r="C38" s="126" t="s">
        <v>1754</v>
      </c>
      <c r="D38" s="126" t="s">
        <v>1736</v>
      </c>
      <c r="E38" s="126" t="s">
        <v>1755</v>
      </c>
      <c r="F38" s="126" t="s">
        <v>1756</v>
      </c>
      <c r="G38" s="126" t="s">
        <v>1667</v>
      </c>
      <c r="H38" s="127"/>
      <c r="I38" s="202" t="s">
        <v>1757</v>
      </c>
      <c r="J38" s="202"/>
      <c r="K38" s="200">
        <f t="shared" si="0"/>
        <v>1</v>
      </c>
      <c r="L38" s="203">
        <v>5231278</v>
      </c>
    </row>
    <row r="39" spans="1:12" s="128" customFormat="1" ht="66" hidden="1" x14ac:dyDescent="0.3">
      <c r="A39" s="125">
        <v>38</v>
      </c>
      <c r="B39" s="126">
        <v>221100371743</v>
      </c>
      <c r="C39" s="126" t="s">
        <v>1758</v>
      </c>
      <c r="D39" s="126" t="s">
        <v>1759</v>
      </c>
      <c r="E39" s="126" t="s">
        <v>1760</v>
      </c>
      <c r="F39" s="126" t="s">
        <v>1761</v>
      </c>
      <c r="G39" s="126" t="s">
        <v>1667</v>
      </c>
      <c r="H39" s="127"/>
      <c r="I39" s="202" t="s">
        <v>1757</v>
      </c>
      <c r="J39" s="202"/>
      <c r="K39" s="200">
        <f t="shared" si="0"/>
        <v>0</v>
      </c>
      <c r="L39" s="203">
        <v>0</v>
      </c>
    </row>
    <row r="40" spans="1:12" ht="66" hidden="1" x14ac:dyDescent="0.3">
      <c r="A40" s="122">
        <v>39</v>
      </c>
      <c r="B40" s="123">
        <v>211100046026</v>
      </c>
      <c r="C40" s="123" t="s">
        <v>1762</v>
      </c>
      <c r="D40" s="123" t="s">
        <v>1744</v>
      </c>
      <c r="E40" s="123" t="s">
        <v>1763</v>
      </c>
      <c r="F40" s="123" t="s">
        <v>1764</v>
      </c>
      <c r="G40" s="123" t="s">
        <v>1667</v>
      </c>
      <c r="H40" s="130"/>
      <c r="I40" s="199"/>
      <c r="J40" s="199"/>
      <c r="K40" s="200">
        <f t="shared" si="0"/>
        <v>0</v>
      </c>
      <c r="L40" s="201">
        <v>0</v>
      </c>
    </row>
    <row r="41" spans="1:12" ht="66" hidden="1" x14ac:dyDescent="0.3">
      <c r="A41" s="122">
        <v>40</v>
      </c>
      <c r="B41" s="123">
        <v>1511025368</v>
      </c>
      <c r="C41" s="123" t="s">
        <v>1765</v>
      </c>
      <c r="D41" s="123" t="s">
        <v>1736</v>
      </c>
      <c r="E41" s="123" t="s">
        <v>1766</v>
      </c>
      <c r="F41" s="123" t="s">
        <v>1767</v>
      </c>
      <c r="G41" s="123" t="s">
        <v>1667</v>
      </c>
      <c r="H41" s="130" t="s">
        <v>1672</v>
      </c>
      <c r="I41" s="199" t="s">
        <v>1673</v>
      </c>
      <c r="J41" s="199"/>
      <c r="K41" s="200">
        <f t="shared" si="0"/>
        <v>1</v>
      </c>
      <c r="L41" s="201">
        <v>5255319</v>
      </c>
    </row>
    <row r="42" spans="1:12" ht="66" hidden="1" x14ac:dyDescent="0.3">
      <c r="A42" s="122">
        <v>41</v>
      </c>
      <c r="B42" s="123">
        <v>1411187017</v>
      </c>
      <c r="C42" s="123" t="s">
        <v>1768</v>
      </c>
      <c r="D42" s="123" t="s">
        <v>1736</v>
      </c>
      <c r="E42" s="123" t="s">
        <v>1769</v>
      </c>
      <c r="F42" s="123" t="s">
        <v>1770</v>
      </c>
      <c r="G42" s="123" t="s">
        <v>1667</v>
      </c>
      <c r="H42" s="130" t="s">
        <v>1672</v>
      </c>
      <c r="I42" s="199" t="s">
        <v>1673</v>
      </c>
      <c r="J42" s="199"/>
      <c r="K42" s="200">
        <f t="shared" si="0"/>
        <v>1</v>
      </c>
      <c r="L42" s="201">
        <v>1553036</v>
      </c>
    </row>
    <row r="43" spans="1:12" ht="49.5" hidden="1" x14ac:dyDescent="0.3">
      <c r="A43" s="122">
        <v>42</v>
      </c>
      <c r="B43" s="123">
        <v>251200072347</v>
      </c>
      <c r="C43" s="123" t="s">
        <v>1771</v>
      </c>
      <c r="D43" s="123" t="s">
        <v>1772</v>
      </c>
      <c r="E43" s="123" t="s">
        <v>1773</v>
      </c>
      <c r="F43" s="123" t="s">
        <v>1774</v>
      </c>
      <c r="G43" s="123" t="s">
        <v>1667</v>
      </c>
      <c r="H43" s="130" t="s">
        <v>1672</v>
      </c>
      <c r="I43" s="199" t="s">
        <v>1673</v>
      </c>
      <c r="J43" s="199"/>
      <c r="K43" s="200">
        <f t="shared" si="0"/>
        <v>1</v>
      </c>
      <c r="L43" s="201">
        <v>382249</v>
      </c>
    </row>
    <row r="44" spans="1:12" s="128" customFormat="1" ht="66" hidden="1" x14ac:dyDescent="0.3">
      <c r="A44" s="125">
        <v>43</v>
      </c>
      <c r="B44" s="126">
        <v>221100359672</v>
      </c>
      <c r="C44" s="126" t="s">
        <v>1775</v>
      </c>
      <c r="D44" s="126" t="s">
        <v>1776</v>
      </c>
      <c r="E44" s="126" t="s">
        <v>1777</v>
      </c>
      <c r="F44" s="126" t="s">
        <v>1778</v>
      </c>
      <c r="G44" s="126" t="s">
        <v>1667</v>
      </c>
      <c r="H44" s="127"/>
      <c r="I44" s="202" t="s">
        <v>1779</v>
      </c>
      <c r="J44" s="202"/>
      <c r="K44" s="200">
        <f t="shared" si="0"/>
        <v>0</v>
      </c>
      <c r="L44" s="203">
        <v>0</v>
      </c>
    </row>
    <row r="45" spans="1:12" s="128" customFormat="1" ht="66" hidden="1" x14ac:dyDescent="0.3">
      <c r="A45" s="125">
        <v>44</v>
      </c>
      <c r="B45" s="126">
        <v>221100379490</v>
      </c>
      <c r="C45" s="126" t="s">
        <v>1780</v>
      </c>
      <c r="D45" s="126" t="s">
        <v>1776</v>
      </c>
      <c r="E45" s="126" t="s">
        <v>1777</v>
      </c>
      <c r="F45" s="126" t="s">
        <v>1778</v>
      </c>
      <c r="G45" s="126" t="s">
        <v>1667</v>
      </c>
      <c r="H45" s="127"/>
      <c r="I45" s="202" t="s">
        <v>1779</v>
      </c>
      <c r="J45" s="202"/>
      <c r="K45" s="200">
        <f t="shared" si="0"/>
        <v>0</v>
      </c>
      <c r="L45" s="203">
        <v>0</v>
      </c>
    </row>
    <row r="46" spans="1:12" ht="66" hidden="1" x14ac:dyDescent="0.3">
      <c r="A46" s="122">
        <v>45</v>
      </c>
      <c r="B46" s="123">
        <v>241200012670</v>
      </c>
      <c r="C46" s="123" t="s">
        <v>1781</v>
      </c>
      <c r="D46" s="123" t="s">
        <v>1744</v>
      </c>
      <c r="E46" s="123" t="s">
        <v>1782</v>
      </c>
      <c r="F46" s="123" t="s">
        <v>1783</v>
      </c>
      <c r="G46" s="123" t="s">
        <v>1667</v>
      </c>
      <c r="H46" s="130" t="s">
        <v>1672</v>
      </c>
      <c r="I46" s="199" t="s">
        <v>1673</v>
      </c>
      <c r="J46" s="199"/>
      <c r="K46" s="200">
        <f t="shared" si="0"/>
        <v>1</v>
      </c>
      <c r="L46" s="201">
        <v>665930</v>
      </c>
    </row>
    <row r="47" spans="1:12" ht="66" hidden="1" x14ac:dyDescent="0.3">
      <c r="A47" s="122">
        <v>46</v>
      </c>
      <c r="B47" s="123">
        <v>241200012668</v>
      </c>
      <c r="C47" s="123" t="s">
        <v>1784</v>
      </c>
      <c r="D47" s="123" t="s">
        <v>1744</v>
      </c>
      <c r="E47" s="123" t="s">
        <v>1782</v>
      </c>
      <c r="F47" s="123" t="s">
        <v>1785</v>
      </c>
      <c r="G47" s="123" t="s">
        <v>1667</v>
      </c>
      <c r="H47" s="130" t="s">
        <v>1672</v>
      </c>
      <c r="I47" s="199" t="s">
        <v>1673</v>
      </c>
      <c r="J47" s="199"/>
      <c r="K47" s="200">
        <f t="shared" si="0"/>
        <v>1</v>
      </c>
      <c r="L47" s="201">
        <v>1103473</v>
      </c>
    </row>
    <row r="48" spans="1:12" ht="66" hidden="1" x14ac:dyDescent="0.3">
      <c r="A48" s="122">
        <v>47</v>
      </c>
      <c r="B48" s="123">
        <v>251200035212</v>
      </c>
      <c r="C48" s="123" t="s">
        <v>1786</v>
      </c>
      <c r="D48" s="123" t="s">
        <v>1787</v>
      </c>
      <c r="E48" s="123" t="s">
        <v>1788</v>
      </c>
      <c r="F48" s="123" t="s">
        <v>1789</v>
      </c>
      <c r="G48" s="123" t="s">
        <v>1667</v>
      </c>
      <c r="H48" s="130" t="s">
        <v>1672</v>
      </c>
      <c r="I48" s="199" t="s">
        <v>1673</v>
      </c>
      <c r="J48" s="199"/>
      <c r="K48" s="200">
        <f t="shared" si="0"/>
        <v>1</v>
      </c>
      <c r="L48" s="201">
        <v>1230889</v>
      </c>
    </row>
    <row r="49" spans="1:12" ht="66" hidden="1" x14ac:dyDescent="0.3">
      <c r="A49" s="122">
        <v>48</v>
      </c>
      <c r="B49" s="123">
        <v>241200006473</v>
      </c>
      <c r="C49" s="123" t="s">
        <v>1790</v>
      </c>
      <c r="D49" s="123" t="s">
        <v>1744</v>
      </c>
      <c r="E49" s="123" t="s">
        <v>1782</v>
      </c>
      <c r="F49" s="123" t="s">
        <v>1791</v>
      </c>
      <c r="G49" s="123" t="s">
        <v>1667</v>
      </c>
      <c r="H49" s="130" t="s">
        <v>1672</v>
      </c>
      <c r="I49" s="199" t="s">
        <v>1673</v>
      </c>
      <c r="J49" s="199"/>
      <c r="K49" s="200">
        <f t="shared" si="0"/>
        <v>1</v>
      </c>
      <c r="L49" s="201">
        <v>5139923</v>
      </c>
    </row>
    <row r="50" spans="1:12" ht="66" hidden="1" x14ac:dyDescent="0.3">
      <c r="A50" s="122">
        <v>49</v>
      </c>
      <c r="B50" s="123">
        <v>241200130874</v>
      </c>
      <c r="C50" s="123" t="s">
        <v>1792</v>
      </c>
      <c r="D50" s="123" t="s">
        <v>1772</v>
      </c>
      <c r="E50" s="123" t="s">
        <v>1793</v>
      </c>
      <c r="F50" s="123" t="s">
        <v>1794</v>
      </c>
      <c r="G50" s="123" t="s">
        <v>1667</v>
      </c>
      <c r="H50" s="130" t="s">
        <v>1672</v>
      </c>
      <c r="I50" s="199" t="s">
        <v>1673</v>
      </c>
      <c r="J50" s="199"/>
      <c r="K50" s="200">
        <f t="shared" si="0"/>
        <v>1</v>
      </c>
      <c r="L50" s="201">
        <v>2288685</v>
      </c>
    </row>
    <row r="51" spans="1:12" ht="66" hidden="1" x14ac:dyDescent="0.3">
      <c r="A51" s="122">
        <v>50</v>
      </c>
      <c r="B51" s="123">
        <v>231100094520</v>
      </c>
      <c r="C51" s="123" t="s">
        <v>1795</v>
      </c>
      <c r="D51" s="123" t="s">
        <v>1736</v>
      </c>
      <c r="E51" s="123" t="s">
        <v>1796</v>
      </c>
      <c r="F51" s="123" t="s">
        <v>1797</v>
      </c>
      <c r="G51" s="123" t="s">
        <v>1667</v>
      </c>
      <c r="H51" s="130"/>
      <c r="I51" s="199" t="s">
        <v>1668</v>
      </c>
      <c r="J51" s="199"/>
      <c r="K51" s="200">
        <f t="shared" si="0"/>
        <v>0</v>
      </c>
      <c r="L51" s="201">
        <v>0</v>
      </c>
    </row>
    <row r="52" spans="1:12" ht="66" hidden="1" x14ac:dyDescent="0.3">
      <c r="A52" s="122">
        <v>51</v>
      </c>
      <c r="B52" s="123">
        <v>231100094306</v>
      </c>
      <c r="C52" s="123" t="s">
        <v>1798</v>
      </c>
      <c r="D52" s="123" t="s">
        <v>1736</v>
      </c>
      <c r="E52" s="123" t="s">
        <v>1799</v>
      </c>
      <c r="F52" s="123" t="s">
        <v>1800</v>
      </c>
      <c r="G52" s="123" t="s">
        <v>1667</v>
      </c>
      <c r="H52" s="130" t="s">
        <v>1672</v>
      </c>
      <c r="I52" s="199" t="s">
        <v>1673</v>
      </c>
      <c r="J52" s="199"/>
      <c r="K52" s="200">
        <f t="shared" si="0"/>
        <v>1</v>
      </c>
      <c r="L52" s="201">
        <v>9428802</v>
      </c>
    </row>
    <row r="53" spans="1:12" ht="66" hidden="1" x14ac:dyDescent="0.3">
      <c r="A53" s="122">
        <v>52</v>
      </c>
      <c r="B53" s="123">
        <v>241200006433</v>
      </c>
      <c r="C53" s="123" t="s">
        <v>1801</v>
      </c>
      <c r="D53" s="123" t="s">
        <v>1744</v>
      </c>
      <c r="E53" s="123" t="s">
        <v>1782</v>
      </c>
      <c r="F53" s="123" t="s">
        <v>1802</v>
      </c>
      <c r="G53" s="123" t="s">
        <v>1667</v>
      </c>
      <c r="H53" s="130" t="s">
        <v>1672</v>
      </c>
      <c r="I53" s="199" t="s">
        <v>1673</v>
      </c>
      <c r="J53" s="199"/>
      <c r="K53" s="200">
        <f t="shared" si="0"/>
        <v>1</v>
      </c>
      <c r="L53" s="201">
        <v>836620</v>
      </c>
    </row>
    <row r="54" spans="1:12" s="128" customFormat="1" ht="49.5" hidden="1" x14ac:dyDescent="0.3">
      <c r="A54" s="125">
        <v>53</v>
      </c>
      <c r="B54" s="126">
        <v>221100320827</v>
      </c>
      <c r="C54" s="126" t="s">
        <v>1803</v>
      </c>
      <c r="D54" s="126" t="s">
        <v>1776</v>
      </c>
      <c r="E54" s="126" t="s">
        <v>1777</v>
      </c>
      <c r="F54" s="126" t="s">
        <v>1804</v>
      </c>
      <c r="G54" s="126" t="s">
        <v>1667</v>
      </c>
      <c r="H54" s="127"/>
      <c r="I54" s="202" t="s">
        <v>1779</v>
      </c>
      <c r="J54" s="202"/>
      <c r="K54" s="200">
        <f t="shared" si="0"/>
        <v>0</v>
      </c>
      <c r="L54" s="203">
        <v>0</v>
      </c>
    </row>
    <row r="55" spans="1:12" ht="66" hidden="1" x14ac:dyDescent="0.3">
      <c r="A55" s="122">
        <v>54</v>
      </c>
      <c r="B55" s="123">
        <v>18110174271</v>
      </c>
      <c r="C55" s="123" t="s">
        <v>1805</v>
      </c>
      <c r="D55" s="123" t="s">
        <v>1744</v>
      </c>
      <c r="E55" s="123" t="s">
        <v>1782</v>
      </c>
      <c r="F55" s="123" t="s">
        <v>1806</v>
      </c>
      <c r="G55" s="123" t="s">
        <v>1667</v>
      </c>
      <c r="H55" s="130"/>
      <c r="I55" s="199" t="s">
        <v>1668</v>
      </c>
      <c r="J55" s="199"/>
      <c r="K55" s="200">
        <f t="shared" si="0"/>
        <v>1</v>
      </c>
      <c r="L55" s="201">
        <v>492835</v>
      </c>
    </row>
    <row r="56" spans="1:12" ht="66" hidden="1" x14ac:dyDescent="0.3">
      <c r="A56" s="122">
        <v>55</v>
      </c>
      <c r="B56" s="123">
        <v>221100313089</v>
      </c>
      <c r="C56" s="123" t="s">
        <v>1807</v>
      </c>
      <c r="D56" s="123" t="s">
        <v>1744</v>
      </c>
      <c r="E56" s="123" t="s">
        <v>1782</v>
      </c>
      <c r="F56" s="123" t="s">
        <v>1808</v>
      </c>
      <c r="G56" s="123" t="s">
        <v>1667</v>
      </c>
      <c r="H56" s="130"/>
      <c r="I56" s="199" t="s">
        <v>1668</v>
      </c>
      <c r="J56" s="199"/>
      <c r="K56" s="200">
        <f t="shared" si="0"/>
        <v>0</v>
      </c>
      <c r="L56" s="201">
        <v>0</v>
      </c>
    </row>
    <row r="57" spans="1:12" ht="82.5" hidden="1" x14ac:dyDescent="0.3">
      <c r="A57" s="122">
        <v>56</v>
      </c>
      <c r="B57" s="123">
        <v>221100364443</v>
      </c>
      <c r="C57" s="123" t="s">
        <v>1809</v>
      </c>
      <c r="D57" s="123" t="s">
        <v>1744</v>
      </c>
      <c r="E57" s="123" t="s">
        <v>1782</v>
      </c>
      <c r="F57" s="123" t="s">
        <v>1810</v>
      </c>
      <c r="G57" s="123" t="s">
        <v>1667</v>
      </c>
      <c r="H57" s="130" t="s">
        <v>1672</v>
      </c>
      <c r="I57" s="199" t="s">
        <v>1673</v>
      </c>
      <c r="J57" s="199"/>
      <c r="K57" s="200">
        <f t="shared" si="0"/>
        <v>1</v>
      </c>
      <c r="L57" s="201">
        <v>4110977</v>
      </c>
    </row>
    <row r="58" spans="1:12" ht="82.5" hidden="1" x14ac:dyDescent="0.3">
      <c r="A58" s="122">
        <v>57</v>
      </c>
      <c r="B58" s="123">
        <v>231200038036</v>
      </c>
      <c r="C58" s="123" t="s">
        <v>1811</v>
      </c>
      <c r="D58" s="123" t="s">
        <v>1744</v>
      </c>
      <c r="E58" s="123" t="s">
        <v>1782</v>
      </c>
      <c r="F58" s="123" t="s">
        <v>1812</v>
      </c>
      <c r="G58" s="123" t="s">
        <v>1667</v>
      </c>
      <c r="H58" s="130"/>
      <c r="I58" s="199"/>
      <c r="J58" s="199"/>
      <c r="K58" s="200">
        <f t="shared" si="0"/>
        <v>1</v>
      </c>
      <c r="L58" s="201">
        <v>1341476</v>
      </c>
    </row>
    <row r="59" spans="1:12" ht="82.5" hidden="1" x14ac:dyDescent="0.3">
      <c r="A59" s="122">
        <v>58</v>
      </c>
      <c r="B59" s="123">
        <v>1611083971</v>
      </c>
      <c r="C59" s="123" t="s">
        <v>1813</v>
      </c>
      <c r="D59" s="123" t="s">
        <v>1744</v>
      </c>
      <c r="E59" s="123" t="s">
        <v>1782</v>
      </c>
      <c r="F59" s="123" t="s">
        <v>1814</v>
      </c>
      <c r="G59" s="123" t="s">
        <v>1667</v>
      </c>
      <c r="H59" s="130" t="s">
        <v>1672</v>
      </c>
      <c r="I59" s="199" t="s">
        <v>1673</v>
      </c>
      <c r="J59" s="199"/>
      <c r="K59" s="200">
        <f t="shared" si="0"/>
        <v>1</v>
      </c>
      <c r="L59" s="201">
        <v>4615834</v>
      </c>
    </row>
    <row r="60" spans="1:12" ht="132" hidden="1" x14ac:dyDescent="0.3">
      <c r="A60" s="122">
        <v>59</v>
      </c>
      <c r="B60" s="123">
        <v>1411042776</v>
      </c>
      <c r="C60" s="123" t="s">
        <v>1815</v>
      </c>
      <c r="D60" s="123" t="s">
        <v>1744</v>
      </c>
      <c r="E60" s="123" t="s">
        <v>1769</v>
      </c>
      <c r="F60" s="123" t="s">
        <v>1816</v>
      </c>
      <c r="G60" s="123" t="s">
        <v>1667</v>
      </c>
      <c r="H60" s="130" t="s">
        <v>1672</v>
      </c>
      <c r="I60" s="199" t="s">
        <v>1673</v>
      </c>
      <c r="J60" s="199"/>
      <c r="K60" s="200">
        <f t="shared" si="0"/>
        <v>1</v>
      </c>
      <c r="L60" s="201">
        <v>3714303</v>
      </c>
    </row>
    <row r="61" spans="1:12" ht="49.5" hidden="1" x14ac:dyDescent="0.3">
      <c r="A61" s="122">
        <v>60</v>
      </c>
      <c r="B61" s="123">
        <v>131138843</v>
      </c>
      <c r="C61" s="123" t="s">
        <v>1817</v>
      </c>
      <c r="D61" s="123" t="s">
        <v>1736</v>
      </c>
      <c r="E61" s="123" t="s">
        <v>1782</v>
      </c>
      <c r="F61" s="123" t="s">
        <v>1818</v>
      </c>
      <c r="G61" s="123" t="s">
        <v>1667</v>
      </c>
      <c r="H61" s="130" t="s">
        <v>1672</v>
      </c>
      <c r="I61" s="199" t="s">
        <v>1673</v>
      </c>
      <c r="J61" s="199"/>
      <c r="K61" s="200">
        <f t="shared" si="0"/>
        <v>1</v>
      </c>
      <c r="L61" s="201">
        <v>10849614</v>
      </c>
    </row>
    <row r="62" spans="1:12" ht="115.5" hidden="1" x14ac:dyDescent="0.3">
      <c r="A62" s="122">
        <v>61</v>
      </c>
      <c r="B62" s="123">
        <v>1411013728</v>
      </c>
      <c r="C62" s="123" t="s">
        <v>1819</v>
      </c>
      <c r="D62" s="123" t="s">
        <v>1744</v>
      </c>
      <c r="E62" s="123" t="s">
        <v>1769</v>
      </c>
      <c r="F62" s="123" t="s">
        <v>1820</v>
      </c>
      <c r="G62" s="123" t="s">
        <v>1667</v>
      </c>
      <c r="H62" s="130"/>
      <c r="I62" s="199" t="s">
        <v>1668</v>
      </c>
      <c r="J62" s="199"/>
      <c r="K62" s="200">
        <f t="shared" si="0"/>
        <v>1</v>
      </c>
      <c r="L62" s="201">
        <v>2750268</v>
      </c>
    </row>
    <row r="63" spans="1:12" ht="49.5" hidden="1" x14ac:dyDescent="0.3">
      <c r="A63" s="122">
        <v>62</v>
      </c>
      <c r="B63" s="123">
        <v>241200013333</v>
      </c>
      <c r="C63" s="123" t="s">
        <v>1821</v>
      </c>
      <c r="D63" s="123" t="s">
        <v>1736</v>
      </c>
      <c r="E63" s="123" t="s">
        <v>1782</v>
      </c>
      <c r="F63" s="123" t="s">
        <v>1818</v>
      </c>
      <c r="G63" s="123" t="s">
        <v>1667</v>
      </c>
      <c r="H63" s="130" t="s">
        <v>1672</v>
      </c>
      <c r="I63" s="199" t="s">
        <v>1719</v>
      </c>
      <c r="J63" s="199"/>
      <c r="K63" s="200">
        <f t="shared" si="0"/>
        <v>1</v>
      </c>
      <c r="L63" s="201">
        <v>6202526</v>
      </c>
    </row>
    <row r="64" spans="1:12" ht="115.5" hidden="1" x14ac:dyDescent="0.3">
      <c r="A64" s="122">
        <v>63</v>
      </c>
      <c r="B64" s="123">
        <v>1411177048</v>
      </c>
      <c r="C64" s="123" t="s">
        <v>1822</v>
      </c>
      <c r="D64" s="123" t="s">
        <v>1744</v>
      </c>
      <c r="E64" s="123" t="s">
        <v>1769</v>
      </c>
      <c r="F64" s="123" t="s">
        <v>1823</v>
      </c>
      <c r="G64" s="123" t="s">
        <v>1667</v>
      </c>
      <c r="H64" s="130"/>
      <c r="I64" s="199" t="s">
        <v>1668</v>
      </c>
      <c r="J64" s="199"/>
      <c r="K64" s="200">
        <f t="shared" si="0"/>
        <v>1</v>
      </c>
      <c r="L64" s="201">
        <v>1956920</v>
      </c>
    </row>
    <row r="65" spans="1:12" ht="82.5" hidden="1" x14ac:dyDescent="0.3">
      <c r="A65" s="122">
        <v>64</v>
      </c>
      <c r="B65" s="123">
        <v>241200012649</v>
      </c>
      <c r="C65" s="123" t="s">
        <v>1824</v>
      </c>
      <c r="D65" s="123" t="s">
        <v>1744</v>
      </c>
      <c r="E65" s="123" t="s">
        <v>1782</v>
      </c>
      <c r="F65" s="123" t="s">
        <v>1825</v>
      </c>
      <c r="G65" s="123" t="s">
        <v>1667</v>
      </c>
      <c r="H65" s="130" t="s">
        <v>1672</v>
      </c>
      <c r="I65" s="199" t="s">
        <v>1673</v>
      </c>
      <c r="J65" s="199"/>
      <c r="K65" s="200">
        <f t="shared" si="0"/>
        <v>1</v>
      </c>
      <c r="L65" s="201">
        <v>1139533</v>
      </c>
    </row>
    <row r="66" spans="1:12" s="128" customFormat="1" ht="115.5" hidden="1" x14ac:dyDescent="0.3">
      <c r="A66" s="125">
        <v>65</v>
      </c>
      <c r="B66" s="126">
        <v>1511022134</v>
      </c>
      <c r="C66" s="126" t="s">
        <v>1826</v>
      </c>
      <c r="D66" s="126" t="s">
        <v>1744</v>
      </c>
      <c r="E66" s="126" t="s">
        <v>1769</v>
      </c>
      <c r="F66" s="126" t="s">
        <v>1827</v>
      </c>
      <c r="G66" s="126" t="s">
        <v>1667</v>
      </c>
      <c r="H66" s="127"/>
      <c r="I66" s="202" t="s">
        <v>1828</v>
      </c>
      <c r="J66" s="202"/>
      <c r="K66" s="200">
        <f t="shared" ref="K66:K129" si="1">IF(L66="","",IF(L66&lt;&gt;0,1,0))</f>
        <v>1</v>
      </c>
      <c r="L66" s="203">
        <v>504857</v>
      </c>
    </row>
    <row r="67" spans="1:12" ht="115.5" hidden="1" x14ac:dyDescent="0.3">
      <c r="A67" s="122">
        <v>66</v>
      </c>
      <c r="B67" s="123">
        <v>1411166950</v>
      </c>
      <c r="C67" s="123" t="s">
        <v>1829</v>
      </c>
      <c r="D67" s="123" t="s">
        <v>1744</v>
      </c>
      <c r="E67" s="123" t="s">
        <v>1769</v>
      </c>
      <c r="F67" s="123" t="s">
        <v>1830</v>
      </c>
      <c r="G67" s="123" t="s">
        <v>1667</v>
      </c>
      <c r="H67" s="130" t="s">
        <v>1672</v>
      </c>
      <c r="I67" s="199" t="s">
        <v>1673</v>
      </c>
      <c r="J67" s="199"/>
      <c r="K67" s="200">
        <f t="shared" si="1"/>
        <v>1</v>
      </c>
      <c r="L67" s="201">
        <v>1603522</v>
      </c>
    </row>
    <row r="68" spans="1:12" ht="82.5" hidden="1" x14ac:dyDescent="0.3">
      <c r="A68" s="122">
        <v>67</v>
      </c>
      <c r="B68" s="123">
        <v>231200037724</v>
      </c>
      <c r="C68" s="123" t="s">
        <v>1831</v>
      </c>
      <c r="D68" s="123" t="s">
        <v>1736</v>
      </c>
      <c r="E68" s="123" t="s">
        <v>1832</v>
      </c>
      <c r="F68" s="123" t="s">
        <v>1833</v>
      </c>
      <c r="G68" s="123" t="s">
        <v>1667</v>
      </c>
      <c r="H68" s="130" t="s">
        <v>1672</v>
      </c>
      <c r="I68" s="199" t="s">
        <v>1673</v>
      </c>
      <c r="J68" s="199"/>
      <c r="K68" s="200">
        <f t="shared" si="1"/>
        <v>1</v>
      </c>
      <c r="L68" s="201">
        <v>1896820</v>
      </c>
    </row>
    <row r="69" spans="1:12" ht="82.5" hidden="1" x14ac:dyDescent="0.3">
      <c r="A69" s="122">
        <v>68</v>
      </c>
      <c r="B69" s="123">
        <v>211100268563</v>
      </c>
      <c r="C69" s="123" t="s">
        <v>1834</v>
      </c>
      <c r="D69" s="123" t="s">
        <v>1744</v>
      </c>
      <c r="E69" s="123" t="s">
        <v>1782</v>
      </c>
      <c r="F69" s="123" t="s">
        <v>1835</v>
      </c>
      <c r="G69" s="123" t="s">
        <v>1667</v>
      </c>
      <c r="H69" s="130" t="s">
        <v>1672</v>
      </c>
      <c r="I69" s="199" t="s">
        <v>1673</v>
      </c>
      <c r="J69" s="199"/>
      <c r="K69" s="200">
        <f t="shared" si="1"/>
        <v>1</v>
      </c>
      <c r="L69" s="201">
        <v>2565153</v>
      </c>
    </row>
    <row r="70" spans="1:12" ht="115.5" hidden="1" x14ac:dyDescent="0.3">
      <c r="A70" s="122">
        <v>69</v>
      </c>
      <c r="B70" s="123">
        <v>1411119760</v>
      </c>
      <c r="C70" s="123" t="s">
        <v>1836</v>
      </c>
      <c r="D70" s="123" t="s">
        <v>1744</v>
      </c>
      <c r="E70" s="123" t="s">
        <v>1769</v>
      </c>
      <c r="F70" s="123" t="s">
        <v>1837</v>
      </c>
      <c r="G70" s="123" t="s">
        <v>1667</v>
      </c>
      <c r="H70" s="130"/>
      <c r="I70" s="199"/>
      <c r="J70" s="199"/>
      <c r="K70" s="200">
        <f t="shared" si="1"/>
        <v>1</v>
      </c>
      <c r="L70" s="201">
        <v>877489</v>
      </c>
    </row>
    <row r="71" spans="1:12" ht="82.5" hidden="1" x14ac:dyDescent="0.3">
      <c r="A71" s="122">
        <v>70</v>
      </c>
      <c r="B71" s="123">
        <v>241200030669</v>
      </c>
      <c r="C71" s="123" t="s">
        <v>1838</v>
      </c>
      <c r="D71" s="123" t="s">
        <v>1744</v>
      </c>
      <c r="E71" s="123" t="s">
        <v>1782</v>
      </c>
      <c r="F71" s="123" t="s">
        <v>1839</v>
      </c>
      <c r="G71" s="123" t="s">
        <v>1667</v>
      </c>
      <c r="H71" s="130" t="s">
        <v>1672</v>
      </c>
      <c r="I71" s="199" t="s">
        <v>1673</v>
      </c>
      <c r="J71" s="199"/>
      <c r="K71" s="200">
        <f t="shared" si="1"/>
        <v>1</v>
      </c>
      <c r="L71" s="201">
        <v>2935382</v>
      </c>
    </row>
    <row r="72" spans="1:12" ht="66" hidden="1" x14ac:dyDescent="0.3">
      <c r="A72" s="122">
        <v>71</v>
      </c>
      <c r="B72" s="123">
        <v>1511112075</v>
      </c>
      <c r="C72" s="123" t="s">
        <v>1840</v>
      </c>
      <c r="D72" s="123" t="s">
        <v>1744</v>
      </c>
      <c r="E72" s="123" t="s">
        <v>1782</v>
      </c>
      <c r="F72" s="123" t="s">
        <v>1841</v>
      </c>
      <c r="G72" s="123" t="s">
        <v>1667</v>
      </c>
      <c r="H72" s="130" t="s">
        <v>1672</v>
      </c>
      <c r="I72" s="199" t="s">
        <v>1673</v>
      </c>
      <c r="J72" s="199"/>
      <c r="K72" s="200">
        <f t="shared" si="1"/>
        <v>1</v>
      </c>
      <c r="L72" s="201">
        <v>3608523</v>
      </c>
    </row>
    <row r="73" spans="1:12" ht="82.5" hidden="1" x14ac:dyDescent="0.3">
      <c r="A73" s="122">
        <v>72</v>
      </c>
      <c r="B73" s="123">
        <v>241200047594</v>
      </c>
      <c r="C73" s="123" t="s">
        <v>1842</v>
      </c>
      <c r="D73" s="123" t="s">
        <v>1744</v>
      </c>
      <c r="E73" s="123" t="s">
        <v>1782</v>
      </c>
      <c r="F73" s="123" t="s">
        <v>1843</v>
      </c>
      <c r="G73" s="123" t="s">
        <v>1667</v>
      </c>
      <c r="H73" s="130" t="s">
        <v>1672</v>
      </c>
      <c r="I73" s="199" t="s">
        <v>1673</v>
      </c>
      <c r="J73" s="199"/>
      <c r="K73" s="200">
        <f t="shared" si="1"/>
        <v>1</v>
      </c>
      <c r="L73" s="201">
        <v>1067411</v>
      </c>
    </row>
    <row r="74" spans="1:12" ht="49.5" hidden="1" x14ac:dyDescent="0.3">
      <c r="A74" s="122">
        <v>73</v>
      </c>
      <c r="B74" s="123">
        <v>221100309345</v>
      </c>
      <c r="C74" s="123" t="s">
        <v>1844</v>
      </c>
      <c r="D74" s="123" t="s">
        <v>1736</v>
      </c>
      <c r="E74" s="123" t="s">
        <v>1782</v>
      </c>
      <c r="F74" s="123" t="s">
        <v>1818</v>
      </c>
      <c r="G74" s="123" t="s">
        <v>1667</v>
      </c>
      <c r="H74" s="130"/>
      <c r="I74" s="199"/>
      <c r="J74" s="199"/>
      <c r="K74" s="200">
        <f t="shared" si="1"/>
        <v>1</v>
      </c>
      <c r="L74" s="201">
        <v>2322340</v>
      </c>
    </row>
    <row r="75" spans="1:12" ht="49.5" hidden="1" x14ac:dyDescent="0.3">
      <c r="A75" s="122">
        <v>74</v>
      </c>
      <c r="B75" s="123">
        <v>1511083146</v>
      </c>
      <c r="C75" s="123" t="s">
        <v>1845</v>
      </c>
      <c r="D75" s="123" t="s">
        <v>1736</v>
      </c>
      <c r="E75" s="123" t="s">
        <v>1846</v>
      </c>
      <c r="F75" s="123" t="s">
        <v>1804</v>
      </c>
      <c r="G75" s="123" t="s">
        <v>1667</v>
      </c>
      <c r="H75" s="130"/>
      <c r="I75" s="199"/>
      <c r="J75" s="199"/>
      <c r="K75" s="200">
        <f t="shared" si="1"/>
        <v>1</v>
      </c>
      <c r="L75" s="201">
        <v>2057893</v>
      </c>
    </row>
    <row r="76" spans="1:12" ht="66" hidden="1" x14ac:dyDescent="0.3">
      <c r="A76" s="122">
        <v>75</v>
      </c>
      <c r="B76" s="123">
        <v>221100309346</v>
      </c>
      <c r="C76" s="123" t="s">
        <v>1847</v>
      </c>
      <c r="D76" s="123" t="s">
        <v>1736</v>
      </c>
      <c r="E76" s="123" t="s">
        <v>1848</v>
      </c>
      <c r="F76" s="123" t="s">
        <v>1849</v>
      </c>
      <c r="G76" s="123" t="s">
        <v>1667</v>
      </c>
      <c r="H76" s="130"/>
      <c r="I76" s="199"/>
      <c r="J76" s="199"/>
      <c r="K76" s="200">
        <f t="shared" si="1"/>
        <v>1</v>
      </c>
      <c r="L76" s="201">
        <v>2625256</v>
      </c>
    </row>
    <row r="77" spans="1:12" ht="66" hidden="1" x14ac:dyDescent="0.3">
      <c r="A77" s="122">
        <v>76</v>
      </c>
      <c r="B77" s="123">
        <v>221100309238</v>
      </c>
      <c r="C77" s="123" t="s">
        <v>1850</v>
      </c>
      <c r="D77" s="123" t="s">
        <v>1736</v>
      </c>
      <c r="E77" s="123" t="s">
        <v>1851</v>
      </c>
      <c r="F77" s="123" t="s">
        <v>1852</v>
      </c>
      <c r="G77" s="123" t="s">
        <v>1667</v>
      </c>
      <c r="H77" s="130"/>
      <c r="I77" s="199"/>
      <c r="J77" s="199"/>
      <c r="K77" s="200">
        <f t="shared" si="1"/>
        <v>0</v>
      </c>
      <c r="L77" s="201">
        <v>0</v>
      </c>
    </row>
    <row r="78" spans="1:12" ht="49.5" hidden="1" x14ac:dyDescent="0.3">
      <c r="A78" s="122">
        <v>77</v>
      </c>
      <c r="B78" s="123">
        <v>1511022234</v>
      </c>
      <c r="C78" s="123" t="s">
        <v>1853</v>
      </c>
      <c r="D78" s="123" t="s">
        <v>1736</v>
      </c>
      <c r="E78" s="123" t="s">
        <v>1846</v>
      </c>
      <c r="F78" s="123" t="s">
        <v>1804</v>
      </c>
      <c r="G78" s="123" t="s">
        <v>1667</v>
      </c>
      <c r="H78" s="130"/>
      <c r="I78" s="199"/>
      <c r="J78" s="199"/>
      <c r="K78" s="200">
        <f t="shared" si="1"/>
        <v>1</v>
      </c>
      <c r="L78" s="201">
        <v>3125304</v>
      </c>
    </row>
    <row r="79" spans="1:12" ht="49.5" hidden="1" x14ac:dyDescent="0.3">
      <c r="A79" s="122">
        <v>78</v>
      </c>
      <c r="B79" s="123">
        <v>1611389039</v>
      </c>
      <c r="C79" s="123" t="s">
        <v>1854</v>
      </c>
      <c r="D79" s="123" t="s">
        <v>1736</v>
      </c>
      <c r="E79" s="123" t="s">
        <v>1782</v>
      </c>
      <c r="F79" s="123" t="s">
        <v>1707</v>
      </c>
      <c r="G79" s="123" t="s">
        <v>1667</v>
      </c>
      <c r="H79" s="130"/>
      <c r="I79" s="199"/>
      <c r="J79" s="199"/>
      <c r="K79" s="200">
        <f t="shared" si="1"/>
        <v>1</v>
      </c>
      <c r="L79" s="201">
        <v>1194828</v>
      </c>
    </row>
    <row r="80" spans="1:12" ht="49.5" hidden="1" x14ac:dyDescent="0.3">
      <c r="A80" s="122">
        <v>79</v>
      </c>
      <c r="B80" s="123">
        <v>1611082666</v>
      </c>
      <c r="C80" s="123" t="s">
        <v>1855</v>
      </c>
      <c r="D80" s="123" t="s">
        <v>1736</v>
      </c>
      <c r="E80" s="123" t="s">
        <v>1782</v>
      </c>
      <c r="F80" s="123" t="s">
        <v>1707</v>
      </c>
      <c r="G80" s="123" t="s">
        <v>1667</v>
      </c>
      <c r="H80" s="130"/>
      <c r="I80" s="199" t="s">
        <v>1719</v>
      </c>
      <c r="J80" s="199"/>
      <c r="K80" s="200">
        <f t="shared" si="1"/>
        <v>1</v>
      </c>
      <c r="L80" s="201">
        <v>201943</v>
      </c>
    </row>
    <row r="81" spans="1:12" ht="66" hidden="1" x14ac:dyDescent="0.3">
      <c r="A81" s="122">
        <v>80</v>
      </c>
      <c r="B81" s="123">
        <v>241200039360</v>
      </c>
      <c r="C81" s="123" t="s">
        <v>1856</v>
      </c>
      <c r="D81" s="123" t="s">
        <v>1744</v>
      </c>
      <c r="E81" s="123" t="s">
        <v>1782</v>
      </c>
      <c r="F81" s="123" t="s">
        <v>1857</v>
      </c>
      <c r="G81" s="123" t="s">
        <v>1667</v>
      </c>
      <c r="H81" s="130"/>
      <c r="I81" s="199" t="s">
        <v>1719</v>
      </c>
      <c r="J81" s="199"/>
      <c r="K81" s="200">
        <f t="shared" si="1"/>
        <v>0</v>
      </c>
      <c r="L81" s="201">
        <v>0</v>
      </c>
    </row>
    <row r="82" spans="1:12" ht="66" hidden="1" x14ac:dyDescent="0.3">
      <c r="A82" s="122">
        <v>81</v>
      </c>
      <c r="B82" s="123">
        <v>241200030936</v>
      </c>
      <c r="C82" s="123" t="s">
        <v>1858</v>
      </c>
      <c r="D82" s="123" t="s">
        <v>1744</v>
      </c>
      <c r="E82" s="123" t="s">
        <v>1782</v>
      </c>
      <c r="F82" s="123" t="s">
        <v>1859</v>
      </c>
      <c r="G82" s="123" t="s">
        <v>1667</v>
      </c>
      <c r="H82" s="130"/>
      <c r="I82" s="199"/>
      <c r="J82" s="199"/>
      <c r="K82" s="200">
        <f t="shared" si="1"/>
        <v>1</v>
      </c>
      <c r="L82" s="201">
        <v>1442447</v>
      </c>
    </row>
    <row r="83" spans="1:12" s="128" customFormat="1" ht="66" hidden="1" x14ac:dyDescent="0.3">
      <c r="A83" s="125">
        <v>82</v>
      </c>
      <c r="B83" s="126">
        <v>18110098918</v>
      </c>
      <c r="C83" s="126" t="s">
        <v>1860</v>
      </c>
      <c r="D83" s="126" t="s">
        <v>1744</v>
      </c>
      <c r="E83" s="126" t="s">
        <v>1782</v>
      </c>
      <c r="F83" s="126" t="s">
        <v>1861</v>
      </c>
      <c r="G83" s="126" t="s">
        <v>1667</v>
      </c>
      <c r="H83" s="127"/>
      <c r="I83" s="202" t="s">
        <v>1862</v>
      </c>
      <c r="J83" s="202"/>
      <c r="K83" s="200">
        <f t="shared" si="1"/>
        <v>1</v>
      </c>
      <c r="L83" s="203">
        <v>1324648</v>
      </c>
    </row>
    <row r="84" spans="1:12" ht="115.5" hidden="1" x14ac:dyDescent="0.3">
      <c r="A84" s="122">
        <v>83</v>
      </c>
      <c r="B84" s="123">
        <v>1411038076</v>
      </c>
      <c r="C84" s="123" t="s">
        <v>1863</v>
      </c>
      <c r="D84" s="123" t="s">
        <v>1744</v>
      </c>
      <c r="E84" s="123" t="s">
        <v>1769</v>
      </c>
      <c r="F84" s="123" t="s">
        <v>1864</v>
      </c>
      <c r="G84" s="123" t="s">
        <v>1667</v>
      </c>
      <c r="H84" s="130"/>
      <c r="I84" s="199"/>
      <c r="J84" s="199"/>
      <c r="K84" s="200">
        <f t="shared" si="1"/>
        <v>1</v>
      </c>
      <c r="L84" s="201">
        <v>2666126</v>
      </c>
    </row>
    <row r="85" spans="1:12" ht="82.5" hidden="1" x14ac:dyDescent="0.3">
      <c r="A85" s="122">
        <v>84</v>
      </c>
      <c r="B85" s="123">
        <v>241200030737</v>
      </c>
      <c r="C85" s="123" t="s">
        <v>1865</v>
      </c>
      <c r="D85" s="123" t="s">
        <v>1744</v>
      </c>
      <c r="E85" s="123" t="s">
        <v>1782</v>
      </c>
      <c r="F85" s="123" t="s">
        <v>1866</v>
      </c>
      <c r="G85" s="123" t="s">
        <v>1667</v>
      </c>
      <c r="H85" s="130" t="s">
        <v>1672</v>
      </c>
      <c r="I85" s="199" t="s">
        <v>1673</v>
      </c>
      <c r="J85" s="199"/>
      <c r="K85" s="200">
        <f t="shared" si="1"/>
        <v>1</v>
      </c>
      <c r="L85" s="201">
        <v>2096358</v>
      </c>
    </row>
    <row r="86" spans="1:12" ht="82.5" hidden="1" x14ac:dyDescent="0.3">
      <c r="A86" s="122">
        <v>85</v>
      </c>
      <c r="B86" s="123">
        <v>221100348261</v>
      </c>
      <c r="C86" s="123" t="s">
        <v>1867</v>
      </c>
      <c r="D86" s="123" t="s">
        <v>1736</v>
      </c>
      <c r="E86" s="123" t="s">
        <v>1868</v>
      </c>
      <c r="F86" s="123" t="s">
        <v>1869</v>
      </c>
      <c r="G86" s="123" t="s">
        <v>1667</v>
      </c>
      <c r="H86" s="130" t="s">
        <v>1672</v>
      </c>
      <c r="I86" s="199" t="s">
        <v>1673</v>
      </c>
      <c r="J86" s="199"/>
      <c r="K86" s="200">
        <f t="shared" si="1"/>
        <v>1</v>
      </c>
      <c r="L86" s="201">
        <v>2803158</v>
      </c>
    </row>
    <row r="87" spans="1:12" ht="82.5" hidden="1" x14ac:dyDescent="0.3">
      <c r="A87" s="122">
        <v>86</v>
      </c>
      <c r="B87" s="123">
        <v>241200048007</v>
      </c>
      <c r="C87" s="123" t="s">
        <v>1870</v>
      </c>
      <c r="D87" s="123" t="s">
        <v>1772</v>
      </c>
      <c r="E87" s="123" t="s">
        <v>1793</v>
      </c>
      <c r="F87" s="123" t="s">
        <v>1871</v>
      </c>
      <c r="G87" s="123" t="s">
        <v>1667</v>
      </c>
      <c r="H87" s="130" t="s">
        <v>1672</v>
      </c>
      <c r="I87" s="199" t="s">
        <v>1719</v>
      </c>
      <c r="J87" s="199"/>
      <c r="K87" s="200">
        <f t="shared" si="1"/>
        <v>1</v>
      </c>
      <c r="L87" s="201">
        <v>2053085</v>
      </c>
    </row>
    <row r="88" spans="1:12" s="128" customFormat="1" ht="49.5" hidden="1" x14ac:dyDescent="0.3">
      <c r="A88" s="125">
        <v>87</v>
      </c>
      <c r="B88" s="126">
        <v>231200027393</v>
      </c>
      <c r="C88" s="126" t="s">
        <v>1872</v>
      </c>
      <c r="D88" s="126" t="s">
        <v>1776</v>
      </c>
      <c r="E88" s="126" t="s">
        <v>1777</v>
      </c>
      <c r="F88" s="126" t="s">
        <v>1804</v>
      </c>
      <c r="G88" s="126" t="s">
        <v>1667</v>
      </c>
      <c r="H88" s="127"/>
      <c r="I88" s="202" t="s">
        <v>1779</v>
      </c>
      <c r="J88" s="202"/>
      <c r="K88" s="200">
        <f t="shared" si="1"/>
        <v>0</v>
      </c>
      <c r="L88" s="203">
        <v>0</v>
      </c>
    </row>
    <row r="89" spans="1:12" ht="82.5" hidden="1" x14ac:dyDescent="0.3">
      <c r="A89" s="122">
        <v>88</v>
      </c>
      <c r="B89" s="123">
        <v>241200048378</v>
      </c>
      <c r="C89" s="123" t="s">
        <v>1873</v>
      </c>
      <c r="D89" s="123" t="s">
        <v>1736</v>
      </c>
      <c r="E89" s="123" t="s">
        <v>1874</v>
      </c>
      <c r="F89" s="123" t="s">
        <v>1875</v>
      </c>
      <c r="G89" s="123" t="s">
        <v>1667</v>
      </c>
      <c r="H89" s="130" t="s">
        <v>1672</v>
      </c>
      <c r="I89" s="199" t="s">
        <v>1673</v>
      </c>
      <c r="J89" s="199"/>
      <c r="K89" s="200">
        <f t="shared" si="1"/>
        <v>1</v>
      </c>
      <c r="L89" s="201">
        <v>1733342</v>
      </c>
    </row>
    <row r="90" spans="1:12" ht="49.5" hidden="1" x14ac:dyDescent="0.3">
      <c r="A90" s="122">
        <v>89</v>
      </c>
      <c r="B90" s="123">
        <v>1511031644</v>
      </c>
      <c r="C90" s="123" t="s">
        <v>1876</v>
      </c>
      <c r="D90" s="123" t="s">
        <v>1736</v>
      </c>
      <c r="E90" s="123" t="s">
        <v>1846</v>
      </c>
      <c r="F90" s="123" t="s">
        <v>1804</v>
      </c>
      <c r="G90" s="123" t="s">
        <v>1667</v>
      </c>
      <c r="H90" s="130" t="s">
        <v>1672</v>
      </c>
      <c r="I90" s="199" t="s">
        <v>1673</v>
      </c>
      <c r="J90" s="199"/>
      <c r="K90" s="200">
        <f t="shared" si="1"/>
        <v>1</v>
      </c>
      <c r="L90" s="201">
        <v>2024234</v>
      </c>
    </row>
    <row r="91" spans="1:12" ht="115.5" hidden="1" x14ac:dyDescent="0.3">
      <c r="A91" s="122">
        <v>90</v>
      </c>
      <c r="B91" s="123">
        <v>1411033801</v>
      </c>
      <c r="C91" s="123" t="s">
        <v>1877</v>
      </c>
      <c r="D91" s="123" t="s">
        <v>1744</v>
      </c>
      <c r="E91" s="123" t="s">
        <v>1769</v>
      </c>
      <c r="F91" s="123" t="s">
        <v>1878</v>
      </c>
      <c r="G91" s="123" t="s">
        <v>1667</v>
      </c>
      <c r="H91" s="130"/>
      <c r="I91" s="199"/>
      <c r="J91" s="199"/>
      <c r="K91" s="200">
        <f t="shared" si="1"/>
        <v>1</v>
      </c>
      <c r="L91" s="201">
        <v>1322243</v>
      </c>
    </row>
    <row r="92" spans="1:12" ht="82.5" hidden="1" x14ac:dyDescent="0.3">
      <c r="A92" s="122">
        <v>91</v>
      </c>
      <c r="B92" s="123">
        <v>251200035257</v>
      </c>
      <c r="C92" s="123" t="s">
        <v>1879</v>
      </c>
      <c r="D92" s="123" t="s">
        <v>1772</v>
      </c>
      <c r="E92" s="123" t="s">
        <v>1788</v>
      </c>
      <c r="F92" s="123" t="s">
        <v>1880</v>
      </c>
      <c r="G92" s="123" t="s">
        <v>1667</v>
      </c>
      <c r="H92" s="130" t="s">
        <v>1672</v>
      </c>
      <c r="I92" s="199" t="s">
        <v>1673</v>
      </c>
      <c r="J92" s="199"/>
      <c r="K92" s="200">
        <f t="shared" si="1"/>
        <v>1</v>
      </c>
      <c r="L92" s="201">
        <v>495240</v>
      </c>
    </row>
    <row r="93" spans="1:12" ht="82.5" hidden="1" x14ac:dyDescent="0.3">
      <c r="A93" s="122">
        <v>92</v>
      </c>
      <c r="B93" s="123">
        <v>251200073568</v>
      </c>
      <c r="C93" s="123" t="s">
        <v>1881</v>
      </c>
      <c r="D93" s="123" t="s">
        <v>1772</v>
      </c>
      <c r="E93" s="123" t="s">
        <v>1788</v>
      </c>
      <c r="F93" s="123" t="s">
        <v>1882</v>
      </c>
      <c r="G93" s="123" t="s">
        <v>1667</v>
      </c>
      <c r="H93" s="130" t="s">
        <v>1672</v>
      </c>
      <c r="I93" s="199" t="s">
        <v>1673</v>
      </c>
      <c r="J93" s="199"/>
      <c r="K93" s="200">
        <f t="shared" si="1"/>
        <v>1</v>
      </c>
      <c r="L93" s="201">
        <v>959228</v>
      </c>
    </row>
    <row r="94" spans="1:12" ht="66" hidden="1" x14ac:dyDescent="0.3">
      <c r="A94" s="122">
        <v>93</v>
      </c>
      <c r="B94" s="123">
        <v>241200149237</v>
      </c>
      <c r="C94" s="123" t="s">
        <v>1883</v>
      </c>
      <c r="D94" s="123" t="s">
        <v>1884</v>
      </c>
      <c r="E94" s="123" t="s">
        <v>1885</v>
      </c>
      <c r="F94" s="123" t="s">
        <v>1886</v>
      </c>
      <c r="G94" s="123" t="s">
        <v>1667</v>
      </c>
      <c r="H94" s="130"/>
      <c r="I94" s="199"/>
      <c r="J94" s="199"/>
      <c r="K94" s="200">
        <f t="shared" si="1"/>
        <v>0</v>
      </c>
      <c r="L94" s="201">
        <v>0</v>
      </c>
    </row>
    <row r="95" spans="1:12" ht="66" hidden="1" x14ac:dyDescent="0.3">
      <c r="A95" s="122">
        <v>94</v>
      </c>
      <c r="B95" s="123">
        <v>241200130831</v>
      </c>
      <c r="C95" s="123" t="s">
        <v>1887</v>
      </c>
      <c r="D95" s="123" t="s">
        <v>1744</v>
      </c>
      <c r="E95" s="123" t="s">
        <v>1888</v>
      </c>
      <c r="F95" s="123" t="s">
        <v>1889</v>
      </c>
      <c r="G95" s="123" t="s">
        <v>1667</v>
      </c>
      <c r="H95" s="130" t="s">
        <v>1672</v>
      </c>
      <c r="I95" s="199" t="s">
        <v>1673</v>
      </c>
      <c r="J95" s="199"/>
      <c r="K95" s="200">
        <f t="shared" si="1"/>
        <v>1</v>
      </c>
      <c r="L95" s="201">
        <v>1252527</v>
      </c>
    </row>
    <row r="96" spans="1:12" ht="66" hidden="1" x14ac:dyDescent="0.3">
      <c r="A96" s="122">
        <v>95</v>
      </c>
      <c r="B96" s="123">
        <v>221100317833</v>
      </c>
      <c r="C96" s="123" t="s">
        <v>1890</v>
      </c>
      <c r="D96" s="123" t="s">
        <v>1744</v>
      </c>
      <c r="E96" s="123" t="s">
        <v>1782</v>
      </c>
      <c r="F96" s="123" t="s">
        <v>1891</v>
      </c>
      <c r="G96" s="123" t="s">
        <v>1667</v>
      </c>
      <c r="H96" s="130" t="s">
        <v>1672</v>
      </c>
      <c r="I96" s="199" t="s">
        <v>1673</v>
      </c>
      <c r="J96" s="199"/>
      <c r="K96" s="200">
        <f t="shared" si="1"/>
        <v>1</v>
      </c>
      <c r="L96" s="201">
        <v>3639777</v>
      </c>
    </row>
    <row r="97" spans="1:12" s="128" customFormat="1" ht="49.5" hidden="1" x14ac:dyDescent="0.3">
      <c r="A97" s="125">
        <v>96</v>
      </c>
      <c r="B97" s="126">
        <v>1611294537</v>
      </c>
      <c r="C97" s="126" t="s">
        <v>1892</v>
      </c>
      <c r="D97" s="126" t="s">
        <v>1776</v>
      </c>
      <c r="E97" s="126" t="s">
        <v>1777</v>
      </c>
      <c r="F97" s="126" t="s">
        <v>1804</v>
      </c>
      <c r="G97" s="126" t="s">
        <v>1667</v>
      </c>
      <c r="H97" s="127"/>
      <c r="I97" s="202" t="s">
        <v>1779</v>
      </c>
      <c r="J97" s="202"/>
      <c r="K97" s="200">
        <f t="shared" si="1"/>
        <v>0</v>
      </c>
      <c r="L97" s="203">
        <v>0</v>
      </c>
    </row>
    <row r="98" spans="1:12" ht="49.5" hidden="1" x14ac:dyDescent="0.3">
      <c r="A98" s="122">
        <v>97</v>
      </c>
      <c r="B98" s="123">
        <v>241200030894</v>
      </c>
      <c r="C98" s="123" t="s">
        <v>1893</v>
      </c>
      <c r="D98" s="123" t="s">
        <v>1736</v>
      </c>
      <c r="E98" s="123" t="s">
        <v>1782</v>
      </c>
      <c r="F98" s="123" t="s">
        <v>1818</v>
      </c>
      <c r="G98" s="123" t="s">
        <v>1667</v>
      </c>
      <c r="H98" s="130" t="s">
        <v>1672</v>
      </c>
      <c r="I98" s="199" t="s">
        <v>1673</v>
      </c>
      <c r="J98" s="199"/>
      <c r="K98" s="200">
        <f t="shared" si="1"/>
        <v>1</v>
      </c>
      <c r="L98" s="201">
        <v>2743055</v>
      </c>
    </row>
    <row r="99" spans="1:12" ht="49.5" hidden="1" x14ac:dyDescent="0.3">
      <c r="A99" s="122">
        <v>98</v>
      </c>
      <c r="B99" s="123">
        <v>18110007437</v>
      </c>
      <c r="C99" s="123" t="s">
        <v>1894</v>
      </c>
      <c r="D99" s="123" t="s">
        <v>1736</v>
      </c>
      <c r="E99" s="123" t="s">
        <v>1782</v>
      </c>
      <c r="F99" s="123" t="s">
        <v>1707</v>
      </c>
      <c r="G99" s="123" t="s">
        <v>1667</v>
      </c>
      <c r="H99" s="130" t="s">
        <v>1672</v>
      </c>
      <c r="I99" s="199" t="s">
        <v>1673</v>
      </c>
      <c r="J99" s="199"/>
      <c r="K99" s="200">
        <f t="shared" si="1"/>
        <v>1</v>
      </c>
      <c r="L99" s="201">
        <v>3567654</v>
      </c>
    </row>
    <row r="100" spans="1:12" s="128" customFormat="1" ht="49.5" hidden="1" x14ac:dyDescent="0.3">
      <c r="A100" s="125">
        <v>99</v>
      </c>
      <c r="B100" s="126">
        <v>241200038869</v>
      </c>
      <c r="C100" s="126" t="s">
        <v>1895</v>
      </c>
      <c r="D100" s="126" t="s">
        <v>1896</v>
      </c>
      <c r="E100" s="126" t="s">
        <v>1897</v>
      </c>
      <c r="F100" s="126" t="s">
        <v>1898</v>
      </c>
      <c r="G100" s="126" t="s">
        <v>1667</v>
      </c>
      <c r="H100" s="127"/>
      <c r="I100" s="202" t="s">
        <v>1779</v>
      </c>
      <c r="J100" s="202"/>
      <c r="K100" s="200">
        <f t="shared" si="1"/>
        <v>0</v>
      </c>
      <c r="L100" s="203">
        <v>0</v>
      </c>
    </row>
    <row r="101" spans="1:12" s="128" customFormat="1" ht="49.5" hidden="1" x14ac:dyDescent="0.3">
      <c r="A101" s="125">
        <v>100</v>
      </c>
      <c r="B101" s="126">
        <v>241200013045</v>
      </c>
      <c r="C101" s="126" t="s">
        <v>1899</v>
      </c>
      <c r="D101" s="126" t="s">
        <v>1900</v>
      </c>
      <c r="E101" s="126" t="s">
        <v>1897</v>
      </c>
      <c r="F101" s="126" t="s">
        <v>1898</v>
      </c>
      <c r="G101" s="126" t="s">
        <v>1667</v>
      </c>
      <c r="H101" s="127"/>
      <c r="I101" s="202" t="s">
        <v>1779</v>
      </c>
      <c r="J101" s="202"/>
      <c r="K101" s="200">
        <f t="shared" si="1"/>
        <v>0</v>
      </c>
      <c r="L101" s="203">
        <v>0</v>
      </c>
    </row>
    <row r="102" spans="1:12" ht="66" hidden="1" x14ac:dyDescent="0.3">
      <c r="A102" s="122">
        <v>101</v>
      </c>
      <c r="B102" s="123">
        <v>1611170075</v>
      </c>
      <c r="C102" s="123" t="s">
        <v>1901</v>
      </c>
      <c r="D102" s="123" t="s">
        <v>1736</v>
      </c>
      <c r="E102" s="123" t="s">
        <v>1902</v>
      </c>
      <c r="F102" s="123" t="s">
        <v>1903</v>
      </c>
      <c r="G102" s="123" t="s">
        <v>1667</v>
      </c>
      <c r="H102" s="130" t="s">
        <v>1672</v>
      </c>
      <c r="I102" s="199" t="s">
        <v>1673</v>
      </c>
      <c r="J102" s="199"/>
      <c r="K102" s="200">
        <f t="shared" si="1"/>
        <v>1</v>
      </c>
      <c r="L102" s="201">
        <v>2166074</v>
      </c>
    </row>
    <row r="103" spans="1:12" ht="66" hidden="1" x14ac:dyDescent="0.3">
      <c r="A103" s="122">
        <v>102</v>
      </c>
      <c r="B103" s="123">
        <v>1611294769</v>
      </c>
      <c r="C103" s="123" t="s">
        <v>1904</v>
      </c>
      <c r="D103" s="123" t="s">
        <v>1905</v>
      </c>
      <c r="E103" s="123" t="s">
        <v>1906</v>
      </c>
      <c r="F103" s="123" t="s">
        <v>1907</v>
      </c>
      <c r="G103" s="123" t="s">
        <v>1667</v>
      </c>
      <c r="H103" s="130"/>
      <c r="I103" s="199"/>
      <c r="J103" s="199"/>
      <c r="K103" s="200">
        <f t="shared" si="1"/>
        <v>0</v>
      </c>
      <c r="L103" s="201">
        <v>0</v>
      </c>
    </row>
    <row r="104" spans="1:12" s="128" customFormat="1" ht="82.5" hidden="1" x14ac:dyDescent="0.3">
      <c r="A104" s="125">
        <v>103</v>
      </c>
      <c r="B104" s="126">
        <v>241200039086</v>
      </c>
      <c r="C104" s="126" t="s">
        <v>1908</v>
      </c>
      <c r="D104" s="126" t="s">
        <v>1744</v>
      </c>
      <c r="E104" s="126" t="s">
        <v>1782</v>
      </c>
      <c r="F104" s="126" t="s">
        <v>1909</v>
      </c>
      <c r="G104" s="126" t="s">
        <v>1667</v>
      </c>
      <c r="H104" s="127" t="s">
        <v>1910</v>
      </c>
      <c r="I104" s="202"/>
      <c r="J104" s="202"/>
      <c r="K104" s="200">
        <f t="shared" si="1"/>
        <v>1</v>
      </c>
      <c r="L104" s="203">
        <v>988077</v>
      </c>
    </row>
    <row r="105" spans="1:12" ht="115.5" hidden="1" x14ac:dyDescent="0.3">
      <c r="A105" s="122">
        <v>104</v>
      </c>
      <c r="B105" s="123">
        <v>1411011649</v>
      </c>
      <c r="C105" s="123" t="s">
        <v>1911</v>
      </c>
      <c r="D105" s="123" t="s">
        <v>1744</v>
      </c>
      <c r="E105" s="123" t="s">
        <v>1769</v>
      </c>
      <c r="F105" s="123" t="s">
        <v>1912</v>
      </c>
      <c r="G105" s="123" t="s">
        <v>1667</v>
      </c>
      <c r="H105" s="130" t="s">
        <v>1672</v>
      </c>
      <c r="I105" s="199" t="s">
        <v>1673</v>
      </c>
      <c r="J105" s="199"/>
      <c r="K105" s="200">
        <f t="shared" si="1"/>
        <v>1</v>
      </c>
      <c r="L105" s="201">
        <v>6560734</v>
      </c>
    </row>
    <row r="106" spans="1:12" ht="115.5" hidden="1" x14ac:dyDescent="0.3">
      <c r="A106" s="122">
        <v>105</v>
      </c>
      <c r="B106" s="123">
        <v>221100039228</v>
      </c>
      <c r="C106" s="123" t="s">
        <v>1913</v>
      </c>
      <c r="D106" s="123" t="s">
        <v>1736</v>
      </c>
      <c r="E106" s="123" t="s">
        <v>1769</v>
      </c>
      <c r="F106" s="123" t="s">
        <v>1914</v>
      </c>
      <c r="G106" s="123" t="s">
        <v>1667</v>
      </c>
      <c r="H106" s="130" t="s">
        <v>1672</v>
      </c>
      <c r="I106" s="199" t="s">
        <v>1673</v>
      </c>
      <c r="J106" s="199"/>
      <c r="K106" s="200">
        <f t="shared" si="1"/>
        <v>1</v>
      </c>
      <c r="L106" s="201">
        <v>1456873</v>
      </c>
    </row>
    <row r="107" spans="1:12" s="128" customFormat="1" ht="66" hidden="1" x14ac:dyDescent="0.3">
      <c r="A107" s="125">
        <v>106</v>
      </c>
      <c r="B107" s="126">
        <v>1411092952</v>
      </c>
      <c r="C107" s="126" t="s">
        <v>1915</v>
      </c>
      <c r="D107" s="126" t="s">
        <v>1736</v>
      </c>
      <c r="E107" s="126" t="s">
        <v>1916</v>
      </c>
      <c r="F107" s="126" t="s">
        <v>1917</v>
      </c>
      <c r="G107" s="126" t="s">
        <v>1667</v>
      </c>
      <c r="H107" s="127"/>
      <c r="I107" s="202" t="s">
        <v>1918</v>
      </c>
      <c r="J107" s="202"/>
      <c r="K107" s="200">
        <f t="shared" si="1"/>
        <v>0</v>
      </c>
      <c r="L107" s="203">
        <v>0</v>
      </c>
    </row>
    <row r="108" spans="1:12" s="128" customFormat="1" ht="82.5" hidden="1" x14ac:dyDescent="0.3">
      <c r="A108" s="125">
        <v>107</v>
      </c>
      <c r="B108" s="126">
        <v>1611660731</v>
      </c>
      <c r="C108" s="126" t="s">
        <v>1919</v>
      </c>
      <c r="D108" s="126" t="s">
        <v>1920</v>
      </c>
      <c r="E108" s="126" t="s">
        <v>1670</v>
      </c>
      <c r="F108" s="126" t="s">
        <v>1704</v>
      </c>
      <c r="G108" s="126" t="s">
        <v>1667</v>
      </c>
      <c r="H108" s="127"/>
      <c r="I108" s="204" t="s">
        <v>1705</v>
      </c>
      <c r="J108" s="204"/>
      <c r="K108" s="200">
        <f t="shared" si="1"/>
        <v>1</v>
      </c>
      <c r="L108" s="205">
        <v>7212</v>
      </c>
    </row>
    <row r="109" spans="1:12" ht="66" hidden="1" x14ac:dyDescent="0.3">
      <c r="A109" s="122">
        <v>108</v>
      </c>
      <c r="B109" s="123">
        <v>15500641</v>
      </c>
      <c r="C109" s="123" t="s">
        <v>1921</v>
      </c>
      <c r="D109" s="123" t="s">
        <v>1922</v>
      </c>
      <c r="E109" s="123" t="s">
        <v>1670</v>
      </c>
      <c r="F109" s="123" t="s">
        <v>1710</v>
      </c>
      <c r="G109" s="123" t="s">
        <v>1667</v>
      </c>
      <c r="H109" s="130"/>
      <c r="I109" s="199"/>
      <c r="J109" s="199"/>
      <c r="K109" s="200">
        <f t="shared" si="1"/>
        <v>1</v>
      </c>
      <c r="L109" s="201">
        <v>586596</v>
      </c>
    </row>
    <row r="110" spans="1:12" ht="82.5" hidden="1" x14ac:dyDescent="0.3">
      <c r="A110" s="122">
        <v>109</v>
      </c>
      <c r="B110" s="123">
        <v>221100044413</v>
      </c>
      <c r="C110" s="123" t="s">
        <v>1923</v>
      </c>
      <c r="D110" s="123" t="s">
        <v>1736</v>
      </c>
      <c r="E110" s="123" t="s">
        <v>1782</v>
      </c>
      <c r="F110" s="123" t="s">
        <v>1924</v>
      </c>
      <c r="G110" s="123" t="s">
        <v>1667</v>
      </c>
      <c r="H110" s="130"/>
      <c r="I110" s="199"/>
      <c r="J110" s="199"/>
      <c r="K110" s="200">
        <f t="shared" si="1"/>
        <v>1</v>
      </c>
      <c r="L110" s="201">
        <v>846236</v>
      </c>
    </row>
    <row r="111" spans="1:12" ht="49.5" hidden="1" x14ac:dyDescent="0.3">
      <c r="A111" s="122">
        <v>110</v>
      </c>
      <c r="B111" s="123">
        <v>221100320896</v>
      </c>
      <c r="C111" s="123" t="s">
        <v>1925</v>
      </c>
      <c r="D111" s="123" t="s">
        <v>1736</v>
      </c>
      <c r="E111" s="123" t="s">
        <v>1782</v>
      </c>
      <c r="F111" s="123" t="s">
        <v>1707</v>
      </c>
      <c r="G111" s="123" t="s">
        <v>1667</v>
      </c>
      <c r="H111" s="130"/>
      <c r="I111" s="199"/>
      <c r="J111" s="199"/>
      <c r="K111" s="200">
        <f t="shared" si="1"/>
        <v>1</v>
      </c>
      <c r="L111" s="201">
        <v>1740554</v>
      </c>
    </row>
    <row r="112" spans="1:12" ht="82.5" hidden="1" x14ac:dyDescent="0.3">
      <c r="A112" s="122">
        <v>111</v>
      </c>
      <c r="B112" s="123">
        <v>221100044412</v>
      </c>
      <c r="C112" s="123" t="s">
        <v>1926</v>
      </c>
      <c r="D112" s="123" t="s">
        <v>1736</v>
      </c>
      <c r="E112" s="123" t="s">
        <v>1782</v>
      </c>
      <c r="F112" s="123" t="s">
        <v>1927</v>
      </c>
      <c r="G112" s="123" t="s">
        <v>1667</v>
      </c>
      <c r="H112" s="130"/>
      <c r="I112" s="199"/>
      <c r="J112" s="199"/>
      <c r="K112" s="200">
        <f t="shared" si="1"/>
        <v>1</v>
      </c>
      <c r="L112" s="201">
        <v>699587</v>
      </c>
    </row>
    <row r="113" spans="1:12" ht="115.5" hidden="1" x14ac:dyDescent="0.3">
      <c r="A113" s="122">
        <v>112</v>
      </c>
      <c r="B113" s="123">
        <v>1411176581</v>
      </c>
      <c r="C113" s="123" t="s">
        <v>1928</v>
      </c>
      <c r="D113" s="123" t="s">
        <v>1744</v>
      </c>
      <c r="E113" s="123" t="s">
        <v>1769</v>
      </c>
      <c r="F113" s="123" t="s">
        <v>1929</v>
      </c>
      <c r="G113" s="123" t="s">
        <v>1667</v>
      </c>
      <c r="H113" s="130"/>
      <c r="I113" s="199" t="s">
        <v>1668</v>
      </c>
      <c r="J113" s="199"/>
      <c r="K113" s="200">
        <f t="shared" si="1"/>
        <v>1</v>
      </c>
      <c r="L113" s="201">
        <v>2827198</v>
      </c>
    </row>
    <row r="114" spans="1:12" ht="99" hidden="1" x14ac:dyDescent="0.3">
      <c r="A114" s="122">
        <v>113</v>
      </c>
      <c r="B114" s="123">
        <v>251200004997</v>
      </c>
      <c r="C114" s="123" t="s">
        <v>1930</v>
      </c>
      <c r="D114" s="123" t="s">
        <v>1736</v>
      </c>
      <c r="E114" s="123" t="s">
        <v>1931</v>
      </c>
      <c r="F114" s="123" t="s">
        <v>1932</v>
      </c>
      <c r="G114" s="123" t="s">
        <v>1667</v>
      </c>
      <c r="H114" s="130"/>
      <c r="I114" s="199" t="s">
        <v>1719</v>
      </c>
      <c r="J114" s="199"/>
      <c r="K114" s="200">
        <f t="shared" si="1"/>
        <v>1</v>
      </c>
      <c r="L114" s="201">
        <v>2317534</v>
      </c>
    </row>
    <row r="115" spans="1:12" ht="66" hidden="1" x14ac:dyDescent="0.3">
      <c r="A115" s="122">
        <v>114</v>
      </c>
      <c r="B115" s="123">
        <v>251200039227</v>
      </c>
      <c r="C115" s="123" t="s">
        <v>1933</v>
      </c>
      <c r="D115" s="123" t="s">
        <v>1772</v>
      </c>
      <c r="E115" s="123" t="s">
        <v>1788</v>
      </c>
      <c r="F115" s="123" t="s">
        <v>1934</v>
      </c>
      <c r="G115" s="123" t="s">
        <v>1667</v>
      </c>
      <c r="H115" s="130"/>
      <c r="I115" s="199" t="s">
        <v>1719</v>
      </c>
      <c r="J115" s="199"/>
      <c r="K115" s="200">
        <f t="shared" si="1"/>
        <v>1</v>
      </c>
      <c r="L115" s="201">
        <v>2007407</v>
      </c>
    </row>
    <row r="116" spans="1:12" ht="99" hidden="1" x14ac:dyDescent="0.3">
      <c r="A116" s="122">
        <v>115</v>
      </c>
      <c r="B116" s="123">
        <v>18110168776</v>
      </c>
      <c r="C116" s="123" t="s">
        <v>1935</v>
      </c>
      <c r="D116" s="123" t="s">
        <v>1736</v>
      </c>
      <c r="E116" s="123" t="s">
        <v>1769</v>
      </c>
      <c r="F116" s="123" t="s">
        <v>1936</v>
      </c>
      <c r="G116" s="123" t="s">
        <v>1667</v>
      </c>
      <c r="H116" s="130"/>
      <c r="I116" s="199" t="s">
        <v>1719</v>
      </c>
      <c r="J116" s="199"/>
      <c r="K116" s="200">
        <f t="shared" si="1"/>
        <v>0</v>
      </c>
      <c r="L116" s="201">
        <v>0</v>
      </c>
    </row>
    <row r="117" spans="1:12" ht="99" hidden="1" x14ac:dyDescent="0.3">
      <c r="A117" s="122">
        <v>116</v>
      </c>
      <c r="B117" s="123">
        <v>18110173861</v>
      </c>
      <c r="C117" s="123" t="s">
        <v>1937</v>
      </c>
      <c r="D117" s="123" t="s">
        <v>1736</v>
      </c>
      <c r="E117" s="123" t="s">
        <v>1769</v>
      </c>
      <c r="F117" s="123" t="s">
        <v>1938</v>
      </c>
      <c r="G117" s="123" t="s">
        <v>1667</v>
      </c>
      <c r="H117" s="130"/>
      <c r="I117" s="199"/>
      <c r="J117" s="199"/>
      <c r="K117" s="200">
        <f t="shared" si="1"/>
        <v>1</v>
      </c>
      <c r="L117" s="201">
        <v>709204</v>
      </c>
    </row>
    <row r="118" spans="1:12" ht="99" hidden="1" x14ac:dyDescent="0.3">
      <c r="A118" s="122">
        <v>117</v>
      </c>
      <c r="B118" s="123">
        <v>211100285665</v>
      </c>
      <c r="C118" s="123" t="s">
        <v>1939</v>
      </c>
      <c r="D118" s="123" t="s">
        <v>1736</v>
      </c>
      <c r="E118" s="123" t="s">
        <v>1769</v>
      </c>
      <c r="F118" s="123" t="s">
        <v>1940</v>
      </c>
      <c r="G118" s="123" t="s">
        <v>1667</v>
      </c>
      <c r="H118" s="130"/>
      <c r="I118" s="199"/>
      <c r="J118" s="199"/>
      <c r="K118" s="200">
        <f t="shared" si="1"/>
        <v>1</v>
      </c>
      <c r="L118" s="201">
        <v>5950099</v>
      </c>
    </row>
    <row r="119" spans="1:12" ht="66" hidden="1" x14ac:dyDescent="0.3">
      <c r="A119" s="122">
        <v>118</v>
      </c>
      <c r="B119" s="123">
        <v>251200072525</v>
      </c>
      <c r="C119" s="123" t="s">
        <v>1941</v>
      </c>
      <c r="D119" s="123" t="s">
        <v>1772</v>
      </c>
      <c r="E119" s="123" t="s">
        <v>1788</v>
      </c>
      <c r="F119" s="123" t="s">
        <v>1942</v>
      </c>
      <c r="G119" s="123" t="s">
        <v>1667</v>
      </c>
      <c r="H119" s="130"/>
      <c r="I119" s="199"/>
      <c r="J119" s="199"/>
      <c r="K119" s="200">
        <f t="shared" si="1"/>
        <v>1</v>
      </c>
      <c r="L119" s="201">
        <v>745264</v>
      </c>
    </row>
    <row r="120" spans="1:12" ht="66" hidden="1" x14ac:dyDescent="0.3">
      <c r="A120" s="122">
        <v>119</v>
      </c>
      <c r="B120" s="123">
        <v>251200072379</v>
      </c>
      <c r="C120" s="123" t="s">
        <v>1943</v>
      </c>
      <c r="D120" s="123" t="s">
        <v>1772</v>
      </c>
      <c r="E120" s="123" t="s">
        <v>1773</v>
      </c>
      <c r="F120" s="123" t="s">
        <v>1944</v>
      </c>
      <c r="G120" s="123" t="s">
        <v>1667</v>
      </c>
      <c r="H120" s="130"/>
      <c r="I120" s="199" t="s">
        <v>1719</v>
      </c>
      <c r="J120" s="199"/>
      <c r="K120" s="200">
        <f t="shared" si="1"/>
        <v>1</v>
      </c>
      <c r="L120" s="201">
        <v>235600</v>
      </c>
    </row>
    <row r="121" spans="1:12" s="128" customFormat="1" ht="66" hidden="1" x14ac:dyDescent="0.3">
      <c r="A121" s="125">
        <v>120</v>
      </c>
      <c r="B121" s="126">
        <v>251200039769</v>
      </c>
      <c r="C121" s="126" t="s">
        <v>1945</v>
      </c>
      <c r="D121" s="126" t="s">
        <v>1744</v>
      </c>
      <c r="E121" s="126" t="s">
        <v>1782</v>
      </c>
      <c r="F121" s="126" t="s">
        <v>1946</v>
      </c>
      <c r="G121" s="126" t="s">
        <v>1667</v>
      </c>
      <c r="H121" s="127"/>
      <c r="I121" s="202" t="s">
        <v>1947</v>
      </c>
      <c r="J121" s="202"/>
      <c r="K121" s="200">
        <f t="shared" si="1"/>
        <v>1</v>
      </c>
      <c r="L121" s="203">
        <v>1408791</v>
      </c>
    </row>
    <row r="122" spans="1:12" ht="66" hidden="1" x14ac:dyDescent="0.3">
      <c r="A122" s="122">
        <v>121</v>
      </c>
      <c r="B122" s="123">
        <v>221100317638</v>
      </c>
      <c r="C122" s="123" t="s">
        <v>1948</v>
      </c>
      <c r="D122" s="123" t="s">
        <v>1744</v>
      </c>
      <c r="E122" s="123" t="s">
        <v>1782</v>
      </c>
      <c r="F122" s="123" t="s">
        <v>1949</v>
      </c>
      <c r="G122" s="123" t="s">
        <v>1667</v>
      </c>
      <c r="H122" s="130"/>
      <c r="I122" s="199"/>
      <c r="J122" s="199"/>
      <c r="K122" s="200">
        <f t="shared" si="1"/>
        <v>1</v>
      </c>
      <c r="L122" s="201">
        <v>774113</v>
      </c>
    </row>
    <row r="123" spans="1:12" s="128" customFormat="1" ht="82.5" hidden="1" x14ac:dyDescent="0.3">
      <c r="A123" s="125">
        <v>122</v>
      </c>
      <c r="B123" s="126">
        <v>1911420267</v>
      </c>
      <c r="C123" s="126" t="s">
        <v>1950</v>
      </c>
      <c r="D123" s="126" t="s">
        <v>1736</v>
      </c>
      <c r="E123" s="126" t="s">
        <v>1951</v>
      </c>
      <c r="F123" s="126" t="s">
        <v>1952</v>
      </c>
      <c r="G123" s="126" t="s">
        <v>1667</v>
      </c>
      <c r="H123" s="127"/>
      <c r="I123" s="202" t="s">
        <v>1918</v>
      </c>
      <c r="J123" s="202"/>
      <c r="K123" s="200">
        <f t="shared" si="1"/>
        <v>0</v>
      </c>
      <c r="L123" s="203">
        <v>0</v>
      </c>
    </row>
    <row r="124" spans="1:12" ht="82.5" hidden="1" x14ac:dyDescent="0.3">
      <c r="A124" s="122">
        <v>123</v>
      </c>
      <c r="B124" s="123">
        <v>1511111790</v>
      </c>
      <c r="C124" s="123" t="s">
        <v>1953</v>
      </c>
      <c r="D124" s="123" t="s">
        <v>1772</v>
      </c>
      <c r="E124" s="123" t="s">
        <v>1793</v>
      </c>
      <c r="F124" s="123" t="s">
        <v>1954</v>
      </c>
      <c r="G124" s="123" t="s">
        <v>1667</v>
      </c>
      <c r="H124" s="130" t="s">
        <v>1672</v>
      </c>
      <c r="I124" s="199" t="s">
        <v>1673</v>
      </c>
      <c r="J124" s="199"/>
      <c r="K124" s="200">
        <f t="shared" si="1"/>
        <v>1</v>
      </c>
      <c r="L124" s="201">
        <v>2630063</v>
      </c>
    </row>
    <row r="125" spans="1:12" ht="49.5" hidden="1" x14ac:dyDescent="0.3">
      <c r="A125" s="122">
        <v>124</v>
      </c>
      <c r="B125" s="123">
        <v>2020219704</v>
      </c>
      <c r="C125" s="123" t="s">
        <v>1955</v>
      </c>
      <c r="D125" s="123" t="s">
        <v>1956</v>
      </c>
      <c r="E125" s="123" t="s">
        <v>1957</v>
      </c>
      <c r="F125" s="123" t="s">
        <v>1958</v>
      </c>
      <c r="G125" s="123" t="s">
        <v>1667</v>
      </c>
      <c r="H125" s="130"/>
      <c r="I125" s="199" t="s">
        <v>1673</v>
      </c>
      <c r="J125" s="199"/>
      <c r="K125" s="200">
        <f t="shared" si="1"/>
        <v>1</v>
      </c>
      <c r="L125" s="201">
        <v>1165979</v>
      </c>
    </row>
    <row r="126" spans="1:12" ht="66" hidden="1" x14ac:dyDescent="0.3">
      <c r="A126" s="122">
        <v>125</v>
      </c>
      <c r="B126" s="123">
        <v>18110008316</v>
      </c>
      <c r="C126" s="123" t="s">
        <v>1959</v>
      </c>
      <c r="D126" s="123" t="s">
        <v>1736</v>
      </c>
      <c r="E126" s="123" t="s">
        <v>1960</v>
      </c>
      <c r="F126" s="123" t="s">
        <v>1961</v>
      </c>
      <c r="G126" s="123" t="s">
        <v>1667</v>
      </c>
      <c r="H126" s="130" t="s">
        <v>1672</v>
      </c>
      <c r="I126" s="199" t="s">
        <v>1673</v>
      </c>
      <c r="J126" s="199"/>
      <c r="K126" s="200">
        <f t="shared" si="1"/>
        <v>1</v>
      </c>
      <c r="L126" s="201">
        <v>3909035</v>
      </c>
    </row>
    <row r="127" spans="1:12" ht="66" hidden="1" x14ac:dyDescent="0.3">
      <c r="A127" s="122">
        <v>126</v>
      </c>
      <c r="B127" s="123">
        <v>211100266791</v>
      </c>
      <c r="C127" s="123" t="s">
        <v>1962</v>
      </c>
      <c r="D127" s="123" t="s">
        <v>1736</v>
      </c>
      <c r="E127" s="123" t="s">
        <v>1963</v>
      </c>
      <c r="F127" s="123" t="s">
        <v>1964</v>
      </c>
      <c r="G127" s="123" t="s">
        <v>1667</v>
      </c>
      <c r="H127" s="130" t="s">
        <v>1672</v>
      </c>
      <c r="I127" s="199" t="s">
        <v>1673</v>
      </c>
      <c r="J127" s="199"/>
      <c r="K127" s="200">
        <f t="shared" si="1"/>
        <v>1</v>
      </c>
      <c r="L127" s="201">
        <v>3822488</v>
      </c>
    </row>
    <row r="128" spans="1:12" ht="66" hidden="1" x14ac:dyDescent="0.3">
      <c r="A128" s="122">
        <v>127</v>
      </c>
      <c r="B128" s="123">
        <v>251200073462</v>
      </c>
      <c r="C128" s="123" t="s">
        <v>1965</v>
      </c>
      <c r="D128" s="123" t="s">
        <v>1772</v>
      </c>
      <c r="E128" s="123" t="s">
        <v>1788</v>
      </c>
      <c r="F128" s="123" t="s">
        <v>1966</v>
      </c>
      <c r="G128" s="123" t="s">
        <v>1667</v>
      </c>
      <c r="H128" s="130" t="s">
        <v>1672</v>
      </c>
      <c r="I128" s="199" t="s">
        <v>1673</v>
      </c>
      <c r="J128" s="199"/>
      <c r="K128" s="200">
        <f t="shared" si="1"/>
        <v>1</v>
      </c>
      <c r="L128" s="201">
        <v>3007504</v>
      </c>
    </row>
    <row r="129" spans="1:12" ht="49.5" hidden="1" x14ac:dyDescent="0.3">
      <c r="A129" s="122">
        <v>128</v>
      </c>
      <c r="B129" s="123">
        <v>18110007288</v>
      </c>
      <c r="C129" s="123" t="s">
        <v>1967</v>
      </c>
      <c r="D129" s="123" t="s">
        <v>1736</v>
      </c>
      <c r="E129" s="123" t="s">
        <v>1782</v>
      </c>
      <c r="F129" s="123" t="s">
        <v>1818</v>
      </c>
      <c r="G129" s="123" t="s">
        <v>1667</v>
      </c>
      <c r="H129" s="130" t="s">
        <v>1672</v>
      </c>
      <c r="I129" s="199" t="s">
        <v>1719</v>
      </c>
      <c r="J129" s="199"/>
      <c r="K129" s="200">
        <f t="shared" si="1"/>
        <v>1</v>
      </c>
      <c r="L129" s="201">
        <v>10767874</v>
      </c>
    </row>
    <row r="130" spans="1:12" ht="49.5" hidden="1" x14ac:dyDescent="0.3">
      <c r="A130" s="122">
        <v>129</v>
      </c>
      <c r="B130" s="123">
        <v>18110098531</v>
      </c>
      <c r="C130" s="123" t="s">
        <v>1968</v>
      </c>
      <c r="D130" s="123" t="s">
        <v>1736</v>
      </c>
      <c r="E130" s="123" t="s">
        <v>1782</v>
      </c>
      <c r="F130" s="123" t="s">
        <v>1707</v>
      </c>
      <c r="G130" s="123" t="s">
        <v>1667</v>
      </c>
      <c r="H130" s="130" t="s">
        <v>1672</v>
      </c>
      <c r="I130" s="199" t="s">
        <v>1673</v>
      </c>
      <c r="J130" s="199"/>
      <c r="K130" s="200">
        <f t="shared" ref="K130:K193" si="2">IF(L130="","",IF(L130&lt;&gt;0,1,0))</f>
        <v>1</v>
      </c>
      <c r="L130" s="201">
        <v>8351773</v>
      </c>
    </row>
    <row r="131" spans="1:12" ht="66" hidden="1" x14ac:dyDescent="0.3">
      <c r="A131" s="122">
        <v>130</v>
      </c>
      <c r="B131" s="123">
        <v>1511084599</v>
      </c>
      <c r="C131" s="123" t="s">
        <v>1969</v>
      </c>
      <c r="D131" s="123" t="s">
        <v>1772</v>
      </c>
      <c r="E131" s="123" t="s">
        <v>1793</v>
      </c>
      <c r="F131" s="123" t="s">
        <v>1970</v>
      </c>
      <c r="G131" s="123" t="s">
        <v>1667</v>
      </c>
      <c r="H131" s="130"/>
      <c r="I131" s="199" t="s">
        <v>1673</v>
      </c>
      <c r="J131" s="199"/>
      <c r="K131" s="200">
        <f t="shared" si="2"/>
        <v>1</v>
      </c>
      <c r="L131" s="201">
        <v>1432832</v>
      </c>
    </row>
    <row r="132" spans="1:12" ht="49.5" hidden="1" x14ac:dyDescent="0.3">
      <c r="A132" s="122">
        <v>131</v>
      </c>
      <c r="B132" s="123">
        <v>18110173535</v>
      </c>
      <c r="C132" s="123" t="s">
        <v>1971</v>
      </c>
      <c r="D132" s="123" t="s">
        <v>1736</v>
      </c>
      <c r="E132" s="123" t="s">
        <v>1782</v>
      </c>
      <c r="F132" s="123" t="s">
        <v>1707</v>
      </c>
      <c r="G132" s="123" t="s">
        <v>1667</v>
      </c>
      <c r="H132" s="130"/>
      <c r="I132" s="199"/>
      <c r="J132" s="199"/>
      <c r="K132" s="200">
        <f t="shared" si="2"/>
        <v>1</v>
      </c>
      <c r="L132" s="201">
        <v>589000</v>
      </c>
    </row>
    <row r="133" spans="1:12" ht="66" hidden="1" x14ac:dyDescent="0.3">
      <c r="A133" s="122">
        <v>132</v>
      </c>
      <c r="B133" s="123">
        <v>1911606441</v>
      </c>
      <c r="C133" s="123" t="s">
        <v>1972</v>
      </c>
      <c r="D133" s="123" t="s">
        <v>1744</v>
      </c>
      <c r="E133" s="123" t="s">
        <v>1782</v>
      </c>
      <c r="F133" s="123" t="s">
        <v>1973</v>
      </c>
      <c r="G133" s="123" t="s">
        <v>1667</v>
      </c>
      <c r="H133" s="130" t="s">
        <v>1672</v>
      </c>
      <c r="I133" s="199" t="s">
        <v>1673</v>
      </c>
      <c r="J133" s="199"/>
      <c r="K133" s="200">
        <f t="shared" si="2"/>
        <v>1</v>
      </c>
      <c r="L133" s="201">
        <v>4642280</v>
      </c>
    </row>
    <row r="134" spans="1:12" ht="115.5" hidden="1" x14ac:dyDescent="0.3">
      <c r="A134" s="122">
        <v>133</v>
      </c>
      <c r="B134" s="123">
        <v>1911424820</v>
      </c>
      <c r="C134" s="123" t="s">
        <v>1974</v>
      </c>
      <c r="D134" s="123" t="s">
        <v>1744</v>
      </c>
      <c r="E134" s="123" t="s">
        <v>1769</v>
      </c>
      <c r="F134" s="123" t="s">
        <v>1975</v>
      </c>
      <c r="G134" s="123" t="s">
        <v>1667</v>
      </c>
      <c r="H134" s="130" t="s">
        <v>1672</v>
      </c>
      <c r="I134" s="199" t="s">
        <v>1673</v>
      </c>
      <c r="J134" s="199"/>
      <c r="K134" s="200">
        <f t="shared" si="2"/>
        <v>1</v>
      </c>
      <c r="L134" s="201">
        <v>3993175</v>
      </c>
    </row>
    <row r="135" spans="1:12" ht="115.5" hidden="1" x14ac:dyDescent="0.3">
      <c r="A135" s="122">
        <v>134</v>
      </c>
      <c r="B135" s="123">
        <v>1911430235</v>
      </c>
      <c r="C135" s="123" t="s">
        <v>1976</v>
      </c>
      <c r="D135" s="123" t="s">
        <v>1744</v>
      </c>
      <c r="E135" s="123" t="s">
        <v>1769</v>
      </c>
      <c r="F135" s="123" t="s">
        <v>1977</v>
      </c>
      <c r="G135" s="123" t="s">
        <v>1667</v>
      </c>
      <c r="H135" s="130" t="s">
        <v>1672</v>
      </c>
      <c r="I135" s="199" t="s">
        <v>1673</v>
      </c>
      <c r="J135" s="199"/>
      <c r="K135" s="200">
        <f t="shared" si="2"/>
        <v>1</v>
      </c>
      <c r="L135" s="201">
        <v>2420909</v>
      </c>
    </row>
    <row r="136" spans="1:12" ht="49.5" hidden="1" x14ac:dyDescent="0.3">
      <c r="A136" s="122">
        <v>135</v>
      </c>
      <c r="B136" s="123">
        <v>17210076569</v>
      </c>
      <c r="C136" s="123" t="s">
        <v>1978</v>
      </c>
      <c r="D136" s="123" t="s">
        <v>1736</v>
      </c>
      <c r="E136" s="123" t="s">
        <v>1782</v>
      </c>
      <c r="F136" s="123" t="s">
        <v>1818</v>
      </c>
      <c r="G136" s="123" t="s">
        <v>1667</v>
      </c>
      <c r="H136" s="130" t="s">
        <v>1672</v>
      </c>
      <c r="I136" s="199" t="s">
        <v>1719</v>
      </c>
      <c r="J136" s="199"/>
      <c r="K136" s="200">
        <f t="shared" si="2"/>
        <v>1</v>
      </c>
      <c r="L136" s="201">
        <v>7498325</v>
      </c>
    </row>
    <row r="137" spans="1:12" ht="49.5" hidden="1" x14ac:dyDescent="0.3">
      <c r="A137" s="122">
        <v>136</v>
      </c>
      <c r="B137" s="123">
        <v>18110174584</v>
      </c>
      <c r="C137" s="123" t="s">
        <v>1979</v>
      </c>
      <c r="D137" s="123" t="s">
        <v>1736</v>
      </c>
      <c r="E137" s="123" t="s">
        <v>1782</v>
      </c>
      <c r="F137" s="123" t="s">
        <v>1707</v>
      </c>
      <c r="G137" s="123" t="s">
        <v>1667</v>
      </c>
      <c r="H137" s="130" t="s">
        <v>1672</v>
      </c>
      <c r="I137" s="199" t="s">
        <v>1673</v>
      </c>
      <c r="J137" s="199"/>
      <c r="K137" s="200">
        <f t="shared" si="2"/>
        <v>1</v>
      </c>
      <c r="L137" s="201">
        <v>1129918</v>
      </c>
    </row>
    <row r="138" spans="1:12" ht="66" hidden="1" x14ac:dyDescent="0.3">
      <c r="A138" s="122">
        <v>137</v>
      </c>
      <c r="B138" s="123">
        <v>1611024992</v>
      </c>
      <c r="C138" s="123" t="s">
        <v>1980</v>
      </c>
      <c r="D138" s="123" t="s">
        <v>1981</v>
      </c>
      <c r="E138" s="123" t="s">
        <v>1982</v>
      </c>
      <c r="F138" s="123" t="s">
        <v>1983</v>
      </c>
      <c r="G138" s="123" t="s">
        <v>1667</v>
      </c>
      <c r="H138" s="130"/>
      <c r="I138" s="199"/>
      <c r="J138" s="199"/>
      <c r="K138" s="200">
        <f t="shared" si="2"/>
        <v>0</v>
      </c>
      <c r="L138" s="201">
        <v>0</v>
      </c>
    </row>
    <row r="139" spans="1:12" ht="66" hidden="1" x14ac:dyDescent="0.3">
      <c r="A139" s="122">
        <v>138</v>
      </c>
      <c r="B139" s="123">
        <v>251200072519</v>
      </c>
      <c r="C139" s="123" t="s">
        <v>1984</v>
      </c>
      <c r="D139" s="123" t="s">
        <v>1772</v>
      </c>
      <c r="E139" s="123" t="s">
        <v>1788</v>
      </c>
      <c r="F139" s="123" t="s">
        <v>1985</v>
      </c>
      <c r="G139" s="123" t="s">
        <v>1667</v>
      </c>
      <c r="H139" s="130" t="s">
        <v>1672</v>
      </c>
      <c r="I139" s="199" t="s">
        <v>1673</v>
      </c>
      <c r="J139" s="199"/>
      <c r="K139" s="200">
        <f t="shared" si="2"/>
        <v>1</v>
      </c>
      <c r="L139" s="201">
        <v>641890</v>
      </c>
    </row>
    <row r="140" spans="1:12" ht="66" hidden="1" x14ac:dyDescent="0.3">
      <c r="A140" s="122">
        <v>139</v>
      </c>
      <c r="B140" s="123">
        <v>241200025135</v>
      </c>
      <c r="C140" s="123" t="s">
        <v>1986</v>
      </c>
      <c r="D140" s="123" t="s">
        <v>1772</v>
      </c>
      <c r="E140" s="123" t="s">
        <v>1793</v>
      </c>
      <c r="F140" s="123" t="s">
        <v>1987</v>
      </c>
      <c r="G140" s="123" t="s">
        <v>1667</v>
      </c>
      <c r="H140" s="130" t="s">
        <v>1672</v>
      </c>
      <c r="I140" s="199" t="s">
        <v>1673</v>
      </c>
      <c r="J140" s="199"/>
      <c r="K140" s="200">
        <f t="shared" si="2"/>
        <v>1</v>
      </c>
      <c r="L140" s="201">
        <v>692375</v>
      </c>
    </row>
    <row r="141" spans="1:12" ht="49.5" hidden="1" x14ac:dyDescent="0.3">
      <c r="A141" s="122">
        <v>140</v>
      </c>
      <c r="B141" s="123">
        <v>18110057749</v>
      </c>
      <c r="C141" s="123" t="s">
        <v>1988</v>
      </c>
      <c r="D141" s="123" t="s">
        <v>1736</v>
      </c>
      <c r="E141" s="123" t="s">
        <v>1782</v>
      </c>
      <c r="F141" s="123" t="s">
        <v>1707</v>
      </c>
      <c r="G141" s="123" t="s">
        <v>1667</v>
      </c>
      <c r="H141" s="130"/>
      <c r="I141" s="199"/>
      <c r="J141" s="199"/>
      <c r="K141" s="200">
        <f t="shared" si="2"/>
        <v>1</v>
      </c>
      <c r="L141" s="201">
        <v>870278</v>
      </c>
    </row>
    <row r="142" spans="1:12" ht="66" hidden="1" x14ac:dyDescent="0.3">
      <c r="A142" s="122">
        <v>141</v>
      </c>
      <c r="B142" s="123">
        <v>241200038666</v>
      </c>
      <c r="C142" s="123" t="s">
        <v>1989</v>
      </c>
      <c r="D142" s="123" t="s">
        <v>1744</v>
      </c>
      <c r="E142" s="123" t="s">
        <v>1846</v>
      </c>
      <c r="F142" s="123" t="s">
        <v>1990</v>
      </c>
      <c r="G142" s="123" t="s">
        <v>1667</v>
      </c>
      <c r="H142" s="130" t="s">
        <v>1672</v>
      </c>
      <c r="I142" s="199" t="s">
        <v>1673</v>
      </c>
      <c r="J142" s="199"/>
      <c r="K142" s="200">
        <f t="shared" si="2"/>
        <v>0</v>
      </c>
      <c r="L142" s="201">
        <v>0</v>
      </c>
    </row>
    <row r="143" spans="1:12" ht="49.5" hidden="1" x14ac:dyDescent="0.3">
      <c r="A143" s="122">
        <v>142</v>
      </c>
      <c r="B143" s="123">
        <v>1920012653</v>
      </c>
      <c r="C143" s="123" t="s">
        <v>1991</v>
      </c>
      <c r="D143" s="123" t="s">
        <v>1956</v>
      </c>
      <c r="E143" s="123" t="s">
        <v>1957</v>
      </c>
      <c r="F143" s="123" t="s">
        <v>1992</v>
      </c>
      <c r="G143" s="123" t="s">
        <v>1667</v>
      </c>
      <c r="H143" s="130"/>
      <c r="I143" s="199"/>
      <c r="J143" s="199"/>
      <c r="K143" s="200">
        <f t="shared" si="2"/>
        <v>1</v>
      </c>
      <c r="L143" s="201">
        <v>810175</v>
      </c>
    </row>
    <row r="144" spans="1:12" ht="49.5" hidden="1" x14ac:dyDescent="0.3">
      <c r="A144" s="122">
        <v>143</v>
      </c>
      <c r="B144" s="123">
        <v>2020214456</v>
      </c>
      <c r="C144" s="123" t="s">
        <v>1993</v>
      </c>
      <c r="D144" s="123" t="s">
        <v>1956</v>
      </c>
      <c r="E144" s="123" t="s">
        <v>1957</v>
      </c>
      <c r="F144" s="123" t="s">
        <v>1994</v>
      </c>
      <c r="G144" s="123" t="s">
        <v>1667</v>
      </c>
      <c r="H144" s="130"/>
      <c r="I144" s="199"/>
      <c r="J144" s="199"/>
      <c r="K144" s="200">
        <f t="shared" si="2"/>
        <v>0</v>
      </c>
      <c r="L144" s="201">
        <v>0</v>
      </c>
    </row>
    <row r="145" spans="1:12" ht="82.5" hidden="1" x14ac:dyDescent="0.3">
      <c r="A145" s="122">
        <v>144</v>
      </c>
      <c r="B145" s="123">
        <v>221200043228</v>
      </c>
      <c r="C145" s="123" t="s">
        <v>1995</v>
      </c>
      <c r="D145" s="123" t="s">
        <v>1996</v>
      </c>
      <c r="E145" s="123" t="s">
        <v>1670</v>
      </c>
      <c r="F145" s="123" t="s">
        <v>1997</v>
      </c>
      <c r="G145" s="123" t="s">
        <v>1667</v>
      </c>
      <c r="H145" s="130"/>
      <c r="I145" s="199"/>
      <c r="J145" s="199"/>
      <c r="K145" s="200">
        <f t="shared" si="2"/>
        <v>1</v>
      </c>
      <c r="L145" s="201">
        <v>4808</v>
      </c>
    </row>
    <row r="146" spans="1:12" s="128" customFormat="1" ht="49.5" hidden="1" x14ac:dyDescent="0.3">
      <c r="A146" s="125">
        <v>145</v>
      </c>
      <c r="B146" s="126">
        <v>20396569</v>
      </c>
      <c r="C146" s="126" t="s">
        <v>1998</v>
      </c>
      <c r="D146" s="126" t="s">
        <v>1776</v>
      </c>
      <c r="E146" s="126" t="s">
        <v>1999</v>
      </c>
      <c r="F146" s="126" t="s">
        <v>2000</v>
      </c>
      <c r="G146" s="126" t="s">
        <v>1667</v>
      </c>
      <c r="H146" s="127"/>
      <c r="I146" s="202" t="s">
        <v>1779</v>
      </c>
      <c r="J146" s="202"/>
      <c r="K146" s="200">
        <f t="shared" si="2"/>
        <v>0</v>
      </c>
      <c r="L146" s="203">
        <v>0</v>
      </c>
    </row>
    <row r="147" spans="1:12" s="128" customFormat="1" ht="49.5" hidden="1" x14ac:dyDescent="0.3">
      <c r="A147" s="125">
        <v>146</v>
      </c>
      <c r="B147" s="126">
        <v>22000630</v>
      </c>
      <c r="C147" s="126" t="s">
        <v>2001</v>
      </c>
      <c r="D147" s="126" t="s">
        <v>1776</v>
      </c>
      <c r="E147" s="126" t="s">
        <v>1999</v>
      </c>
      <c r="F147" s="126" t="s">
        <v>2002</v>
      </c>
      <c r="G147" s="126" t="s">
        <v>1667</v>
      </c>
      <c r="H147" s="127"/>
      <c r="I147" s="202" t="s">
        <v>1779</v>
      </c>
      <c r="J147" s="202"/>
      <c r="K147" s="200">
        <f t="shared" si="2"/>
        <v>0</v>
      </c>
      <c r="L147" s="203">
        <v>0</v>
      </c>
    </row>
    <row r="148" spans="1:12" s="128" customFormat="1" ht="49.5" hidden="1" x14ac:dyDescent="0.3">
      <c r="A148" s="125">
        <v>147</v>
      </c>
      <c r="B148" s="126">
        <v>22000776</v>
      </c>
      <c r="C148" s="126" t="s">
        <v>2003</v>
      </c>
      <c r="D148" s="126" t="s">
        <v>1776</v>
      </c>
      <c r="E148" s="126" t="s">
        <v>1999</v>
      </c>
      <c r="F148" s="126" t="s">
        <v>2004</v>
      </c>
      <c r="G148" s="126" t="s">
        <v>1667</v>
      </c>
      <c r="H148" s="127"/>
      <c r="I148" s="202" t="s">
        <v>1779</v>
      </c>
      <c r="J148" s="202"/>
      <c r="K148" s="200">
        <f t="shared" si="2"/>
        <v>0</v>
      </c>
      <c r="L148" s="203">
        <v>0</v>
      </c>
    </row>
    <row r="149" spans="1:12" s="128" customFormat="1" ht="49.5" hidden="1" x14ac:dyDescent="0.3">
      <c r="A149" s="125">
        <v>148</v>
      </c>
      <c r="B149" s="126">
        <v>22000060</v>
      </c>
      <c r="C149" s="126" t="s">
        <v>2005</v>
      </c>
      <c r="D149" s="126" t="s">
        <v>1776</v>
      </c>
      <c r="E149" s="126" t="s">
        <v>1999</v>
      </c>
      <c r="F149" s="126" t="s">
        <v>2006</v>
      </c>
      <c r="G149" s="126" t="s">
        <v>1667</v>
      </c>
      <c r="H149" s="127"/>
      <c r="I149" s="202" t="s">
        <v>1779</v>
      </c>
      <c r="J149" s="202"/>
      <c r="K149" s="200">
        <f t="shared" si="2"/>
        <v>0</v>
      </c>
      <c r="L149" s="203">
        <v>0</v>
      </c>
    </row>
    <row r="150" spans="1:12" s="128" customFormat="1" ht="66" hidden="1" x14ac:dyDescent="0.3">
      <c r="A150" s="125">
        <v>149</v>
      </c>
      <c r="B150" s="126">
        <v>20396706</v>
      </c>
      <c r="C150" s="126" t="s">
        <v>2007</v>
      </c>
      <c r="D150" s="126" t="s">
        <v>1776</v>
      </c>
      <c r="E150" s="126" t="s">
        <v>1777</v>
      </c>
      <c r="F150" s="126" t="s">
        <v>1778</v>
      </c>
      <c r="G150" s="126" t="s">
        <v>1667</v>
      </c>
      <c r="H150" s="127"/>
      <c r="I150" s="202" t="s">
        <v>1779</v>
      </c>
      <c r="J150" s="202"/>
      <c r="K150" s="200">
        <f t="shared" si="2"/>
        <v>0</v>
      </c>
      <c r="L150" s="203">
        <v>0</v>
      </c>
    </row>
    <row r="151" spans="1:12" s="128" customFormat="1" ht="49.5" hidden="1" x14ac:dyDescent="0.3">
      <c r="A151" s="125">
        <v>150</v>
      </c>
      <c r="B151" s="126">
        <v>2222003561</v>
      </c>
      <c r="C151" s="126" t="s">
        <v>2008</v>
      </c>
      <c r="D151" s="126" t="s">
        <v>1776</v>
      </c>
      <c r="E151" s="126" t="s">
        <v>1999</v>
      </c>
      <c r="F151" s="126" t="s">
        <v>2009</v>
      </c>
      <c r="G151" s="126" t="s">
        <v>1667</v>
      </c>
      <c r="H151" s="127"/>
      <c r="I151" s="202" t="s">
        <v>1779</v>
      </c>
      <c r="J151" s="202"/>
      <c r="K151" s="200">
        <f t="shared" si="2"/>
        <v>0</v>
      </c>
      <c r="L151" s="203">
        <v>0</v>
      </c>
    </row>
    <row r="152" spans="1:12" s="128" customFormat="1" ht="49.5" hidden="1" x14ac:dyDescent="0.3">
      <c r="A152" s="125">
        <v>151</v>
      </c>
      <c r="B152" s="126">
        <v>20417738</v>
      </c>
      <c r="C152" s="126" t="s">
        <v>2010</v>
      </c>
      <c r="D152" s="126" t="s">
        <v>1776</v>
      </c>
      <c r="E152" s="126" t="s">
        <v>1999</v>
      </c>
      <c r="F152" s="126" t="s">
        <v>2011</v>
      </c>
      <c r="G152" s="126" t="s">
        <v>1667</v>
      </c>
      <c r="H152" s="127"/>
      <c r="I152" s="202" t="s">
        <v>1779</v>
      </c>
      <c r="J152" s="202"/>
      <c r="K152" s="200">
        <f t="shared" si="2"/>
        <v>0</v>
      </c>
      <c r="L152" s="203">
        <v>0</v>
      </c>
    </row>
    <row r="153" spans="1:12" s="128" customFormat="1" ht="49.5" hidden="1" x14ac:dyDescent="0.3">
      <c r="A153" s="125">
        <v>152</v>
      </c>
      <c r="B153" s="126">
        <v>20418092</v>
      </c>
      <c r="C153" s="126" t="s">
        <v>2012</v>
      </c>
      <c r="D153" s="126" t="s">
        <v>1776</v>
      </c>
      <c r="E153" s="126" t="s">
        <v>1999</v>
      </c>
      <c r="F153" s="126" t="s">
        <v>2013</v>
      </c>
      <c r="G153" s="126" t="s">
        <v>1667</v>
      </c>
      <c r="H153" s="127"/>
      <c r="I153" s="202" t="s">
        <v>1779</v>
      </c>
      <c r="J153" s="202"/>
      <c r="K153" s="200">
        <f t="shared" si="2"/>
        <v>0</v>
      </c>
      <c r="L153" s="203">
        <v>0</v>
      </c>
    </row>
    <row r="154" spans="1:12" s="128" customFormat="1" ht="49.5" hidden="1" x14ac:dyDescent="0.3">
      <c r="A154" s="125">
        <v>153</v>
      </c>
      <c r="B154" s="126">
        <v>22000660</v>
      </c>
      <c r="C154" s="126" t="s">
        <v>2014</v>
      </c>
      <c r="D154" s="126" t="s">
        <v>1776</v>
      </c>
      <c r="E154" s="126" t="s">
        <v>1999</v>
      </c>
      <c r="F154" s="126" t="s">
        <v>2015</v>
      </c>
      <c r="G154" s="126" t="s">
        <v>1667</v>
      </c>
      <c r="H154" s="127"/>
      <c r="I154" s="202" t="s">
        <v>1779</v>
      </c>
      <c r="J154" s="202"/>
      <c r="K154" s="200">
        <f t="shared" si="2"/>
        <v>0</v>
      </c>
      <c r="L154" s="203">
        <v>0</v>
      </c>
    </row>
    <row r="155" spans="1:12" ht="66" hidden="1" x14ac:dyDescent="0.3">
      <c r="A155" s="122">
        <v>154</v>
      </c>
      <c r="B155" s="123">
        <v>20396774</v>
      </c>
      <c r="C155" s="123" t="s">
        <v>2016</v>
      </c>
      <c r="D155" s="123" t="s">
        <v>2017</v>
      </c>
      <c r="E155" s="123" t="s">
        <v>2018</v>
      </c>
      <c r="F155" s="123" t="s">
        <v>2019</v>
      </c>
      <c r="G155" s="123" t="s">
        <v>1667</v>
      </c>
      <c r="H155" s="130"/>
      <c r="I155" s="199" t="s">
        <v>1719</v>
      </c>
      <c r="J155" s="199"/>
      <c r="K155" s="200">
        <f t="shared" si="2"/>
        <v>1</v>
      </c>
      <c r="L155" s="201">
        <v>13438807</v>
      </c>
    </row>
    <row r="156" spans="1:12" ht="66" hidden="1" x14ac:dyDescent="0.3">
      <c r="A156" s="122">
        <v>155</v>
      </c>
      <c r="B156" s="123">
        <v>20396481</v>
      </c>
      <c r="C156" s="123" t="s">
        <v>2020</v>
      </c>
      <c r="D156" s="123" t="s">
        <v>2017</v>
      </c>
      <c r="E156" s="123" t="s">
        <v>2021</v>
      </c>
      <c r="F156" s="123" t="s">
        <v>2022</v>
      </c>
      <c r="G156" s="123" t="s">
        <v>1667</v>
      </c>
      <c r="H156" s="130"/>
      <c r="I156" s="199" t="s">
        <v>1719</v>
      </c>
      <c r="J156" s="199"/>
      <c r="K156" s="200">
        <f t="shared" si="2"/>
        <v>1</v>
      </c>
      <c r="L156" s="201">
        <v>365420</v>
      </c>
    </row>
    <row r="157" spans="1:12" ht="66" hidden="1" x14ac:dyDescent="0.3">
      <c r="A157" s="122">
        <v>156</v>
      </c>
      <c r="B157" s="123">
        <v>20396575</v>
      </c>
      <c r="C157" s="123" t="s">
        <v>2023</v>
      </c>
      <c r="D157" s="123" t="s">
        <v>2017</v>
      </c>
      <c r="E157" s="123" t="s">
        <v>2018</v>
      </c>
      <c r="F157" s="123" t="s">
        <v>2024</v>
      </c>
      <c r="G157" s="123" t="s">
        <v>1667</v>
      </c>
      <c r="H157" s="130"/>
      <c r="I157" s="199" t="s">
        <v>1719</v>
      </c>
      <c r="J157" s="199"/>
      <c r="K157" s="200">
        <f t="shared" si="2"/>
        <v>1</v>
      </c>
      <c r="L157" s="201">
        <v>15741916</v>
      </c>
    </row>
    <row r="158" spans="1:12" ht="66" hidden="1" x14ac:dyDescent="0.3">
      <c r="A158" s="122">
        <v>157</v>
      </c>
      <c r="B158" s="123">
        <v>20396560</v>
      </c>
      <c r="C158" s="123" t="s">
        <v>2025</v>
      </c>
      <c r="D158" s="123" t="s">
        <v>2017</v>
      </c>
      <c r="E158" s="123" t="s">
        <v>2018</v>
      </c>
      <c r="F158" s="123" t="s">
        <v>2026</v>
      </c>
      <c r="G158" s="123" t="s">
        <v>1667</v>
      </c>
      <c r="H158" s="130"/>
      <c r="I158" s="199" t="s">
        <v>1719</v>
      </c>
      <c r="J158" s="199"/>
      <c r="K158" s="200">
        <f t="shared" si="2"/>
        <v>1</v>
      </c>
      <c r="L158" s="201">
        <v>12753644</v>
      </c>
    </row>
    <row r="159" spans="1:12" ht="66" hidden="1" x14ac:dyDescent="0.3">
      <c r="A159" s="122">
        <v>158</v>
      </c>
      <c r="B159" s="123">
        <v>20396501</v>
      </c>
      <c r="C159" s="123" t="s">
        <v>2027</v>
      </c>
      <c r="D159" s="123" t="s">
        <v>2017</v>
      </c>
      <c r="E159" s="123" t="s">
        <v>2018</v>
      </c>
      <c r="F159" s="123" t="s">
        <v>2028</v>
      </c>
      <c r="G159" s="123" t="s">
        <v>1667</v>
      </c>
      <c r="H159" s="130"/>
      <c r="I159" s="199"/>
      <c r="J159" s="199"/>
      <c r="K159" s="200">
        <f t="shared" si="2"/>
        <v>1</v>
      </c>
      <c r="L159" s="201">
        <v>18545074</v>
      </c>
    </row>
    <row r="160" spans="1:12" ht="49.5" hidden="1" x14ac:dyDescent="0.3">
      <c r="A160" s="122">
        <v>159</v>
      </c>
      <c r="B160" s="123">
        <v>1611025980</v>
      </c>
      <c r="C160" s="123" t="s">
        <v>2029</v>
      </c>
      <c r="D160" s="123" t="s">
        <v>2030</v>
      </c>
      <c r="E160" s="123" t="s">
        <v>2031</v>
      </c>
      <c r="F160" s="123" t="s">
        <v>2032</v>
      </c>
      <c r="G160" s="123" t="s">
        <v>1667</v>
      </c>
      <c r="H160" s="130" t="s">
        <v>2033</v>
      </c>
      <c r="I160" s="199" t="s">
        <v>1719</v>
      </c>
      <c r="J160" s="199"/>
      <c r="K160" s="200">
        <f t="shared" si="2"/>
        <v>1</v>
      </c>
      <c r="L160" s="201">
        <v>7702672</v>
      </c>
    </row>
    <row r="161" spans="1:12" ht="66" hidden="1" x14ac:dyDescent="0.3">
      <c r="A161" s="122">
        <v>160</v>
      </c>
      <c r="B161" s="123">
        <v>1511111349</v>
      </c>
      <c r="C161" s="123" t="s">
        <v>2034</v>
      </c>
      <c r="D161" s="123" t="s">
        <v>2035</v>
      </c>
      <c r="E161" s="123" t="s">
        <v>2036</v>
      </c>
      <c r="F161" s="123" t="s">
        <v>2037</v>
      </c>
      <c r="G161" s="123" t="s">
        <v>1667</v>
      </c>
      <c r="H161" s="130" t="s">
        <v>2033</v>
      </c>
      <c r="I161" s="199" t="s">
        <v>1673</v>
      </c>
      <c r="J161" s="199"/>
      <c r="K161" s="200">
        <f t="shared" si="2"/>
        <v>1</v>
      </c>
      <c r="L161" s="201">
        <v>1050583</v>
      </c>
    </row>
    <row r="162" spans="1:12" ht="49.5" hidden="1" x14ac:dyDescent="0.3">
      <c r="A162" s="122">
        <v>161</v>
      </c>
      <c r="B162" s="123">
        <v>1611391689</v>
      </c>
      <c r="C162" s="123" t="s">
        <v>2038</v>
      </c>
      <c r="D162" s="123" t="s">
        <v>2030</v>
      </c>
      <c r="E162" s="123" t="s">
        <v>2031</v>
      </c>
      <c r="F162" s="123" t="s">
        <v>2032</v>
      </c>
      <c r="G162" s="123" t="s">
        <v>1667</v>
      </c>
      <c r="H162" s="130" t="s">
        <v>2033</v>
      </c>
      <c r="I162" s="199" t="s">
        <v>2039</v>
      </c>
      <c r="J162" s="199"/>
      <c r="K162" s="200">
        <f t="shared" si="2"/>
        <v>1</v>
      </c>
      <c r="L162" s="201">
        <v>11816054</v>
      </c>
    </row>
    <row r="163" spans="1:12" ht="49.5" hidden="1" x14ac:dyDescent="0.3">
      <c r="A163" s="122">
        <v>162</v>
      </c>
      <c r="B163" s="123">
        <v>1511230395</v>
      </c>
      <c r="C163" s="123" t="s">
        <v>2040</v>
      </c>
      <c r="D163" s="123" t="s">
        <v>2041</v>
      </c>
      <c r="E163" s="123" t="s">
        <v>2036</v>
      </c>
      <c r="F163" s="123" t="s">
        <v>2042</v>
      </c>
      <c r="G163" s="123" t="s">
        <v>1667</v>
      </c>
      <c r="H163" s="130" t="s">
        <v>2033</v>
      </c>
      <c r="I163" s="199" t="s">
        <v>1673</v>
      </c>
      <c r="J163" s="199"/>
      <c r="K163" s="200">
        <f t="shared" si="2"/>
        <v>1</v>
      </c>
      <c r="L163" s="201">
        <v>836620</v>
      </c>
    </row>
    <row r="164" spans="1:12" ht="49.5" hidden="1" x14ac:dyDescent="0.3">
      <c r="A164" s="122">
        <v>163</v>
      </c>
      <c r="B164" s="123">
        <v>221100332673</v>
      </c>
      <c r="C164" s="123" t="s">
        <v>2043</v>
      </c>
      <c r="D164" s="123" t="s">
        <v>2044</v>
      </c>
      <c r="E164" s="123" t="s">
        <v>2045</v>
      </c>
      <c r="F164" s="123" t="s">
        <v>2046</v>
      </c>
      <c r="G164" s="123" t="s">
        <v>1667</v>
      </c>
      <c r="H164" s="130" t="s">
        <v>2047</v>
      </c>
      <c r="I164" s="199"/>
      <c r="J164" s="199"/>
      <c r="K164" s="200">
        <f t="shared" si="2"/>
        <v>1</v>
      </c>
      <c r="L164" s="201">
        <v>12020</v>
      </c>
    </row>
    <row r="165" spans="1:12" ht="66" hidden="1" x14ac:dyDescent="0.3">
      <c r="A165" s="122">
        <v>164</v>
      </c>
      <c r="B165" s="123">
        <v>201100020752</v>
      </c>
      <c r="C165" s="123" t="s">
        <v>2048</v>
      </c>
      <c r="D165" s="123" t="s">
        <v>2049</v>
      </c>
      <c r="E165" s="123" t="s">
        <v>2031</v>
      </c>
      <c r="F165" s="123" t="s">
        <v>2050</v>
      </c>
      <c r="G165" s="123" t="s">
        <v>1667</v>
      </c>
      <c r="H165" s="130"/>
      <c r="I165" s="199"/>
      <c r="J165" s="199"/>
      <c r="K165" s="200">
        <f t="shared" si="2"/>
        <v>1</v>
      </c>
      <c r="L165" s="201">
        <v>240409</v>
      </c>
    </row>
    <row r="166" spans="1:12" ht="49.5" hidden="1" x14ac:dyDescent="0.3">
      <c r="A166" s="122">
        <v>165</v>
      </c>
      <c r="B166" s="123">
        <v>21039952</v>
      </c>
      <c r="C166" s="123" t="s">
        <v>2051</v>
      </c>
      <c r="D166" s="123" t="s">
        <v>2052</v>
      </c>
      <c r="E166" s="123" t="s">
        <v>2031</v>
      </c>
      <c r="F166" s="123" t="s">
        <v>2053</v>
      </c>
      <c r="G166" s="123" t="s">
        <v>1667</v>
      </c>
      <c r="H166" s="130" t="s">
        <v>2033</v>
      </c>
      <c r="I166" s="199" t="s">
        <v>1673</v>
      </c>
      <c r="J166" s="199"/>
      <c r="K166" s="200">
        <f t="shared" si="2"/>
        <v>1</v>
      </c>
      <c r="L166" s="201">
        <v>1471297</v>
      </c>
    </row>
    <row r="167" spans="1:12" ht="66" hidden="1" x14ac:dyDescent="0.3">
      <c r="A167" s="122">
        <v>166</v>
      </c>
      <c r="B167" s="123">
        <v>1511187154</v>
      </c>
      <c r="C167" s="123" t="s">
        <v>2054</v>
      </c>
      <c r="D167" s="123" t="s">
        <v>2055</v>
      </c>
      <c r="E167" s="123" t="s">
        <v>2031</v>
      </c>
      <c r="F167" s="123" t="s">
        <v>2056</v>
      </c>
      <c r="G167" s="123" t="s">
        <v>1667</v>
      </c>
      <c r="H167" s="130" t="s">
        <v>2033</v>
      </c>
      <c r="I167" s="199" t="s">
        <v>1673</v>
      </c>
      <c r="J167" s="199"/>
      <c r="K167" s="200">
        <f t="shared" si="2"/>
        <v>1</v>
      </c>
      <c r="L167" s="201">
        <v>978461</v>
      </c>
    </row>
    <row r="168" spans="1:12" ht="49.5" hidden="1" x14ac:dyDescent="0.3">
      <c r="A168" s="122">
        <v>167</v>
      </c>
      <c r="B168" s="123">
        <v>221100336714</v>
      </c>
      <c r="C168" s="123" t="s">
        <v>2057</v>
      </c>
      <c r="D168" s="123" t="s">
        <v>2058</v>
      </c>
      <c r="E168" s="123" t="s">
        <v>2059</v>
      </c>
      <c r="F168" s="123" t="s">
        <v>2060</v>
      </c>
      <c r="G168" s="123" t="s">
        <v>1667</v>
      </c>
      <c r="H168" s="130" t="s">
        <v>2047</v>
      </c>
      <c r="I168" s="199"/>
      <c r="J168" s="199"/>
      <c r="K168" s="200">
        <f t="shared" si="2"/>
        <v>1</v>
      </c>
      <c r="L168" s="201">
        <v>163477</v>
      </c>
    </row>
    <row r="169" spans="1:12" ht="49.5" hidden="1" x14ac:dyDescent="0.3">
      <c r="A169" s="122">
        <v>168</v>
      </c>
      <c r="B169" s="123">
        <v>221100364552</v>
      </c>
      <c r="C169" s="123" t="s">
        <v>2061</v>
      </c>
      <c r="D169" s="123" t="s">
        <v>2062</v>
      </c>
      <c r="E169" s="123" t="s">
        <v>2059</v>
      </c>
      <c r="F169" s="123" t="s">
        <v>2063</v>
      </c>
      <c r="G169" s="123" t="s">
        <v>1667</v>
      </c>
      <c r="H169" s="130" t="s">
        <v>2047</v>
      </c>
      <c r="I169" s="199"/>
      <c r="J169" s="199"/>
      <c r="K169" s="200">
        <f t="shared" si="2"/>
        <v>1</v>
      </c>
      <c r="L169" s="201">
        <v>146648</v>
      </c>
    </row>
    <row r="170" spans="1:12" ht="49.5" hidden="1" x14ac:dyDescent="0.3">
      <c r="A170" s="122">
        <v>169</v>
      </c>
      <c r="B170" s="123">
        <v>1611082748</v>
      </c>
      <c r="C170" s="123" t="s">
        <v>2064</v>
      </c>
      <c r="D170" s="123" t="s">
        <v>2030</v>
      </c>
      <c r="E170" s="123" t="s">
        <v>2031</v>
      </c>
      <c r="F170" s="123" t="s">
        <v>2032</v>
      </c>
      <c r="G170" s="123" t="s">
        <v>1667</v>
      </c>
      <c r="H170" s="130" t="s">
        <v>2033</v>
      </c>
      <c r="I170" s="199" t="s">
        <v>1719</v>
      </c>
      <c r="J170" s="199"/>
      <c r="K170" s="200">
        <f t="shared" si="2"/>
        <v>1</v>
      </c>
      <c r="L170" s="201">
        <v>24218702</v>
      </c>
    </row>
    <row r="171" spans="1:12" ht="49.5" hidden="1" x14ac:dyDescent="0.3">
      <c r="A171" s="122">
        <v>170</v>
      </c>
      <c r="B171" s="123">
        <v>1511187163</v>
      </c>
      <c r="C171" s="123" t="s">
        <v>2065</v>
      </c>
      <c r="D171" s="123" t="s">
        <v>2066</v>
      </c>
      <c r="E171" s="123" t="s">
        <v>2036</v>
      </c>
      <c r="F171" s="123" t="s">
        <v>2067</v>
      </c>
      <c r="G171" s="123" t="s">
        <v>1667</v>
      </c>
      <c r="H171" s="130" t="s">
        <v>2033</v>
      </c>
      <c r="I171" s="199" t="s">
        <v>1673</v>
      </c>
      <c r="J171" s="199"/>
      <c r="K171" s="200">
        <f t="shared" si="2"/>
        <v>1</v>
      </c>
      <c r="L171" s="201">
        <v>846236</v>
      </c>
    </row>
    <row r="172" spans="1:12" ht="49.5" hidden="1" x14ac:dyDescent="0.3">
      <c r="A172" s="122">
        <v>171</v>
      </c>
      <c r="B172" s="123">
        <v>21045854</v>
      </c>
      <c r="C172" s="123" t="s">
        <v>2068</v>
      </c>
      <c r="D172" s="123" t="s">
        <v>2069</v>
      </c>
      <c r="E172" s="123" t="s">
        <v>2070</v>
      </c>
      <c r="F172" s="123" t="s">
        <v>2071</v>
      </c>
      <c r="G172" s="123" t="s">
        <v>1667</v>
      </c>
      <c r="H172" s="130" t="s">
        <v>2033</v>
      </c>
      <c r="I172" s="199" t="s">
        <v>1673</v>
      </c>
      <c r="J172" s="199"/>
      <c r="K172" s="200">
        <f t="shared" si="2"/>
        <v>1</v>
      </c>
      <c r="L172" s="201">
        <v>1435236</v>
      </c>
    </row>
    <row r="173" spans="1:12" ht="49.5" hidden="1" x14ac:dyDescent="0.3">
      <c r="A173" s="122">
        <v>172</v>
      </c>
      <c r="B173" s="123">
        <v>21072303</v>
      </c>
      <c r="C173" s="123" t="s">
        <v>2072</v>
      </c>
      <c r="D173" s="123" t="s">
        <v>2030</v>
      </c>
      <c r="E173" s="123" t="s">
        <v>2031</v>
      </c>
      <c r="F173" s="123" t="s">
        <v>2032</v>
      </c>
      <c r="G173" s="123" t="s">
        <v>1667</v>
      </c>
      <c r="H173" s="130" t="s">
        <v>2033</v>
      </c>
      <c r="I173" s="199" t="s">
        <v>1719</v>
      </c>
      <c r="J173" s="199"/>
      <c r="K173" s="200">
        <f t="shared" si="2"/>
        <v>1</v>
      </c>
      <c r="L173" s="201">
        <v>5127902</v>
      </c>
    </row>
    <row r="174" spans="1:12" ht="66" hidden="1" x14ac:dyDescent="0.3">
      <c r="A174" s="122">
        <v>173</v>
      </c>
      <c r="B174" s="123">
        <v>1911604765</v>
      </c>
      <c r="C174" s="123" t="s">
        <v>2073</v>
      </c>
      <c r="D174" s="123" t="s">
        <v>2074</v>
      </c>
      <c r="E174" s="123" t="s">
        <v>2075</v>
      </c>
      <c r="F174" s="123" t="s">
        <v>2076</v>
      </c>
      <c r="G174" s="123" t="s">
        <v>1667</v>
      </c>
      <c r="H174" s="130" t="s">
        <v>2033</v>
      </c>
      <c r="I174" s="199" t="s">
        <v>1673</v>
      </c>
      <c r="J174" s="199"/>
      <c r="K174" s="200">
        <f t="shared" si="2"/>
        <v>1</v>
      </c>
      <c r="L174" s="201">
        <v>3245508</v>
      </c>
    </row>
    <row r="175" spans="1:12" ht="49.5" hidden="1" x14ac:dyDescent="0.3">
      <c r="A175" s="122">
        <v>174</v>
      </c>
      <c r="B175" s="123">
        <v>1911603629</v>
      </c>
      <c r="C175" s="123" t="s">
        <v>2077</v>
      </c>
      <c r="D175" s="123" t="s">
        <v>2030</v>
      </c>
      <c r="E175" s="123" t="s">
        <v>2031</v>
      </c>
      <c r="F175" s="123" t="s">
        <v>2078</v>
      </c>
      <c r="G175" s="123" t="s">
        <v>1667</v>
      </c>
      <c r="H175" s="130" t="s">
        <v>2033</v>
      </c>
      <c r="I175" s="199" t="s">
        <v>1719</v>
      </c>
      <c r="J175" s="199"/>
      <c r="K175" s="200">
        <f t="shared" si="2"/>
        <v>1</v>
      </c>
      <c r="L175" s="201">
        <v>7474285</v>
      </c>
    </row>
    <row r="176" spans="1:12" ht="49.5" hidden="1" x14ac:dyDescent="0.3">
      <c r="A176" s="122">
        <v>175</v>
      </c>
      <c r="B176" s="123">
        <v>1511285335</v>
      </c>
      <c r="C176" s="123" t="s">
        <v>2079</v>
      </c>
      <c r="D176" s="123" t="s">
        <v>2080</v>
      </c>
      <c r="E176" s="123" t="s">
        <v>2070</v>
      </c>
      <c r="F176" s="123" t="s">
        <v>2081</v>
      </c>
      <c r="G176" s="123" t="s">
        <v>1667</v>
      </c>
      <c r="H176" s="130" t="s">
        <v>2033</v>
      </c>
      <c r="I176" s="199" t="s">
        <v>1673</v>
      </c>
      <c r="J176" s="199"/>
      <c r="K176" s="200">
        <f t="shared" si="2"/>
        <v>1</v>
      </c>
      <c r="L176" s="201">
        <v>1122706</v>
      </c>
    </row>
    <row r="177" spans="1:12" ht="49.5" hidden="1" x14ac:dyDescent="0.3">
      <c r="A177" s="122">
        <v>176</v>
      </c>
      <c r="B177" s="123">
        <v>21016193</v>
      </c>
      <c r="C177" s="123" t="s">
        <v>2082</v>
      </c>
      <c r="D177" s="123" t="s">
        <v>2030</v>
      </c>
      <c r="E177" s="123" t="s">
        <v>2031</v>
      </c>
      <c r="F177" s="123" t="s">
        <v>2032</v>
      </c>
      <c r="G177" s="123" t="s">
        <v>1667</v>
      </c>
      <c r="H177" s="130" t="s">
        <v>2033</v>
      </c>
      <c r="I177" s="199" t="s">
        <v>1719</v>
      </c>
      <c r="J177" s="199"/>
      <c r="K177" s="200">
        <f t="shared" si="2"/>
        <v>1</v>
      </c>
      <c r="L177" s="201">
        <v>11364085</v>
      </c>
    </row>
    <row r="178" spans="1:12" ht="49.5" hidden="1" x14ac:dyDescent="0.3">
      <c r="A178" s="122">
        <v>177</v>
      </c>
      <c r="B178" s="123">
        <v>1511188151</v>
      </c>
      <c r="C178" s="123" t="s">
        <v>2083</v>
      </c>
      <c r="D178" s="123" t="s">
        <v>2084</v>
      </c>
      <c r="E178" s="123" t="s">
        <v>2036</v>
      </c>
      <c r="F178" s="123" t="s">
        <v>2085</v>
      </c>
      <c r="G178" s="123" t="s">
        <v>1667</v>
      </c>
      <c r="H178" s="130" t="s">
        <v>2033</v>
      </c>
      <c r="I178" s="199" t="s">
        <v>1673</v>
      </c>
      <c r="J178" s="199"/>
      <c r="K178" s="200">
        <f t="shared" si="2"/>
        <v>1</v>
      </c>
      <c r="L178" s="201">
        <v>389461</v>
      </c>
    </row>
    <row r="179" spans="1:12" ht="49.5" hidden="1" x14ac:dyDescent="0.3">
      <c r="A179" s="122">
        <v>178</v>
      </c>
      <c r="B179" s="123">
        <v>1511169605</v>
      </c>
      <c r="C179" s="123" t="s">
        <v>2086</v>
      </c>
      <c r="D179" s="123" t="s">
        <v>2087</v>
      </c>
      <c r="E179" s="123" t="s">
        <v>2036</v>
      </c>
      <c r="F179" s="123" t="s">
        <v>2088</v>
      </c>
      <c r="G179" s="123" t="s">
        <v>1667</v>
      </c>
      <c r="H179" s="130" t="s">
        <v>1672</v>
      </c>
      <c r="I179" s="199" t="s">
        <v>1673</v>
      </c>
      <c r="J179" s="199"/>
      <c r="K179" s="200">
        <f t="shared" si="2"/>
        <v>1</v>
      </c>
      <c r="L179" s="201">
        <v>617848</v>
      </c>
    </row>
    <row r="180" spans="1:12" ht="49.5" hidden="1" x14ac:dyDescent="0.3">
      <c r="A180" s="122">
        <v>179</v>
      </c>
      <c r="B180" s="123">
        <v>1511414707</v>
      </c>
      <c r="C180" s="123" t="s">
        <v>2089</v>
      </c>
      <c r="D180" s="123" t="s">
        <v>2090</v>
      </c>
      <c r="E180" s="123" t="s">
        <v>2059</v>
      </c>
      <c r="F180" s="123" t="s">
        <v>2091</v>
      </c>
      <c r="G180" s="123" t="s">
        <v>1667</v>
      </c>
      <c r="H180" s="130"/>
      <c r="I180" s="199"/>
      <c r="J180" s="199"/>
      <c r="K180" s="200">
        <f t="shared" si="2"/>
        <v>0</v>
      </c>
      <c r="L180" s="201">
        <v>0</v>
      </c>
    </row>
    <row r="181" spans="1:12" ht="66" hidden="1" x14ac:dyDescent="0.3">
      <c r="A181" s="122">
        <v>180</v>
      </c>
      <c r="B181" s="123">
        <v>1511178832</v>
      </c>
      <c r="C181" s="123" t="s">
        <v>2092</v>
      </c>
      <c r="D181" s="123" t="s">
        <v>2093</v>
      </c>
      <c r="E181" s="123" t="s">
        <v>2036</v>
      </c>
      <c r="F181" s="123" t="s">
        <v>2094</v>
      </c>
      <c r="G181" s="123" t="s">
        <v>1667</v>
      </c>
      <c r="H181" s="130" t="s">
        <v>2033</v>
      </c>
      <c r="I181" s="199" t="s">
        <v>1673</v>
      </c>
      <c r="J181" s="199"/>
      <c r="K181" s="200">
        <f t="shared" si="2"/>
        <v>1</v>
      </c>
      <c r="L181" s="201">
        <v>1478509</v>
      </c>
    </row>
    <row r="182" spans="1:12" ht="49.5" hidden="1" x14ac:dyDescent="0.3">
      <c r="A182" s="122">
        <v>181</v>
      </c>
      <c r="B182" s="123">
        <v>1911429309</v>
      </c>
      <c r="C182" s="123" t="s">
        <v>2095</v>
      </c>
      <c r="D182" s="123" t="s">
        <v>2030</v>
      </c>
      <c r="E182" s="123" t="s">
        <v>2031</v>
      </c>
      <c r="F182" s="123" t="s">
        <v>2032</v>
      </c>
      <c r="G182" s="123" t="s">
        <v>1667</v>
      </c>
      <c r="H182" s="130" t="s">
        <v>2033</v>
      </c>
      <c r="I182" s="199" t="s">
        <v>1719</v>
      </c>
      <c r="J182" s="199"/>
      <c r="K182" s="200">
        <f t="shared" si="2"/>
        <v>1</v>
      </c>
      <c r="L182" s="201">
        <v>13765763</v>
      </c>
    </row>
    <row r="183" spans="1:12" ht="49.5" hidden="1" x14ac:dyDescent="0.3">
      <c r="A183" s="122">
        <v>182</v>
      </c>
      <c r="B183" s="123">
        <v>2011580322</v>
      </c>
      <c r="C183" s="123" t="s">
        <v>2096</v>
      </c>
      <c r="D183" s="123" t="s">
        <v>2097</v>
      </c>
      <c r="E183" s="123" t="s">
        <v>2036</v>
      </c>
      <c r="F183" s="123" t="s">
        <v>2098</v>
      </c>
      <c r="G183" s="123" t="s">
        <v>1667</v>
      </c>
      <c r="H183" s="130" t="s">
        <v>2033</v>
      </c>
      <c r="I183" s="199" t="s">
        <v>1673</v>
      </c>
      <c r="J183" s="199"/>
      <c r="K183" s="200">
        <f t="shared" si="2"/>
        <v>1</v>
      </c>
      <c r="L183" s="201">
        <v>1110685</v>
      </c>
    </row>
    <row r="184" spans="1:12" ht="66" hidden="1" x14ac:dyDescent="0.3">
      <c r="A184" s="122">
        <v>183</v>
      </c>
      <c r="B184" s="123">
        <v>1511187168</v>
      </c>
      <c r="C184" s="123" t="s">
        <v>2099</v>
      </c>
      <c r="D184" s="123" t="s">
        <v>2100</v>
      </c>
      <c r="E184" s="123" t="s">
        <v>2036</v>
      </c>
      <c r="F184" s="123" t="s">
        <v>2101</v>
      </c>
      <c r="G184" s="123" t="s">
        <v>1667</v>
      </c>
      <c r="H184" s="130" t="s">
        <v>2033</v>
      </c>
      <c r="I184" s="199" t="s">
        <v>1673</v>
      </c>
      <c r="J184" s="199"/>
      <c r="K184" s="200">
        <f t="shared" si="2"/>
        <v>1</v>
      </c>
      <c r="L184" s="201">
        <v>2197329</v>
      </c>
    </row>
    <row r="185" spans="1:12" ht="49.5" hidden="1" x14ac:dyDescent="0.3">
      <c r="A185" s="122">
        <v>184</v>
      </c>
      <c r="B185" s="123">
        <v>21058636</v>
      </c>
      <c r="C185" s="123" t="s">
        <v>2102</v>
      </c>
      <c r="D185" s="123" t="s">
        <v>2103</v>
      </c>
      <c r="E185" s="123" t="s">
        <v>2104</v>
      </c>
      <c r="F185" s="123" t="s">
        <v>2105</v>
      </c>
      <c r="G185" s="123" t="s">
        <v>1667</v>
      </c>
      <c r="H185" s="130" t="s">
        <v>1672</v>
      </c>
      <c r="I185" s="199" t="s">
        <v>1673</v>
      </c>
      <c r="J185" s="199"/>
      <c r="K185" s="200">
        <f t="shared" si="2"/>
        <v>1</v>
      </c>
      <c r="L185" s="201">
        <v>1442448</v>
      </c>
    </row>
    <row r="186" spans="1:12" ht="49.5" hidden="1" x14ac:dyDescent="0.3">
      <c r="A186" s="122">
        <v>185</v>
      </c>
      <c r="B186" s="123">
        <v>1511289146</v>
      </c>
      <c r="C186" s="123" t="s">
        <v>2106</v>
      </c>
      <c r="D186" s="123" t="s">
        <v>2103</v>
      </c>
      <c r="E186" s="123" t="s">
        <v>2104</v>
      </c>
      <c r="F186" s="123" t="s">
        <v>2107</v>
      </c>
      <c r="G186" s="123" t="s">
        <v>1667</v>
      </c>
      <c r="H186" s="130" t="s">
        <v>1672</v>
      </c>
      <c r="I186" s="199" t="s">
        <v>1673</v>
      </c>
      <c r="J186" s="199"/>
      <c r="K186" s="200">
        <f t="shared" si="2"/>
        <v>1</v>
      </c>
      <c r="L186" s="201">
        <v>1863162</v>
      </c>
    </row>
    <row r="187" spans="1:12" ht="49.5" hidden="1" x14ac:dyDescent="0.3">
      <c r="A187" s="122">
        <v>186</v>
      </c>
      <c r="B187" s="123">
        <v>1511289244</v>
      </c>
      <c r="C187" s="123" t="s">
        <v>2108</v>
      </c>
      <c r="D187" s="123" t="s">
        <v>2109</v>
      </c>
      <c r="E187" s="123" t="s">
        <v>2104</v>
      </c>
      <c r="F187" s="123" t="s">
        <v>2110</v>
      </c>
      <c r="G187" s="123" t="s">
        <v>1667</v>
      </c>
      <c r="H187" s="130" t="s">
        <v>1672</v>
      </c>
      <c r="I187" s="199" t="s">
        <v>1673</v>
      </c>
      <c r="J187" s="199"/>
      <c r="K187" s="200">
        <f t="shared" si="2"/>
        <v>1</v>
      </c>
      <c r="L187" s="201">
        <v>2500243</v>
      </c>
    </row>
    <row r="188" spans="1:12" ht="49.5" hidden="1" x14ac:dyDescent="0.3">
      <c r="A188" s="122">
        <v>187</v>
      </c>
      <c r="B188" s="123">
        <v>221100065680</v>
      </c>
      <c r="C188" s="123" t="s">
        <v>2111</v>
      </c>
      <c r="D188" s="123" t="s">
        <v>2103</v>
      </c>
      <c r="E188" s="123" t="s">
        <v>2104</v>
      </c>
      <c r="F188" s="123" t="s">
        <v>2112</v>
      </c>
      <c r="G188" s="123" t="s">
        <v>1667</v>
      </c>
      <c r="H188" s="130" t="s">
        <v>1672</v>
      </c>
      <c r="I188" s="199" t="s">
        <v>1673</v>
      </c>
      <c r="J188" s="199"/>
      <c r="K188" s="200">
        <f t="shared" si="2"/>
        <v>1</v>
      </c>
      <c r="L188" s="201">
        <v>701992</v>
      </c>
    </row>
    <row r="189" spans="1:12" ht="49.5" hidden="1" x14ac:dyDescent="0.3">
      <c r="A189" s="122">
        <v>188</v>
      </c>
      <c r="B189" s="123">
        <v>251200039421</v>
      </c>
      <c r="C189" s="123" t="s">
        <v>2113</v>
      </c>
      <c r="D189" s="123" t="s">
        <v>1772</v>
      </c>
      <c r="E189" s="123" t="s">
        <v>1773</v>
      </c>
      <c r="F189" s="123" t="s">
        <v>2114</v>
      </c>
      <c r="G189" s="123" t="s">
        <v>1667</v>
      </c>
      <c r="H189" s="130"/>
      <c r="I189" s="199"/>
      <c r="J189" s="199"/>
      <c r="K189" s="200">
        <f t="shared" si="2"/>
        <v>1</v>
      </c>
      <c r="L189" s="201">
        <v>980864</v>
      </c>
    </row>
    <row r="190" spans="1:12" ht="49.5" hidden="1" x14ac:dyDescent="0.3">
      <c r="A190" s="122">
        <v>189</v>
      </c>
      <c r="B190" s="123">
        <v>25114326</v>
      </c>
      <c r="C190" s="123" t="s">
        <v>2115</v>
      </c>
      <c r="D190" s="123" t="s">
        <v>1772</v>
      </c>
      <c r="E190" s="123" t="s">
        <v>1773</v>
      </c>
      <c r="F190" s="123" t="s">
        <v>2116</v>
      </c>
      <c r="G190" s="123" t="s">
        <v>1667</v>
      </c>
      <c r="H190" s="130" t="s">
        <v>1672</v>
      </c>
      <c r="I190" s="199" t="s">
        <v>1673</v>
      </c>
      <c r="J190" s="199"/>
      <c r="K190" s="200">
        <f t="shared" si="2"/>
        <v>1</v>
      </c>
      <c r="L190" s="201">
        <v>1156363</v>
      </c>
    </row>
    <row r="191" spans="1:12" ht="66" hidden="1" x14ac:dyDescent="0.3">
      <c r="A191" s="122">
        <v>190</v>
      </c>
      <c r="B191" s="123">
        <v>221100336723</v>
      </c>
      <c r="C191" s="123" t="s">
        <v>2117</v>
      </c>
      <c r="D191" s="123" t="s">
        <v>2118</v>
      </c>
      <c r="E191" s="123" t="s">
        <v>2104</v>
      </c>
      <c r="F191" s="123" t="s">
        <v>2119</v>
      </c>
      <c r="G191" s="123" t="s">
        <v>1667</v>
      </c>
      <c r="H191" s="130" t="s">
        <v>1672</v>
      </c>
      <c r="I191" s="199" t="s">
        <v>1673</v>
      </c>
      <c r="J191" s="199"/>
      <c r="K191" s="200">
        <f t="shared" si="2"/>
        <v>1</v>
      </c>
      <c r="L191" s="201">
        <v>3163769</v>
      </c>
    </row>
    <row r="192" spans="1:12" ht="49.5" hidden="1" x14ac:dyDescent="0.3">
      <c r="A192" s="122">
        <v>191</v>
      </c>
      <c r="B192" s="123">
        <v>1611597519</v>
      </c>
      <c r="C192" s="123" t="s">
        <v>2120</v>
      </c>
      <c r="D192" s="123" t="s">
        <v>2103</v>
      </c>
      <c r="E192" s="123" t="s">
        <v>2104</v>
      </c>
      <c r="F192" s="123" t="s">
        <v>2121</v>
      </c>
      <c r="G192" s="123" t="s">
        <v>1667</v>
      </c>
      <c r="H192" s="130" t="s">
        <v>1672</v>
      </c>
      <c r="I192" s="199" t="s">
        <v>1673</v>
      </c>
      <c r="J192" s="199"/>
      <c r="K192" s="200">
        <f t="shared" si="2"/>
        <v>1</v>
      </c>
      <c r="L192" s="201">
        <v>2661317</v>
      </c>
    </row>
    <row r="193" spans="1:12" ht="49.5" hidden="1" x14ac:dyDescent="0.3">
      <c r="A193" s="122">
        <v>192</v>
      </c>
      <c r="B193" s="123">
        <v>1511420823</v>
      </c>
      <c r="C193" s="123" t="s">
        <v>2122</v>
      </c>
      <c r="D193" s="123" t="s">
        <v>2123</v>
      </c>
      <c r="E193" s="123" t="s">
        <v>2124</v>
      </c>
      <c r="F193" s="123" t="s">
        <v>2125</v>
      </c>
      <c r="G193" s="123" t="s">
        <v>1667</v>
      </c>
      <c r="H193" s="130" t="s">
        <v>1672</v>
      </c>
      <c r="I193" s="199" t="s">
        <v>1719</v>
      </c>
      <c r="J193" s="199"/>
      <c r="K193" s="200">
        <f t="shared" si="2"/>
        <v>1</v>
      </c>
      <c r="L193" s="201">
        <v>3961924</v>
      </c>
    </row>
    <row r="194" spans="1:12" ht="49.5" hidden="1" x14ac:dyDescent="0.3">
      <c r="A194" s="122">
        <v>193</v>
      </c>
      <c r="B194" s="123">
        <v>1611599019</v>
      </c>
      <c r="C194" s="123" t="s">
        <v>2126</v>
      </c>
      <c r="D194" s="123" t="s">
        <v>2103</v>
      </c>
      <c r="E194" s="123" t="s">
        <v>2104</v>
      </c>
      <c r="F194" s="123" t="s">
        <v>2127</v>
      </c>
      <c r="G194" s="123" t="s">
        <v>1667</v>
      </c>
      <c r="H194" s="130" t="s">
        <v>1672</v>
      </c>
      <c r="I194" s="199" t="s">
        <v>1673</v>
      </c>
      <c r="J194" s="199"/>
      <c r="K194" s="200">
        <f t="shared" ref="K194:K257" si="3">IF(L194="","",IF(L194&lt;&gt;0,1,0))</f>
        <v>1</v>
      </c>
      <c r="L194" s="201">
        <v>3050778</v>
      </c>
    </row>
    <row r="195" spans="1:12" ht="66" hidden="1" x14ac:dyDescent="0.3">
      <c r="A195" s="122">
        <v>194</v>
      </c>
      <c r="B195" s="123">
        <v>22104988</v>
      </c>
      <c r="C195" s="123" t="s">
        <v>2128</v>
      </c>
      <c r="D195" s="123" t="s">
        <v>2129</v>
      </c>
      <c r="E195" s="123" t="s">
        <v>2130</v>
      </c>
      <c r="F195" s="123" t="s">
        <v>2131</v>
      </c>
      <c r="G195" s="123" t="s">
        <v>1667</v>
      </c>
      <c r="H195" s="130" t="s">
        <v>1672</v>
      </c>
      <c r="I195" s="199" t="s">
        <v>1673</v>
      </c>
      <c r="J195" s="199"/>
      <c r="K195" s="200">
        <f t="shared" si="3"/>
        <v>1</v>
      </c>
      <c r="L195" s="201">
        <v>545726</v>
      </c>
    </row>
    <row r="196" spans="1:12" ht="49.5" hidden="1" x14ac:dyDescent="0.3">
      <c r="A196" s="122">
        <v>195</v>
      </c>
      <c r="B196" s="123">
        <v>221100365329</v>
      </c>
      <c r="C196" s="123" t="s">
        <v>2132</v>
      </c>
      <c r="D196" s="123" t="s">
        <v>2133</v>
      </c>
      <c r="E196" s="123" t="s">
        <v>2134</v>
      </c>
      <c r="F196" s="123" t="s">
        <v>2135</v>
      </c>
      <c r="G196" s="123" t="s">
        <v>1667</v>
      </c>
      <c r="H196" s="130" t="s">
        <v>1672</v>
      </c>
      <c r="I196" s="199" t="s">
        <v>1673</v>
      </c>
      <c r="J196" s="199"/>
      <c r="K196" s="200">
        <f t="shared" si="3"/>
        <v>1</v>
      </c>
      <c r="L196" s="201">
        <v>4459568</v>
      </c>
    </row>
    <row r="197" spans="1:12" ht="66" hidden="1" x14ac:dyDescent="0.3">
      <c r="A197" s="122">
        <v>196</v>
      </c>
      <c r="B197" s="123">
        <v>221100365149</v>
      </c>
      <c r="C197" s="123" t="s">
        <v>2136</v>
      </c>
      <c r="D197" s="123" t="s">
        <v>2137</v>
      </c>
      <c r="E197" s="123" t="s">
        <v>2130</v>
      </c>
      <c r="F197" s="123" t="s">
        <v>2138</v>
      </c>
      <c r="G197" s="123" t="s">
        <v>1667</v>
      </c>
      <c r="H197" s="130" t="s">
        <v>1672</v>
      </c>
      <c r="I197" s="199" t="s">
        <v>1673</v>
      </c>
      <c r="J197" s="199"/>
      <c r="K197" s="200">
        <f t="shared" si="3"/>
        <v>1</v>
      </c>
      <c r="L197" s="201">
        <v>1752575</v>
      </c>
    </row>
    <row r="198" spans="1:12" ht="66" hidden="1" x14ac:dyDescent="0.3">
      <c r="A198" s="122">
        <v>197</v>
      </c>
      <c r="B198" s="123">
        <v>1511288265</v>
      </c>
      <c r="C198" s="123" t="s">
        <v>2139</v>
      </c>
      <c r="D198" s="123" t="s">
        <v>2140</v>
      </c>
      <c r="E198" s="123" t="s">
        <v>2104</v>
      </c>
      <c r="F198" s="123" t="s">
        <v>2141</v>
      </c>
      <c r="G198" s="123" t="s">
        <v>1667</v>
      </c>
      <c r="H198" s="130"/>
      <c r="I198" s="199"/>
      <c r="J198" s="199"/>
      <c r="K198" s="200">
        <f t="shared" si="3"/>
        <v>1</v>
      </c>
      <c r="L198" s="201">
        <v>1877587</v>
      </c>
    </row>
    <row r="199" spans="1:12" ht="49.5" hidden="1" x14ac:dyDescent="0.3">
      <c r="A199" s="122">
        <v>198</v>
      </c>
      <c r="B199" s="123">
        <v>1511225111</v>
      </c>
      <c r="C199" s="123" t="s">
        <v>2142</v>
      </c>
      <c r="D199" s="123" t="s">
        <v>2143</v>
      </c>
      <c r="E199" s="123" t="s">
        <v>2104</v>
      </c>
      <c r="F199" s="123" t="s">
        <v>2144</v>
      </c>
      <c r="G199" s="123" t="s">
        <v>1667</v>
      </c>
      <c r="H199" s="130" t="s">
        <v>1672</v>
      </c>
      <c r="I199" s="199" t="s">
        <v>1673</v>
      </c>
      <c r="J199" s="199"/>
      <c r="K199" s="200">
        <f t="shared" si="3"/>
        <v>1</v>
      </c>
      <c r="L199" s="201">
        <v>1305415</v>
      </c>
    </row>
    <row r="200" spans="1:12" ht="66" hidden="1" x14ac:dyDescent="0.3">
      <c r="A200" s="122">
        <v>199</v>
      </c>
      <c r="B200" s="123">
        <v>221100364610</v>
      </c>
      <c r="C200" s="123" t="s">
        <v>2145</v>
      </c>
      <c r="D200" s="123" t="s">
        <v>2103</v>
      </c>
      <c r="E200" s="123" t="s">
        <v>2104</v>
      </c>
      <c r="F200" s="123" t="s">
        <v>2146</v>
      </c>
      <c r="G200" s="123" t="s">
        <v>1667</v>
      </c>
      <c r="H200" s="130" t="s">
        <v>1672</v>
      </c>
      <c r="I200" s="199" t="s">
        <v>1673</v>
      </c>
      <c r="J200" s="199"/>
      <c r="K200" s="200">
        <f t="shared" si="3"/>
        <v>1</v>
      </c>
      <c r="L200" s="201">
        <v>1827101</v>
      </c>
    </row>
    <row r="201" spans="1:12" ht="49.5" hidden="1" x14ac:dyDescent="0.3">
      <c r="A201" s="122">
        <v>200</v>
      </c>
      <c r="B201" s="123">
        <v>1511289930</v>
      </c>
      <c r="C201" s="123" t="s">
        <v>2147</v>
      </c>
      <c r="D201" s="123" t="s">
        <v>2103</v>
      </c>
      <c r="E201" s="123" t="s">
        <v>2104</v>
      </c>
      <c r="F201" s="123" t="s">
        <v>2148</v>
      </c>
      <c r="G201" s="123" t="s">
        <v>1667</v>
      </c>
      <c r="H201" s="130" t="s">
        <v>1672</v>
      </c>
      <c r="I201" s="199" t="s">
        <v>1673</v>
      </c>
      <c r="J201" s="199"/>
      <c r="K201" s="200">
        <f t="shared" si="3"/>
        <v>1</v>
      </c>
      <c r="L201" s="201">
        <v>3971540</v>
      </c>
    </row>
    <row r="202" spans="1:12" ht="49.5" hidden="1" x14ac:dyDescent="0.3">
      <c r="A202" s="122">
        <v>201</v>
      </c>
      <c r="B202" s="123">
        <v>1511221641</v>
      </c>
      <c r="C202" s="123" t="s">
        <v>2149</v>
      </c>
      <c r="D202" s="123" t="s">
        <v>2150</v>
      </c>
      <c r="E202" s="123" t="s">
        <v>2134</v>
      </c>
      <c r="F202" s="123" t="s">
        <v>2151</v>
      </c>
      <c r="G202" s="123" t="s">
        <v>1667</v>
      </c>
      <c r="H202" s="130"/>
      <c r="I202" s="199"/>
      <c r="J202" s="199"/>
      <c r="K202" s="200">
        <f t="shared" si="3"/>
        <v>0</v>
      </c>
      <c r="L202" s="201">
        <v>0</v>
      </c>
    </row>
    <row r="203" spans="1:12" ht="66" hidden="1" x14ac:dyDescent="0.3">
      <c r="A203" s="122">
        <v>202</v>
      </c>
      <c r="B203" s="123">
        <v>1511290191</v>
      </c>
      <c r="C203" s="123" t="s">
        <v>2152</v>
      </c>
      <c r="D203" s="123" t="s">
        <v>2153</v>
      </c>
      <c r="E203" s="123" t="s">
        <v>2104</v>
      </c>
      <c r="F203" s="123" t="s">
        <v>2154</v>
      </c>
      <c r="G203" s="123" t="s">
        <v>1667</v>
      </c>
      <c r="H203" s="130" t="s">
        <v>1672</v>
      </c>
      <c r="I203" s="199" t="s">
        <v>1673</v>
      </c>
      <c r="J203" s="199"/>
      <c r="K203" s="200">
        <f t="shared" si="3"/>
        <v>1</v>
      </c>
      <c r="L203" s="201">
        <v>2488223</v>
      </c>
    </row>
    <row r="204" spans="1:12" ht="66" hidden="1" x14ac:dyDescent="0.3">
      <c r="A204" s="122">
        <v>203</v>
      </c>
      <c r="B204" s="123">
        <v>1611266905</v>
      </c>
      <c r="C204" s="123" t="s">
        <v>2155</v>
      </c>
      <c r="D204" s="123" t="s">
        <v>2103</v>
      </c>
      <c r="E204" s="123" t="s">
        <v>2104</v>
      </c>
      <c r="F204" s="123" t="s">
        <v>2156</v>
      </c>
      <c r="G204" s="123" t="s">
        <v>1667</v>
      </c>
      <c r="H204" s="130"/>
      <c r="I204" s="199"/>
      <c r="J204" s="199"/>
      <c r="K204" s="200">
        <f t="shared" si="3"/>
        <v>1</v>
      </c>
      <c r="L204" s="201">
        <v>3127708</v>
      </c>
    </row>
    <row r="205" spans="1:12" ht="49.5" hidden="1" x14ac:dyDescent="0.3">
      <c r="A205" s="122">
        <v>204</v>
      </c>
      <c r="B205" s="123">
        <v>22408887</v>
      </c>
      <c r="C205" s="123" t="s">
        <v>2157</v>
      </c>
      <c r="D205" s="123" t="s">
        <v>2158</v>
      </c>
      <c r="E205" s="123" t="s">
        <v>2159</v>
      </c>
      <c r="F205" s="123" t="s">
        <v>2160</v>
      </c>
      <c r="G205" s="123" t="s">
        <v>1667</v>
      </c>
      <c r="H205" s="130" t="s">
        <v>1672</v>
      </c>
      <c r="I205" s="199" t="s">
        <v>1673</v>
      </c>
      <c r="J205" s="199"/>
      <c r="K205" s="200">
        <f t="shared" si="3"/>
        <v>1</v>
      </c>
      <c r="L205" s="201">
        <v>2538709</v>
      </c>
    </row>
    <row r="206" spans="1:12" ht="49.5" hidden="1" x14ac:dyDescent="0.3">
      <c r="A206" s="122">
        <v>205</v>
      </c>
      <c r="B206" s="123">
        <v>22408471</v>
      </c>
      <c r="C206" s="123" t="s">
        <v>2161</v>
      </c>
      <c r="D206" s="123" t="s">
        <v>2162</v>
      </c>
      <c r="E206" s="123" t="s">
        <v>2104</v>
      </c>
      <c r="F206" s="123" t="s">
        <v>2163</v>
      </c>
      <c r="G206" s="123" t="s">
        <v>1667</v>
      </c>
      <c r="H206" s="130" t="s">
        <v>1672</v>
      </c>
      <c r="I206" s="199" t="s">
        <v>1673</v>
      </c>
      <c r="J206" s="199"/>
      <c r="K206" s="200">
        <f t="shared" si="3"/>
        <v>1</v>
      </c>
      <c r="L206" s="201">
        <v>485624</v>
      </c>
    </row>
    <row r="207" spans="1:12" ht="49.5" hidden="1" x14ac:dyDescent="0.3">
      <c r="A207" s="122">
        <v>206</v>
      </c>
      <c r="B207" s="123">
        <v>22408046</v>
      </c>
      <c r="C207" s="123" t="s">
        <v>2164</v>
      </c>
      <c r="D207" s="123" t="s">
        <v>2133</v>
      </c>
      <c r="E207" s="123" t="s">
        <v>2134</v>
      </c>
      <c r="F207" s="123" t="s">
        <v>2165</v>
      </c>
      <c r="G207" s="123" t="s">
        <v>1667</v>
      </c>
      <c r="H207" s="130" t="s">
        <v>1672</v>
      </c>
      <c r="I207" s="199" t="s">
        <v>1673</v>
      </c>
      <c r="J207" s="199"/>
      <c r="K207" s="200">
        <f t="shared" si="3"/>
        <v>1</v>
      </c>
      <c r="L207" s="201">
        <v>4010006</v>
      </c>
    </row>
    <row r="208" spans="1:12" ht="66" hidden="1" x14ac:dyDescent="0.3">
      <c r="A208" s="122">
        <v>207</v>
      </c>
      <c r="B208" s="123">
        <v>221100316103</v>
      </c>
      <c r="C208" s="123" t="s">
        <v>2166</v>
      </c>
      <c r="D208" s="123" t="s">
        <v>2103</v>
      </c>
      <c r="E208" s="123" t="s">
        <v>2104</v>
      </c>
      <c r="F208" s="123" t="s">
        <v>2167</v>
      </c>
      <c r="G208" s="123" t="s">
        <v>1667</v>
      </c>
      <c r="H208" s="130" t="s">
        <v>1672</v>
      </c>
      <c r="I208" s="199" t="s">
        <v>1673</v>
      </c>
      <c r="J208" s="199"/>
      <c r="K208" s="200">
        <f t="shared" si="3"/>
        <v>1</v>
      </c>
      <c r="L208" s="201">
        <v>1581884</v>
      </c>
    </row>
    <row r="209" spans="1:12" ht="66" hidden="1" x14ac:dyDescent="0.3">
      <c r="A209" s="122">
        <v>208</v>
      </c>
      <c r="B209" s="123">
        <v>1511230139</v>
      </c>
      <c r="C209" s="123" t="s">
        <v>2168</v>
      </c>
      <c r="D209" s="123" t="s">
        <v>2169</v>
      </c>
      <c r="E209" s="123" t="s">
        <v>2104</v>
      </c>
      <c r="F209" s="123" t="s">
        <v>2170</v>
      </c>
      <c r="G209" s="123" t="s">
        <v>1667</v>
      </c>
      <c r="H209" s="130" t="s">
        <v>1672</v>
      </c>
      <c r="I209" s="199" t="s">
        <v>1673</v>
      </c>
      <c r="J209" s="199"/>
      <c r="K209" s="200">
        <f t="shared" si="3"/>
        <v>1</v>
      </c>
      <c r="L209" s="201">
        <v>2142035</v>
      </c>
    </row>
    <row r="210" spans="1:12" ht="49.5" hidden="1" x14ac:dyDescent="0.3">
      <c r="A210" s="122">
        <v>209</v>
      </c>
      <c r="B210" s="123">
        <v>211100286009</v>
      </c>
      <c r="C210" s="123" t="s">
        <v>2171</v>
      </c>
      <c r="D210" s="123" t="s">
        <v>2103</v>
      </c>
      <c r="E210" s="123" t="s">
        <v>2104</v>
      </c>
      <c r="F210" s="123" t="s">
        <v>2172</v>
      </c>
      <c r="G210" s="123" t="s">
        <v>1667</v>
      </c>
      <c r="H210" s="130" t="s">
        <v>1672</v>
      </c>
      <c r="I210" s="199" t="s">
        <v>1673</v>
      </c>
      <c r="J210" s="199"/>
      <c r="K210" s="200">
        <f t="shared" si="3"/>
        <v>1</v>
      </c>
      <c r="L210" s="201">
        <v>944803</v>
      </c>
    </row>
    <row r="211" spans="1:12" ht="49.5" hidden="1" x14ac:dyDescent="0.3">
      <c r="A211" s="122">
        <v>210</v>
      </c>
      <c r="B211" s="123">
        <v>221200041156</v>
      </c>
      <c r="C211" s="123" t="s">
        <v>2173</v>
      </c>
      <c r="D211" s="123" t="s">
        <v>2174</v>
      </c>
      <c r="E211" s="123" t="s">
        <v>2130</v>
      </c>
      <c r="F211" s="123" t="s">
        <v>2175</v>
      </c>
      <c r="G211" s="123" t="s">
        <v>1667</v>
      </c>
      <c r="H211" s="130" t="s">
        <v>1672</v>
      </c>
      <c r="I211" s="199" t="s">
        <v>1673</v>
      </c>
      <c r="J211" s="199"/>
      <c r="K211" s="200">
        <f t="shared" si="3"/>
        <v>1</v>
      </c>
      <c r="L211" s="201">
        <v>2579578</v>
      </c>
    </row>
    <row r="212" spans="1:12" ht="49.5" hidden="1" x14ac:dyDescent="0.3">
      <c r="A212" s="122">
        <v>211</v>
      </c>
      <c r="B212" s="123">
        <v>22104669</v>
      </c>
      <c r="C212" s="123" t="s">
        <v>2176</v>
      </c>
      <c r="D212" s="123" t="s">
        <v>2177</v>
      </c>
      <c r="E212" s="123" t="s">
        <v>2130</v>
      </c>
      <c r="F212" s="123" t="s">
        <v>2178</v>
      </c>
      <c r="G212" s="123" t="s">
        <v>1667</v>
      </c>
      <c r="H212" s="130" t="s">
        <v>1672</v>
      </c>
      <c r="I212" s="199" t="s">
        <v>1673</v>
      </c>
      <c r="J212" s="199"/>
      <c r="K212" s="200">
        <f t="shared" si="3"/>
        <v>1</v>
      </c>
      <c r="L212" s="201">
        <v>1533803</v>
      </c>
    </row>
    <row r="213" spans="1:12" ht="66" hidden="1" x14ac:dyDescent="0.3">
      <c r="A213" s="122">
        <v>212</v>
      </c>
      <c r="B213" s="123">
        <v>221100315825</v>
      </c>
      <c r="C213" s="123" t="s">
        <v>2179</v>
      </c>
      <c r="D213" s="123" t="s">
        <v>2180</v>
      </c>
      <c r="E213" s="123" t="s">
        <v>2130</v>
      </c>
      <c r="F213" s="123" t="s">
        <v>2163</v>
      </c>
      <c r="G213" s="123" t="s">
        <v>1667</v>
      </c>
      <c r="H213" s="130" t="s">
        <v>1672</v>
      </c>
      <c r="I213" s="199" t="s">
        <v>1673</v>
      </c>
      <c r="J213" s="199"/>
      <c r="K213" s="200">
        <f t="shared" si="3"/>
        <v>1</v>
      </c>
      <c r="L213" s="201">
        <v>1079432</v>
      </c>
    </row>
    <row r="214" spans="1:12" ht="33" hidden="1" x14ac:dyDescent="0.3">
      <c r="A214" s="122">
        <v>213</v>
      </c>
      <c r="B214" s="123">
        <v>21078034</v>
      </c>
      <c r="C214" s="123" t="s">
        <v>2181</v>
      </c>
      <c r="D214" s="123" t="s">
        <v>2182</v>
      </c>
      <c r="E214" s="123" t="s">
        <v>2183</v>
      </c>
      <c r="F214" s="123" t="s">
        <v>2184</v>
      </c>
      <c r="G214" s="123" t="s">
        <v>1667</v>
      </c>
      <c r="H214" s="130"/>
      <c r="I214" s="199"/>
      <c r="J214" s="199"/>
      <c r="K214" s="200">
        <f t="shared" si="3"/>
        <v>0</v>
      </c>
      <c r="L214" s="201">
        <v>0</v>
      </c>
    </row>
    <row r="215" spans="1:12" ht="33" hidden="1" x14ac:dyDescent="0.3">
      <c r="A215" s="122">
        <v>214</v>
      </c>
      <c r="B215" s="123">
        <v>21031133</v>
      </c>
      <c r="C215" s="123" t="s">
        <v>2185</v>
      </c>
      <c r="D215" s="123" t="s">
        <v>2186</v>
      </c>
      <c r="E215" s="123" t="s">
        <v>2187</v>
      </c>
      <c r="F215" s="123" t="s">
        <v>2188</v>
      </c>
      <c r="G215" s="123" t="s">
        <v>1667</v>
      </c>
      <c r="H215" s="130" t="s">
        <v>1672</v>
      </c>
      <c r="I215" s="199" t="s">
        <v>1719</v>
      </c>
      <c r="J215" s="199"/>
      <c r="K215" s="200">
        <f t="shared" si="3"/>
        <v>1</v>
      </c>
      <c r="L215" s="201">
        <v>254832</v>
      </c>
    </row>
    <row r="216" spans="1:12" ht="49.5" hidden="1" x14ac:dyDescent="0.3">
      <c r="A216" s="122">
        <v>215</v>
      </c>
      <c r="B216" s="123">
        <v>21088678</v>
      </c>
      <c r="C216" s="123" t="s">
        <v>2189</v>
      </c>
      <c r="D216" s="123" t="s">
        <v>2190</v>
      </c>
      <c r="E216" s="123" t="s">
        <v>2124</v>
      </c>
      <c r="F216" s="123" t="s">
        <v>2191</v>
      </c>
      <c r="G216" s="123" t="s">
        <v>1667</v>
      </c>
      <c r="H216" s="130" t="s">
        <v>1672</v>
      </c>
      <c r="I216" s="199" t="s">
        <v>1673</v>
      </c>
      <c r="J216" s="199"/>
      <c r="K216" s="200">
        <f t="shared" si="3"/>
        <v>1</v>
      </c>
      <c r="L216" s="201">
        <v>2567557</v>
      </c>
    </row>
    <row r="217" spans="1:12" ht="49.5" hidden="1" x14ac:dyDescent="0.3">
      <c r="A217" s="122">
        <v>216</v>
      </c>
      <c r="B217" s="123">
        <v>21000309</v>
      </c>
      <c r="C217" s="123" t="s">
        <v>2192</v>
      </c>
      <c r="D217" s="123" t="s">
        <v>2182</v>
      </c>
      <c r="E217" s="123" t="s">
        <v>2193</v>
      </c>
      <c r="F217" s="123" t="s">
        <v>2178</v>
      </c>
      <c r="G217" s="123" t="s">
        <v>1667</v>
      </c>
      <c r="H217" s="130" t="s">
        <v>1672</v>
      </c>
      <c r="I217" s="199" t="s">
        <v>1719</v>
      </c>
      <c r="J217" s="199"/>
      <c r="K217" s="200">
        <f t="shared" si="3"/>
        <v>1</v>
      </c>
      <c r="L217" s="201">
        <v>5748155</v>
      </c>
    </row>
    <row r="218" spans="1:12" ht="49.5" hidden="1" x14ac:dyDescent="0.3">
      <c r="A218" s="122">
        <v>217</v>
      </c>
      <c r="B218" s="123">
        <v>22457671</v>
      </c>
      <c r="C218" s="123" t="s">
        <v>2194</v>
      </c>
      <c r="D218" s="123" t="s">
        <v>2195</v>
      </c>
      <c r="E218" s="123" t="s">
        <v>2124</v>
      </c>
      <c r="F218" s="123" t="s">
        <v>2196</v>
      </c>
      <c r="G218" s="123" t="s">
        <v>1667</v>
      </c>
      <c r="H218" s="130" t="s">
        <v>1672</v>
      </c>
      <c r="I218" s="199" t="s">
        <v>1719</v>
      </c>
      <c r="J218" s="199"/>
      <c r="K218" s="200">
        <f t="shared" si="3"/>
        <v>1</v>
      </c>
      <c r="L218" s="201">
        <v>8673920</v>
      </c>
    </row>
    <row r="219" spans="1:12" ht="49.5" hidden="1" x14ac:dyDescent="0.3">
      <c r="A219" s="122">
        <v>218</v>
      </c>
      <c r="B219" s="123">
        <v>251200039689</v>
      </c>
      <c r="C219" s="123" t="s">
        <v>2197</v>
      </c>
      <c r="D219" s="123" t="s">
        <v>1772</v>
      </c>
      <c r="E219" s="123" t="s">
        <v>1773</v>
      </c>
      <c r="F219" s="123" t="s">
        <v>2198</v>
      </c>
      <c r="G219" s="123" t="s">
        <v>1667</v>
      </c>
      <c r="H219" s="130"/>
      <c r="I219" s="199"/>
      <c r="J219" s="199"/>
      <c r="K219" s="200">
        <f t="shared" si="3"/>
        <v>1</v>
      </c>
      <c r="L219" s="201">
        <v>1137130</v>
      </c>
    </row>
    <row r="220" spans="1:12" ht="49.5" hidden="1" x14ac:dyDescent="0.3">
      <c r="A220" s="122">
        <v>219</v>
      </c>
      <c r="B220" s="123">
        <v>21083093</v>
      </c>
      <c r="C220" s="123" t="s">
        <v>2199</v>
      </c>
      <c r="D220" s="123" t="s">
        <v>2182</v>
      </c>
      <c r="E220" s="123" t="s">
        <v>2130</v>
      </c>
      <c r="F220" s="123" t="s">
        <v>2200</v>
      </c>
      <c r="G220" s="123" t="s">
        <v>1667</v>
      </c>
      <c r="H220" s="130" t="s">
        <v>1672</v>
      </c>
      <c r="I220" s="199" t="s">
        <v>1673</v>
      </c>
      <c r="J220" s="199"/>
      <c r="K220" s="200">
        <f t="shared" si="3"/>
        <v>1</v>
      </c>
      <c r="L220" s="201">
        <v>5933270</v>
      </c>
    </row>
    <row r="221" spans="1:12" ht="49.5" hidden="1" x14ac:dyDescent="0.3">
      <c r="A221" s="122">
        <v>220</v>
      </c>
      <c r="B221" s="123">
        <v>251200039688</v>
      </c>
      <c r="C221" s="123" t="s">
        <v>2201</v>
      </c>
      <c r="D221" s="123" t="s">
        <v>1772</v>
      </c>
      <c r="E221" s="123" t="s">
        <v>1773</v>
      </c>
      <c r="F221" s="123" t="s">
        <v>2202</v>
      </c>
      <c r="G221" s="123" t="s">
        <v>1667</v>
      </c>
      <c r="H221" s="130" t="s">
        <v>1672</v>
      </c>
      <c r="I221" s="199" t="s">
        <v>1673</v>
      </c>
      <c r="J221" s="199"/>
      <c r="K221" s="200">
        <f t="shared" si="3"/>
        <v>1</v>
      </c>
      <c r="L221" s="201">
        <v>1334265</v>
      </c>
    </row>
    <row r="222" spans="1:12" ht="49.5" hidden="1" x14ac:dyDescent="0.3">
      <c r="A222" s="122">
        <v>221</v>
      </c>
      <c r="B222" s="123">
        <v>211100272508</v>
      </c>
      <c r="C222" s="123" t="s">
        <v>2203</v>
      </c>
      <c r="D222" s="123" t="s">
        <v>2204</v>
      </c>
      <c r="E222" s="123" t="s">
        <v>2130</v>
      </c>
      <c r="F222" s="123" t="s">
        <v>2205</v>
      </c>
      <c r="G222" s="123" t="s">
        <v>1667</v>
      </c>
      <c r="H222" s="130" t="s">
        <v>1672</v>
      </c>
      <c r="I222" s="199" t="s">
        <v>1673</v>
      </c>
      <c r="J222" s="199"/>
      <c r="K222" s="200">
        <f t="shared" si="3"/>
        <v>1</v>
      </c>
      <c r="L222" s="201">
        <v>728437</v>
      </c>
    </row>
    <row r="223" spans="1:12" ht="66" hidden="1" x14ac:dyDescent="0.3">
      <c r="A223" s="122">
        <v>222</v>
      </c>
      <c r="B223" s="123">
        <v>221100360528</v>
      </c>
      <c r="C223" s="123" t="s">
        <v>2206</v>
      </c>
      <c r="D223" s="123" t="s">
        <v>2207</v>
      </c>
      <c r="E223" s="123" t="s">
        <v>2208</v>
      </c>
      <c r="F223" s="123" t="s">
        <v>2209</v>
      </c>
      <c r="G223" s="123" t="s">
        <v>1667</v>
      </c>
      <c r="H223" s="130"/>
      <c r="I223" s="199"/>
      <c r="J223" s="199"/>
      <c r="K223" s="200">
        <f t="shared" si="3"/>
        <v>0</v>
      </c>
      <c r="L223" s="201">
        <v>0</v>
      </c>
    </row>
    <row r="224" spans="1:12" ht="49.5" hidden="1" x14ac:dyDescent="0.3">
      <c r="A224" s="122">
        <v>223</v>
      </c>
      <c r="B224" s="123">
        <v>251200039417</v>
      </c>
      <c r="C224" s="123" t="s">
        <v>2210</v>
      </c>
      <c r="D224" s="123" t="s">
        <v>1772</v>
      </c>
      <c r="E224" s="123" t="s">
        <v>1773</v>
      </c>
      <c r="F224" s="123" t="s">
        <v>2211</v>
      </c>
      <c r="G224" s="123" t="s">
        <v>1667</v>
      </c>
      <c r="H224" s="130" t="s">
        <v>1672</v>
      </c>
      <c r="I224" s="199" t="s">
        <v>1673</v>
      </c>
      <c r="J224" s="199"/>
      <c r="K224" s="200">
        <f t="shared" si="3"/>
        <v>1</v>
      </c>
      <c r="L224" s="201">
        <v>1122706</v>
      </c>
    </row>
    <row r="225" spans="1:12" ht="49.5" hidden="1" x14ac:dyDescent="0.3">
      <c r="A225" s="122">
        <v>224</v>
      </c>
      <c r="B225" s="123">
        <v>251200039414</v>
      </c>
      <c r="C225" s="123" t="s">
        <v>2212</v>
      </c>
      <c r="D225" s="123" t="s">
        <v>1772</v>
      </c>
      <c r="E225" s="123" t="s">
        <v>1773</v>
      </c>
      <c r="F225" s="123" t="s">
        <v>2213</v>
      </c>
      <c r="G225" s="123" t="s">
        <v>1667</v>
      </c>
      <c r="H225" s="130" t="s">
        <v>1672</v>
      </c>
      <c r="I225" s="199" t="s">
        <v>1673</v>
      </c>
      <c r="J225" s="199"/>
      <c r="K225" s="200">
        <f t="shared" si="3"/>
        <v>1</v>
      </c>
      <c r="L225" s="201">
        <v>1394366</v>
      </c>
    </row>
    <row r="226" spans="1:12" ht="49.5" hidden="1" x14ac:dyDescent="0.3">
      <c r="A226" s="122">
        <v>225</v>
      </c>
      <c r="B226" s="123">
        <v>221100315336</v>
      </c>
      <c r="C226" s="123" t="s">
        <v>2214</v>
      </c>
      <c r="D226" s="123" t="s">
        <v>2215</v>
      </c>
      <c r="E226" s="123" t="s">
        <v>2134</v>
      </c>
      <c r="F226" s="123" t="s">
        <v>2216</v>
      </c>
      <c r="G226" s="123" t="s">
        <v>1667</v>
      </c>
      <c r="H226" s="130" t="s">
        <v>1672</v>
      </c>
      <c r="I226" s="199" t="s">
        <v>1673</v>
      </c>
      <c r="J226" s="199"/>
      <c r="K226" s="200">
        <f t="shared" si="3"/>
        <v>1</v>
      </c>
      <c r="L226" s="201">
        <v>1331861</v>
      </c>
    </row>
    <row r="227" spans="1:12" ht="66" hidden="1" x14ac:dyDescent="0.3">
      <c r="A227" s="122">
        <v>226</v>
      </c>
      <c r="B227" s="123">
        <v>221100336691</v>
      </c>
      <c r="C227" s="123" t="s">
        <v>2217</v>
      </c>
      <c r="D227" s="123" t="s">
        <v>2218</v>
      </c>
      <c r="E227" s="123" t="s">
        <v>2130</v>
      </c>
      <c r="F227" s="123" t="s">
        <v>2219</v>
      </c>
      <c r="G227" s="123" t="s">
        <v>1667</v>
      </c>
      <c r="H227" s="130" t="s">
        <v>1672</v>
      </c>
      <c r="I227" s="199" t="s">
        <v>1673</v>
      </c>
      <c r="J227" s="199"/>
      <c r="K227" s="200">
        <f t="shared" si="3"/>
        <v>1</v>
      </c>
      <c r="L227" s="201">
        <v>1697280</v>
      </c>
    </row>
    <row r="228" spans="1:12" ht="66" hidden="1" x14ac:dyDescent="0.3">
      <c r="A228" s="122">
        <v>227</v>
      </c>
      <c r="B228" s="123">
        <v>221100315911</v>
      </c>
      <c r="C228" s="123" t="s">
        <v>2220</v>
      </c>
      <c r="D228" s="123" t="s">
        <v>2221</v>
      </c>
      <c r="E228" s="123" t="s">
        <v>2208</v>
      </c>
      <c r="F228" s="123" t="s">
        <v>2121</v>
      </c>
      <c r="G228" s="123" t="s">
        <v>1667</v>
      </c>
      <c r="H228" s="130"/>
      <c r="I228" s="199"/>
      <c r="J228" s="199"/>
      <c r="K228" s="200">
        <f t="shared" si="3"/>
        <v>0</v>
      </c>
      <c r="L228" s="201">
        <v>0</v>
      </c>
    </row>
    <row r="229" spans="1:12" ht="49.5" hidden="1" x14ac:dyDescent="0.3">
      <c r="A229" s="122">
        <v>228</v>
      </c>
      <c r="B229" s="123">
        <v>1611598810</v>
      </c>
      <c r="C229" s="123" t="s">
        <v>2222</v>
      </c>
      <c r="D229" s="123" t="s">
        <v>2103</v>
      </c>
      <c r="E229" s="123" t="s">
        <v>2104</v>
      </c>
      <c r="F229" s="123" t="s">
        <v>2223</v>
      </c>
      <c r="G229" s="123" t="s">
        <v>1667</v>
      </c>
      <c r="H229" s="130"/>
      <c r="I229" s="199"/>
      <c r="J229" s="199"/>
      <c r="K229" s="200">
        <f t="shared" si="3"/>
        <v>1</v>
      </c>
      <c r="L229" s="201">
        <v>1009714</v>
      </c>
    </row>
    <row r="230" spans="1:12" ht="49.5" hidden="1" x14ac:dyDescent="0.3">
      <c r="A230" s="122">
        <v>229</v>
      </c>
      <c r="B230" s="123">
        <v>21032847</v>
      </c>
      <c r="C230" s="123" t="s">
        <v>2224</v>
      </c>
      <c r="D230" s="123" t="s">
        <v>2182</v>
      </c>
      <c r="E230" s="123" t="s">
        <v>2130</v>
      </c>
      <c r="F230" s="123" t="s">
        <v>2225</v>
      </c>
      <c r="G230" s="123" t="s">
        <v>1667</v>
      </c>
      <c r="H230" s="130" t="s">
        <v>1672</v>
      </c>
      <c r="I230" s="199" t="s">
        <v>1719</v>
      </c>
      <c r="J230" s="199"/>
      <c r="K230" s="200">
        <f t="shared" si="3"/>
        <v>1</v>
      </c>
      <c r="L230" s="201">
        <v>17859909</v>
      </c>
    </row>
    <row r="231" spans="1:12" ht="49.5" hidden="1" x14ac:dyDescent="0.3">
      <c r="A231" s="122">
        <v>230</v>
      </c>
      <c r="B231" s="123">
        <v>21088680</v>
      </c>
      <c r="C231" s="123" t="s">
        <v>2226</v>
      </c>
      <c r="D231" s="123" t="s">
        <v>2227</v>
      </c>
      <c r="E231" s="123" t="s">
        <v>2124</v>
      </c>
      <c r="F231" s="123" t="s">
        <v>2228</v>
      </c>
      <c r="G231" s="123" t="s">
        <v>1667</v>
      </c>
      <c r="H231" s="130" t="s">
        <v>1672</v>
      </c>
      <c r="I231" s="199" t="s">
        <v>1673</v>
      </c>
      <c r="J231" s="199"/>
      <c r="K231" s="200">
        <f t="shared" si="3"/>
        <v>1</v>
      </c>
      <c r="L231" s="201">
        <v>2137227</v>
      </c>
    </row>
    <row r="232" spans="1:12" ht="49.5" hidden="1" x14ac:dyDescent="0.3">
      <c r="A232" s="122">
        <v>231</v>
      </c>
      <c r="B232" s="123">
        <v>1611596539</v>
      </c>
      <c r="C232" s="123" t="s">
        <v>2229</v>
      </c>
      <c r="D232" s="123" t="s">
        <v>2230</v>
      </c>
      <c r="E232" s="123" t="s">
        <v>2124</v>
      </c>
      <c r="F232" s="123" t="s">
        <v>2231</v>
      </c>
      <c r="G232" s="123" t="s">
        <v>1667</v>
      </c>
      <c r="H232" s="130" t="s">
        <v>1672</v>
      </c>
      <c r="I232" s="199" t="s">
        <v>1673</v>
      </c>
      <c r="J232" s="199"/>
      <c r="K232" s="200">
        <f t="shared" si="3"/>
        <v>1</v>
      </c>
      <c r="L232" s="201">
        <v>1663623</v>
      </c>
    </row>
    <row r="233" spans="1:12" ht="49.5" hidden="1" x14ac:dyDescent="0.3">
      <c r="A233" s="122">
        <v>232</v>
      </c>
      <c r="B233" s="123">
        <v>251200039422</v>
      </c>
      <c r="C233" s="123" t="s">
        <v>2232</v>
      </c>
      <c r="D233" s="123" t="s">
        <v>1772</v>
      </c>
      <c r="E233" s="123" t="s">
        <v>1773</v>
      </c>
      <c r="F233" s="123" t="s">
        <v>2233</v>
      </c>
      <c r="G233" s="123" t="s">
        <v>1667</v>
      </c>
      <c r="H233" s="130" t="s">
        <v>1672</v>
      </c>
      <c r="I233" s="199" t="s">
        <v>1673</v>
      </c>
      <c r="J233" s="199"/>
      <c r="K233" s="200">
        <f t="shared" si="3"/>
        <v>1</v>
      </c>
      <c r="L233" s="201">
        <v>990481</v>
      </c>
    </row>
    <row r="234" spans="1:12" ht="49.5" hidden="1" x14ac:dyDescent="0.3">
      <c r="A234" s="122">
        <v>233</v>
      </c>
      <c r="B234" s="123">
        <v>251200039686</v>
      </c>
      <c r="C234" s="123" t="s">
        <v>2234</v>
      </c>
      <c r="D234" s="123" t="s">
        <v>1772</v>
      </c>
      <c r="E234" s="123" t="s">
        <v>1773</v>
      </c>
      <c r="F234" s="123" t="s">
        <v>2235</v>
      </c>
      <c r="G234" s="123" t="s">
        <v>1667</v>
      </c>
      <c r="H234" s="130" t="s">
        <v>1672</v>
      </c>
      <c r="I234" s="199" t="s">
        <v>1673</v>
      </c>
      <c r="J234" s="199"/>
      <c r="K234" s="200">
        <f t="shared" si="3"/>
        <v>1</v>
      </c>
      <c r="L234" s="201">
        <v>593807</v>
      </c>
    </row>
    <row r="235" spans="1:12" ht="49.5" hidden="1" x14ac:dyDescent="0.3">
      <c r="A235" s="122">
        <v>234</v>
      </c>
      <c r="B235" s="123">
        <v>2011526392</v>
      </c>
      <c r="C235" s="123" t="s">
        <v>2236</v>
      </c>
      <c r="D235" s="123" t="s">
        <v>2237</v>
      </c>
      <c r="E235" s="123" t="s">
        <v>2238</v>
      </c>
      <c r="F235" s="123" t="s">
        <v>2239</v>
      </c>
      <c r="G235" s="123" t="s">
        <v>1667</v>
      </c>
      <c r="H235" s="130" t="s">
        <v>1672</v>
      </c>
      <c r="I235" s="199" t="s">
        <v>1673</v>
      </c>
      <c r="J235" s="199"/>
      <c r="K235" s="200">
        <f t="shared" si="3"/>
        <v>1</v>
      </c>
      <c r="L235" s="201">
        <v>2024235</v>
      </c>
    </row>
    <row r="236" spans="1:12" ht="66" hidden="1" x14ac:dyDescent="0.3">
      <c r="A236" s="122">
        <v>235</v>
      </c>
      <c r="B236" s="123">
        <v>2011581182</v>
      </c>
      <c r="C236" s="123" t="s">
        <v>2240</v>
      </c>
      <c r="D236" s="123" t="s">
        <v>2241</v>
      </c>
      <c r="E236" s="123" t="s">
        <v>2104</v>
      </c>
      <c r="F236" s="123" t="s">
        <v>2242</v>
      </c>
      <c r="G236" s="123" t="s">
        <v>1667</v>
      </c>
      <c r="H236" s="130" t="s">
        <v>1672</v>
      </c>
      <c r="I236" s="199" t="s">
        <v>1673</v>
      </c>
      <c r="J236" s="199"/>
      <c r="K236" s="200">
        <f t="shared" si="3"/>
        <v>1</v>
      </c>
      <c r="L236" s="201">
        <v>2733439</v>
      </c>
    </row>
    <row r="237" spans="1:12" ht="49.5" hidden="1" x14ac:dyDescent="0.3">
      <c r="A237" s="122">
        <v>236</v>
      </c>
      <c r="B237" s="123">
        <v>21080431</v>
      </c>
      <c r="C237" s="123" t="s">
        <v>2243</v>
      </c>
      <c r="D237" s="123" t="s">
        <v>2244</v>
      </c>
      <c r="E237" s="123" t="s">
        <v>2238</v>
      </c>
      <c r="F237" s="123" t="s">
        <v>2053</v>
      </c>
      <c r="G237" s="123" t="s">
        <v>1667</v>
      </c>
      <c r="H237" s="130" t="s">
        <v>1672</v>
      </c>
      <c r="I237" s="199" t="s">
        <v>1719</v>
      </c>
      <c r="J237" s="199"/>
      <c r="K237" s="200">
        <f t="shared" si="3"/>
        <v>1</v>
      </c>
      <c r="L237" s="201">
        <v>12342548</v>
      </c>
    </row>
    <row r="238" spans="1:12" ht="49.5" hidden="1" x14ac:dyDescent="0.3">
      <c r="A238" s="122">
        <v>237</v>
      </c>
      <c r="B238" s="123">
        <v>21088677</v>
      </c>
      <c r="C238" s="123" t="s">
        <v>2245</v>
      </c>
      <c r="D238" s="123" t="s">
        <v>2246</v>
      </c>
      <c r="E238" s="123" t="s">
        <v>2238</v>
      </c>
      <c r="F238" s="123" t="s">
        <v>2247</v>
      </c>
      <c r="G238" s="123" t="s">
        <v>1667</v>
      </c>
      <c r="H238" s="130" t="s">
        <v>1672</v>
      </c>
      <c r="I238" s="199" t="s">
        <v>1673</v>
      </c>
      <c r="J238" s="199"/>
      <c r="K238" s="200">
        <f t="shared" si="3"/>
        <v>1</v>
      </c>
      <c r="L238" s="201">
        <v>923167</v>
      </c>
    </row>
    <row r="239" spans="1:12" ht="66" hidden="1" x14ac:dyDescent="0.3">
      <c r="A239" s="122">
        <v>238</v>
      </c>
      <c r="B239" s="123">
        <v>22416854</v>
      </c>
      <c r="C239" s="123" t="s">
        <v>2248</v>
      </c>
      <c r="D239" s="123" t="s">
        <v>2249</v>
      </c>
      <c r="E239" s="123" t="s">
        <v>2130</v>
      </c>
      <c r="F239" s="123" t="s">
        <v>2250</v>
      </c>
      <c r="G239" s="123" t="s">
        <v>1667</v>
      </c>
      <c r="H239" s="130" t="s">
        <v>1672</v>
      </c>
      <c r="I239" s="199" t="s">
        <v>1673</v>
      </c>
      <c r="J239" s="199"/>
      <c r="K239" s="200">
        <f t="shared" si="3"/>
        <v>1</v>
      </c>
      <c r="L239" s="201">
        <v>4923556</v>
      </c>
    </row>
    <row r="240" spans="1:12" ht="49.5" hidden="1" x14ac:dyDescent="0.3">
      <c r="A240" s="122">
        <v>239</v>
      </c>
      <c r="B240" s="123">
        <v>21035094</v>
      </c>
      <c r="C240" s="123" t="s">
        <v>2251</v>
      </c>
      <c r="D240" s="123" t="s">
        <v>2244</v>
      </c>
      <c r="E240" s="123" t="s">
        <v>2238</v>
      </c>
      <c r="F240" s="123" t="s">
        <v>2252</v>
      </c>
      <c r="G240" s="123" t="s">
        <v>1667</v>
      </c>
      <c r="H240" s="130" t="s">
        <v>1672</v>
      </c>
      <c r="I240" s="199" t="s">
        <v>1719</v>
      </c>
      <c r="J240" s="199"/>
      <c r="K240" s="200">
        <f t="shared" si="3"/>
        <v>1</v>
      </c>
      <c r="L240" s="201">
        <v>11335237</v>
      </c>
    </row>
    <row r="241" spans="1:12" ht="49.5" hidden="1" x14ac:dyDescent="0.3">
      <c r="A241" s="122">
        <v>240</v>
      </c>
      <c r="B241" s="123">
        <v>21090156</v>
      </c>
      <c r="C241" s="123" t="s">
        <v>2253</v>
      </c>
      <c r="D241" s="123" t="s">
        <v>2254</v>
      </c>
      <c r="E241" s="123" t="s">
        <v>2238</v>
      </c>
      <c r="F241" s="123" t="s">
        <v>2255</v>
      </c>
      <c r="G241" s="123" t="s">
        <v>1667</v>
      </c>
      <c r="H241" s="130" t="s">
        <v>1672</v>
      </c>
      <c r="I241" s="199" t="s">
        <v>1719</v>
      </c>
      <c r="J241" s="199"/>
      <c r="K241" s="200">
        <f t="shared" si="3"/>
        <v>1</v>
      </c>
      <c r="L241" s="201">
        <v>3800850</v>
      </c>
    </row>
    <row r="242" spans="1:12" ht="49.5" hidden="1" x14ac:dyDescent="0.3">
      <c r="A242" s="122">
        <v>241</v>
      </c>
      <c r="B242" s="123">
        <v>21080714</v>
      </c>
      <c r="C242" s="123" t="s">
        <v>2256</v>
      </c>
      <c r="D242" s="123" t="s">
        <v>2257</v>
      </c>
      <c r="E242" s="123" t="s">
        <v>2258</v>
      </c>
      <c r="F242" s="123" t="s">
        <v>2259</v>
      </c>
      <c r="G242" s="123" t="s">
        <v>1667</v>
      </c>
      <c r="H242" s="130" t="s">
        <v>1672</v>
      </c>
      <c r="I242" s="199" t="s">
        <v>1719</v>
      </c>
      <c r="J242" s="199"/>
      <c r="K242" s="200">
        <f t="shared" si="3"/>
        <v>1</v>
      </c>
      <c r="L242" s="201">
        <v>3639777</v>
      </c>
    </row>
    <row r="243" spans="1:12" ht="49.5" hidden="1" x14ac:dyDescent="0.3">
      <c r="A243" s="122">
        <v>242</v>
      </c>
      <c r="B243" s="123">
        <v>21088028</v>
      </c>
      <c r="C243" s="123" t="s">
        <v>2260</v>
      </c>
      <c r="D243" s="123" t="s">
        <v>2261</v>
      </c>
      <c r="E243" s="123" t="s">
        <v>2258</v>
      </c>
      <c r="F243" s="123" t="s">
        <v>2262</v>
      </c>
      <c r="G243" s="123" t="s">
        <v>1667</v>
      </c>
      <c r="H243" s="130" t="s">
        <v>1672</v>
      </c>
      <c r="I243" s="199" t="s">
        <v>1719</v>
      </c>
      <c r="J243" s="199"/>
      <c r="K243" s="200">
        <f t="shared" si="3"/>
        <v>1</v>
      </c>
      <c r="L243" s="201">
        <v>5755367</v>
      </c>
    </row>
    <row r="244" spans="1:12" ht="49.5" hidden="1" x14ac:dyDescent="0.3">
      <c r="A244" s="122">
        <v>243</v>
      </c>
      <c r="B244" s="123">
        <v>211100047098</v>
      </c>
      <c r="C244" s="123" t="s">
        <v>2263</v>
      </c>
      <c r="D244" s="123" t="s">
        <v>2264</v>
      </c>
      <c r="E244" s="123" t="s">
        <v>2258</v>
      </c>
      <c r="F244" s="123" t="s">
        <v>2081</v>
      </c>
      <c r="G244" s="123" t="s">
        <v>1667</v>
      </c>
      <c r="H244" s="130" t="s">
        <v>1672</v>
      </c>
      <c r="I244" s="199" t="s">
        <v>1719</v>
      </c>
      <c r="J244" s="199"/>
      <c r="K244" s="200">
        <f t="shared" si="3"/>
        <v>1</v>
      </c>
      <c r="L244" s="201">
        <v>3793638</v>
      </c>
    </row>
    <row r="245" spans="1:12" ht="49.5" hidden="1" x14ac:dyDescent="0.3">
      <c r="A245" s="122">
        <v>244</v>
      </c>
      <c r="B245" s="123">
        <v>211100272564</v>
      </c>
      <c r="C245" s="123" t="s">
        <v>2265</v>
      </c>
      <c r="D245" s="123" t="s">
        <v>2266</v>
      </c>
      <c r="E245" s="123" t="s">
        <v>2238</v>
      </c>
      <c r="F245" s="123" t="s">
        <v>2267</v>
      </c>
      <c r="G245" s="123" t="s">
        <v>1667</v>
      </c>
      <c r="H245" s="130" t="s">
        <v>1672</v>
      </c>
      <c r="I245" s="199" t="s">
        <v>1673</v>
      </c>
      <c r="J245" s="199"/>
      <c r="K245" s="200">
        <f t="shared" si="3"/>
        <v>1</v>
      </c>
      <c r="L245" s="201">
        <v>2887300</v>
      </c>
    </row>
    <row r="246" spans="1:12" ht="49.5" hidden="1" x14ac:dyDescent="0.3">
      <c r="A246" s="122">
        <v>245</v>
      </c>
      <c r="B246" s="123">
        <v>211100047094</v>
      </c>
      <c r="C246" s="123" t="s">
        <v>2268</v>
      </c>
      <c r="D246" s="123" t="s">
        <v>2269</v>
      </c>
      <c r="E246" s="123" t="s">
        <v>2258</v>
      </c>
      <c r="F246" s="123" t="s">
        <v>2165</v>
      </c>
      <c r="G246" s="123" t="s">
        <v>1667</v>
      </c>
      <c r="H246" s="130" t="s">
        <v>1672</v>
      </c>
      <c r="I246" s="199" t="s">
        <v>1719</v>
      </c>
      <c r="J246" s="199"/>
      <c r="K246" s="200">
        <f t="shared" si="3"/>
        <v>1</v>
      </c>
      <c r="L246" s="201">
        <v>1240505</v>
      </c>
    </row>
    <row r="247" spans="1:12" ht="33" hidden="1" x14ac:dyDescent="0.3">
      <c r="A247" s="122">
        <v>246</v>
      </c>
      <c r="B247" s="123">
        <v>211100047199</v>
      </c>
      <c r="C247" s="123" t="s">
        <v>2270</v>
      </c>
      <c r="D247" s="123" t="s">
        <v>2271</v>
      </c>
      <c r="E247" s="123" t="s">
        <v>2183</v>
      </c>
      <c r="F247" s="123" t="s">
        <v>2272</v>
      </c>
      <c r="G247" s="123" t="s">
        <v>1667</v>
      </c>
      <c r="H247" s="130" t="s">
        <v>1672</v>
      </c>
      <c r="I247" s="199" t="s">
        <v>1719</v>
      </c>
      <c r="J247" s="199"/>
      <c r="K247" s="200">
        <f t="shared" si="3"/>
        <v>1</v>
      </c>
      <c r="L247" s="201">
        <v>1764595</v>
      </c>
    </row>
    <row r="248" spans="1:12" ht="66" hidden="1" x14ac:dyDescent="0.3">
      <c r="A248" s="122">
        <v>247</v>
      </c>
      <c r="B248" s="123">
        <v>1511224248</v>
      </c>
      <c r="C248" s="123" t="s">
        <v>2273</v>
      </c>
      <c r="D248" s="123" t="s">
        <v>2274</v>
      </c>
      <c r="E248" s="123" t="s">
        <v>2104</v>
      </c>
      <c r="F248" s="123" t="s">
        <v>2275</v>
      </c>
      <c r="G248" s="123" t="s">
        <v>1667</v>
      </c>
      <c r="H248" s="130" t="s">
        <v>1672</v>
      </c>
      <c r="I248" s="199" t="s">
        <v>1673</v>
      </c>
      <c r="J248" s="199"/>
      <c r="K248" s="200">
        <f t="shared" si="3"/>
        <v>1</v>
      </c>
      <c r="L248" s="201">
        <v>3471492</v>
      </c>
    </row>
    <row r="249" spans="1:12" ht="66" hidden="1" x14ac:dyDescent="0.3">
      <c r="A249" s="122">
        <v>248</v>
      </c>
      <c r="B249" s="123">
        <v>21031160</v>
      </c>
      <c r="C249" s="123" t="s">
        <v>2276</v>
      </c>
      <c r="D249" s="123" t="s">
        <v>2277</v>
      </c>
      <c r="E249" s="123" t="s">
        <v>2104</v>
      </c>
      <c r="F249" s="123" t="s">
        <v>2278</v>
      </c>
      <c r="G249" s="123" t="s">
        <v>1667</v>
      </c>
      <c r="H249" s="130"/>
      <c r="I249" s="199"/>
      <c r="J249" s="199"/>
      <c r="K249" s="200">
        <f t="shared" si="3"/>
        <v>0</v>
      </c>
      <c r="L249" s="201">
        <v>0</v>
      </c>
    </row>
    <row r="250" spans="1:12" s="128" customFormat="1" ht="66" hidden="1" x14ac:dyDescent="0.3">
      <c r="A250" s="125">
        <v>249</v>
      </c>
      <c r="B250" s="126">
        <v>211100278409</v>
      </c>
      <c r="C250" s="126" t="s">
        <v>2279</v>
      </c>
      <c r="D250" s="126" t="s">
        <v>2280</v>
      </c>
      <c r="E250" s="126" t="s">
        <v>1777</v>
      </c>
      <c r="F250" s="126" t="s">
        <v>1778</v>
      </c>
      <c r="G250" s="126" t="s">
        <v>1667</v>
      </c>
      <c r="H250" s="127"/>
      <c r="I250" s="202" t="s">
        <v>1779</v>
      </c>
      <c r="J250" s="202"/>
      <c r="K250" s="200">
        <f t="shared" si="3"/>
        <v>0</v>
      </c>
      <c r="L250" s="203">
        <v>0</v>
      </c>
    </row>
    <row r="251" spans="1:12" ht="66" hidden="1" x14ac:dyDescent="0.3">
      <c r="A251" s="122">
        <v>250</v>
      </c>
      <c r="B251" s="123">
        <v>221100000422</v>
      </c>
      <c r="C251" s="123" t="s">
        <v>2281</v>
      </c>
      <c r="D251" s="123" t="s">
        <v>2282</v>
      </c>
      <c r="E251" s="123" t="s">
        <v>2283</v>
      </c>
      <c r="F251" s="123" t="s">
        <v>2284</v>
      </c>
      <c r="G251" s="123" t="s">
        <v>1667</v>
      </c>
      <c r="H251" s="130" t="s">
        <v>1672</v>
      </c>
      <c r="I251" s="199" t="s">
        <v>1673</v>
      </c>
      <c r="J251" s="199"/>
      <c r="K251" s="200">
        <f t="shared" si="3"/>
        <v>1</v>
      </c>
      <c r="L251" s="201">
        <v>2130015</v>
      </c>
    </row>
    <row r="252" spans="1:12" ht="49.5" hidden="1" x14ac:dyDescent="0.3">
      <c r="A252" s="122">
        <v>251</v>
      </c>
      <c r="B252" s="123">
        <v>251200039416</v>
      </c>
      <c r="C252" s="123" t="s">
        <v>2285</v>
      </c>
      <c r="D252" s="123" t="s">
        <v>1772</v>
      </c>
      <c r="E252" s="123" t="s">
        <v>1773</v>
      </c>
      <c r="F252" s="123" t="s">
        <v>2286</v>
      </c>
      <c r="G252" s="123" t="s">
        <v>1667</v>
      </c>
      <c r="H252" s="130" t="s">
        <v>1672</v>
      </c>
      <c r="I252" s="199" t="s">
        <v>1673</v>
      </c>
      <c r="J252" s="199"/>
      <c r="K252" s="200">
        <f t="shared" si="3"/>
        <v>1</v>
      </c>
      <c r="L252" s="201">
        <v>740457</v>
      </c>
    </row>
    <row r="253" spans="1:12" s="128" customFormat="1" ht="66" hidden="1" x14ac:dyDescent="0.3">
      <c r="A253" s="125">
        <v>252</v>
      </c>
      <c r="B253" s="126">
        <v>22425163</v>
      </c>
      <c r="C253" s="126" t="s">
        <v>2287</v>
      </c>
      <c r="D253" s="126" t="s">
        <v>2288</v>
      </c>
      <c r="E253" s="126" t="s">
        <v>1777</v>
      </c>
      <c r="F253" s="126" t="s">
        <v>1778</v>
      </c>
      <c r="G253" s="126" t="s">
        <v>1667</v>
      </c>
      <c r="H253" s="127"/>
      <c r="I253" s="202" t="s">
        <v>1779</v>
      </c>
      <c r="J253" s="202"/>
      <c r="K253" s="200">
        <f t="shared" si="3"/>
        <v>0</v>
      </c>
      <c r="L253" s="203">
        <v>0</v>
      </c>
    </row>
    <row r="254" spans="1:12" ht="66" hidden="1" x14ac:dyDescent="0.3">
      <c r="A254" s="122">
        <v>253</v>
      </c>
      <c r="B254" s="123">
        <v>221100363223</v>
      </c>
      <c r="C254" s="123" t="s">
        <v>2289</v>
      </c>
      <c r="D254" s="123" t="s">
        <v>2290</v>
      </c>
      <c r="E254" s="123" t="s">
        <v>2104</v>
      </c>
      <c r="F254" s="123" t="s">
        <v>2291</v>
      </c>
      <c r="G254" s="123" t="s">
        <v>1667</v>
      </c>
      <c r="H254" s="130" t="s">
        <v>1672</v>
      </c>
      <c r="I254" s="199" t="s">
        <v>1673</v>
      </c>
      <c r="J254" s="199"/>
      <c r="K254" s="200">
        <f t="shared" si="3"/>
        <v>1</v>
      </c>
      <c r="L254" s="201">
        <v>2620447</v>
      </c>
    </row>
    <row r="255" spans="1:12" ht="66" hidden="1" x14ac:dyDescent="0.3">
      <c r="A255" s="122">
        <v>254</v>
      </c>
      <c r="B255" s="123">
        <v>21089012</v>
      </c>
      <c r="C255" s="123" t="s">
        <v>2292</v>
      </c>
      <c r="D255" s="123" t="s">
        <v>2293</v>
      </c>
      <c r="E255" s="123" t="s">
        <v>2238</v>
      </c>
      <c r="F255" s="123" t="s">
        <v>2294</v>
      </c>
      <c r="G255" s="123" t="s">
        <v>1667</v>
      </c>
      <c r="H255" s="130"/>
      <c r="I255" s="199"/>
      <c r="J255" s="199"/>
      <c r="K255" s="200">
        <f t="shared" si="3"/>
        <v>1</v>
      </c>
      <c r="L255" s="201">
        <v>3344076</v>
      </c>
    </row>
    <row r="256" spans="1:12" ht="49.5" hidden="1" x14ac:dyDescent="0.3">
      <c r="A256" s="122">
        <v>255</v>
      </c>
      <c r="B256" s="123">
        <v>21030007</v>
      </c>
      <c r="C256" s="123" t="s">
        <v>2295</v>
      </c>
      <c r="D256" s="123" t="s">
        <v>2244</v>
      </c>
      <c r="E256" s="123" t="s">
        <v>2238</v>
      </c>
      <c r="F256" s="123" t="s">
        <v>2046</v>
      </c>
      <c r="G256" s="123" t="s">
        <v>1667</v>
      </c>
      <c r="H256" s="130"/>
      <c r="I256" s="199"/>
      <c r="J256" s="199"/>
      <c r="K256" s="200">
        <f t="shared" si="3"/>
        <v>1</v>
      </c>
      <c r="L256" s="201">
        <v>15100027</v>
      </c>
    </row>
    <row r="257" spans="1:12" ht="49.5" hidden="1" x14ac:dyDescent="0.3">
      <c r="A257" s="122">
        <v>256</v>
      </c>
      <c r="B257" s="123">
        <v>21110509</v>
      </c>
      <c r="C257" s="123" t="s">
        <v>2296</v>
      </c>
      <c r="D257" s="123" t="s">
        <v>2297</v>
      </c>
      <c r="E257" s="123" t="s">
        <v>2104</v>
      </c>
      <c r="F257" s="123" t="s">
        <v>2053</v>
      </c>
      <c r="G257" s="123" t="s">
        <v>1667</v>
      </c>
      <c r="H257" s="130" t="s">
        <v>1672</v>
      </c>
      <c r="I257" s="199" t="s">
        <v>1719</v>
      </c>
      <c r="J257" s="199"/>
      <c r="K257" s="200">
        <f t="shared" si="3"/>
        <v>1</v>
      </c>
      <c r="L257" s="201">
        <v>5334653</v>
      </c>
    </row>
    <row r="258" spans="1:12" ht="49.5" hidden="1" x14ac:dyDescent="0.3">
      <c r="A258" s="122">
        <v>257</v>
      </c>
      <c r="B258" s="123">
        <v>21085726</v>
      </c>
      <c r="C258" s="123" t="s">
        <v>2298</v>
      </c>
      <c r="D258" s="123" t="s">
        <v>2299</v>
      </c>
      <c r="E258" s="123" t="s">
        <v>2238</v>
      </c>
      <c r="F258" s="123" t="s">
        <v>2300</v>
      </c>
      <c r="G258" s="123" t="s">
        <v>1667</v>
      </c>
      <c r="H258" s="130" t="s">
        <v>1672</v>
      </c>
      <c r="I258" s="199" t="s">
        <v>1719</v>
      </c>
      <c r="J258" s="199"/>
      <c r="K258" s="200">
        <f t="shared" ref="K258:K321" si="4">IF(L258="","",IF(L258&lt;&gt;0,1,0))</f>
        <v>1</v>
      </c>
      <c r="L258" s="201">
        <v>2981059</v>
      </c>
    </row>
    <row r="259" spans="1:12" ht="49.5" hidden="1" x14ac:dyDescent="0.3">
      <c r="A259" s="122">
        <v>258</v>
      </c>
      <c r="B259" s="123">
        <v>221100045463</v>
      </c>
      <c r="C259" s="123" t="s">
        <v>2301</v>
      </c>
      <c r="D259" s="123" t="s">
        <v>2182</v>
      </c>
      <c r="E259" s="123" t="s">
        <v>2130</v>
      </c>
      <c r="F259" s="123" t="s">
        <v>2302</v>
      </c>
      <c r="G259" s="123" t="s">
        <v>1667</v>
      </c>
      <c r="H259" s="130" t="s">
        <v>1672</v>
      </c>
      <c r="I259" s="199" t="s">
        <v>1719</v>
      </c>
      <c r="J259" s="199"/>
      <c r="K259" s="200">
        <f t="shared" si="4"/>
        <v>1</v>
      </c>
      <c r="L259" s="201">
        <v>5777004</v>
      </c>
    </row>
    <row r="260" spans="1:12" ht="49.5" hidden="1" x14ac:dyDescent="0.3">
      <c r="A260" s="122">
        <v>259</v>
      </c>
      <c r="B260" s="123">
        <v>21004891</v>
      </c>
      <c r="C260" s="123" t="s">
        <v>2303</v>
      </c>
      <c r="D260" s="123" t="s">
        <v>2304</v>
      </c>
      <c r="E260" s="123" t="s">
        <v>2238</v>
      </c>
      <c r="F260" s="123" t="s">
        <v>2305</v>
      </c>
      <c r="G260" s="123" t="s">
        <v>1667</v>
      </c>
      <c r="H260" s="130" t="s">
        <v>1672</v>
      </c>
      <c r="I260" s="199" t="s">
        <v>1719</v>
      </c>
      <c r="J260" s="199"/>
      <c r="K260" s="200">
        <f t="shared" si="4"/>
        <v>1</v>
      </c>
      <c r="L260" s="201">
        <v>3226275</v>
      </c>
    </row>
    <row r="261" spans="1:12" ht="66" hidden="1" x14ac:dyDescent="0.3">
      <c r="A261" s="122">
        <v>260</v>
      </c>
      <c r="B261" s="123">
        <v>21000592</v>
      </c>
      <c r="C261" s="123" t="s">
        <v>2306</v>
      </c>
      <c r="D261" s="123" t="s">
        <v>2307</v>
      </c>
      <c r="E261" s="123" t="s">
        <v>2308</v>
      </c>
      <c r="F261" s="123" t="s">
        <v>2309</v>
      </c>
      <c r="G261" s="123" t="s">
        <v>1667</v>
      </c>
      <c r="H261" s="130" t="s">
        <v>1672</v>
      </c>
      <c r="I261" s="199" t="s">
        <v>1719</v>
      </c>
      <c r="J261" s="199"/>
      <c r="K261" s="200">
        <f t="shared" si="4"/>
        <v>1</v>
      </c>
      <c r="L261" s="201">
        <v>19836064</v>
      </c>
    </row>
    <row r="262" spans="1:12" ht="49.5" hidden="1" x14ac:dyDescent="0.3">
      <c r="A262" s="122">
        <v>261</v>
      </c>
      <c r="B262" s="123">
        <v>21082032</v>
      </c>
      <c r="C262" s="123" t="s">
        <v>2310</v>
      </c>
      <c r="D262" s="123" t="s">
        <v>2311</v>
      </c>
      <c r="E262" s="123" t="s">
        <v>2238</v>
      </c>
      <c r="F262" s="123" t="s">
        <v>2071</v>
      </c>
      <c r="G262" s="123" t="s">
        <v>1667</v>
      </c>
      <c r="H262" s="130" t="s">
        <v>1672</v>
      </c>
      <c r="I262" s="199" t="s">
        <v>1719</v>
      </c>
      <c r="J262" s="199"/>
      <c r="K262" s="200">
        <f t="shared" si="4"/>
        <v>1</v>
      </c>
      <c r="L262" s="201">
        <v>8096942</v>
      </c>
    </row>
    <row r="263" spans="1:12" ht="49.5" hidden="1" x14ac:dyDescent="0.3">
      <c r="A263" s="122">
        <v>262</v>
      </c>
      <c r="B263" s="123">
        <v>21039351</v>
      </c>
      <c r="C263" s="123" t="s">
        <v>2312</v>
      </c>
      <c r="D263" s="123" t="s">
        <v>2313</v>
      </c>
      <c r="E263" s="123" t="s">
        <v>2130</v>
      </c>
      <c r="F263" s="123" t="s">
        <v>2314</v>
      </c>
      <c r="G263" s="123" t="s">
        <v>1667</v>
      </c>
      <c r="H263" s="130" t="s">
        <v>1672</v>
      </c>
      <c r="I263" s="199" t="s">
        <v>1719</v>
      </c>
      <c r="J263" s="199"/>
      <c r="K263" s="200">
        <f t="shared" si="4"/>
        <v>1</v>
      </c>
      <c r="L263" s="201">
        <v>5692862</v>
      </c>
    </row>
    <row r="264" spans="1:12" ht="66" hidden="1" x14ac:dyDescent="0.3">
      <c r="A264" s="122">
        <v>263</v>
      </c>
      <c r="B264" s="123">
        <v>21004081</v>
      </c>
      <c r="C264" s="123" t="s">
        <v>2315</v>
      </c>
      <c r="D264" s="123" t="s">
        <v>2103</v>
      </c>
      <c r="E264" s="123" t="s">
        <v>2104</v>
      </c>
      <c r="F264" s="123" t="s">
        <v>2316</v>
      </c>
      <c r="G264" s="123" t="s">
        <v>1667</v>
      </c>
      <c r="H264" s="130"/>
      <c r="I264" s="199"/>
      <c r="J264" s="199"/>
      <c r="K264" s="200">
        <f t="shared" si="4"/>
        <v>1</v>
      </c>
      <c r="L264" s="201">
        <v>1591501</v>
      </c>
    </row>
    <row r="265" spans="1:12" ht="49.5" hidden="1" x14ac:dyDescent="0.3">
      <c r="A265" s="122">
        <v>264</v>
      </c>
      <c r="B265" s="123">
        <v>1511111088</v>
      </c>
      <c r="C265" s="123" t="s">
        <v>2317</v>
      </c>
      <c r="D265" s="123" t="s">
        <v>2318</v>
      </c>
      <c r="E265" s="123" t="s">
        <v>2036</v>
      </c>
      <c r="F265" s="123" t="s">
        <v>2319</v>
      </c>
      <c r="G265" s="123" t="s">
        <v>1667</v>
      </c>
      <c r="H265" s="130" t="s">
        <v>2033</v>
      </c>
      <c r="I265" s="199" t="s">
        <v>1673</v>
      </c>
      <c r="J265" s="199"/>
      <c r="K265" s="200">
        <f t="shared" si="4"/>
        <v>1</v>
      </c>
      <c r="L265" s="201">
        <v>552938</v>
      </c>
    </row>
    <row r="266" spans="1:12" ht="49.5" hidden="1" x14ac:dyDescent="0.3">
      <c r="A266" s="122">
        <v>265</v>
      </c>
      <c r="B266" s="123">
        <v>221100360261</v>
      </c>
      <c r="C266" s="123" t="s">
        <v>2320</v>
      </c>
      <c r="D266" s="123" t="s">
        <v>2321</v>
      </c>
      <c r="E266" s="123" t="s">
        <v>2322</v>
      </c>
      <c r="F266" s="123" t="s">
        <v>2323</v>
      </c>
      <c r="G266" s="123" t="s">
        <v>1667</v>
      </c>
      <c r="H266" s="130"/>
      <c r="I266" s="199"/>
      <c r="J266" s="199"/>
      <c r="K266" s="200">
        <f t="shared" si="4"/>
        <v>1</v>
      </c>
      <c r="L266" s="201">
        <v>1305416</v>
      </c>
    </row>
    <row r="267" spans="1:12" ht="49.5" hidden="1" x14ac:dyDescent="0.3">
      <c r="A267" s="122">
        <v>266</v>
      </c>
      <c r="B267" s="123">
        <v>2321001464</v>
      </c>
      <c r="C267" s="123" t="s">
        <v>2324</v>
      </c>
      <c r="D267" s="123" t="s">
        <v>2325</v>
      </c>
      <c r="E267" s="123" t="s">
        <v>2326</v>
      </c>
      <c r="F267" s="123" t="s">
        <v>2205</v>
      </c>
      <c r="G267" s="123" t="s">
        <v>1667</v>
      </c>
      <c r="H267" s="130" t="s">
        <v>2033</v>
      </c>
      <c r="I267" s="199" t="s">
        <v>1719</v>
      </c>
      <c r="J267" s="199"/>
      <c r="K267" s="200">
        <f t="shared" si="4"/>
        <v>1</v>
      </c>
      <c r="L267" s="201">
        <v>10164450</v>
      </c>
    </row>
    <row r="268" spans="1:12" ht="49.5" hidden="1" x14ac:dyDescent="0.3">
      <c r="A268" s="122">
        <v>267</v>
      </c>
      <c r="B268" s="123">
        <v>2321001446</v>
      </c>
      <c r="C268" s="123" t="s">
        <v>2327</v>
      </c>
      <c r="D268" s="123" t="s">
        <v>2103</v>
      </c>
      <c r="E268" s="123" t="s">
        <v>2130</v>
      </c>
      <c r="F268" s="123" t="s">
        <v>2205</v>
      </c>
      <c r="G268" s="123" t="s">
        <v>1667</v>
      </c>
      <c r="H268" s="130" t="s">
        <v>1672</v>
      </c>
      <c r="I268" s="199" t="s">
        <v>1719</v>
      </c>
      <c r="J268" s="199"/>
      <c r="K268" s="200">
        <f t="shared" si="4"/>
        <v>1</v>
      </c>
      <c r="L268" s="201">
        <v>11717486</v>
      </c>
    </row>
    <row r="269" spans="1:12" ht="49.5" hidden="1" x14ac:dyDescent="0.3">
      <c r="A269" s="122">
        <v>268</v>
      </c>
      <c r="B269" s="123">
        <v>2321001395</v>
      </c>
      <c r="C269" s="123" t="s">
        <v>2328</v>
      </c>
      <c r="D269" s="123" t="s">
        <v>2329</v>
      </c>
      <c r="E269" s="123" t="s">
        <v>2104</v>
      </c>
      <c r="F269" s="123" t="s">
        <v>2205</v>
      </c>
      <c r="G269" s="123" t="s">
        <v>1667</v>
      </c>
      <c r="H269" s="130" t="s">
        <v>1672</v>
      </c>
      <c r="I269" s="199" t="s">
        <v>1719</v>
      </c>
      <c r="J269" s="199"/>
      <c r="K269" s="200">
        <f t="shared" si="4"/>
        <v>1</v>
      </c>
      <c r="L269" s="201">
        <v>4680743</v>
      </c>
    </row>
    <row r="270" spans="1:12" ht="49.5" hidden="1" x14ac:dyDescent="0.3">
      <c r="A270" s="122">
        <v>269</v>
      </c>
      <c r="B270" s="123">
        <v>2321001411</v>
      </c>
      <c r="C270" s="123" t="s">
        <v>2330</v>
      </c>
      <c r="D270" s="123" t="s">
        <v>2329</v>
      </c>
      <c r="E270" s="123" t="s">
        <v>2104</v>
      </c>
      <c r="F270" s="123" t="s">
        <v>2205</v>
      </c>
      <c r="G270" s="123" t="s">
        <v>1667</v>
      </c>
      <c r="H270" s="130" t="s">
        <v>1672</v>
      </c>
      <c r="I270" s="199" t="s">
        <v>1719</v>
      </c>
      <c r="J270" s="199"/>
      <c r="K270" s="200">
        <f t="shared" si="4"/>
        <v>1</v>
      </c>
      <c r="L270" s="201">
        <v>4553327</v>
      </c>
    </row>
    <row r="271" spans="1:12" ht="49.5" hidden="1" x14ac:dyDescent="0.3">
      <c r="A271" s="122">
        <v>270</v>
      </c>
      <c r="B271" s="123">
        <v>2321001439</v>
      </c>
      <c r="C271" s="123" t="s">
        <v>2331</v>
      </c>
      <c r="D271" s="123" t="s">
        <v>2332</v>
      </c>
      <c r="E271" s="123" t="s">
        <v>2326</v>
      </c>
      <c r="F271" s="123" t="s">
        <v>2205</v>
      </c>
      <c r="G271" s="123" t="s">
        <v>1667</v>
      </c>
      <c r="H271" s="130" t="s">
        <v>2033</v>
      </c>
      <c r="I271" s="199" t="s">
        <v>1719</v>
      </c>
      <c r="J271" s="199"/>
      <c r="K271" s="200">
        <f t="shared" si="4"/>
        <v>1</v>
      </c>
      <c r="L271" s="201">
        <v>16136185</v>
      </c>
    </row>
    <row r="272" spans="1:12" ht="49.5" hidden="1" x14ac:dyDescent="0.3">
      <c r="A272" s="122">
        <v>271</v>
      </c>
      <c r="B272" s="123">
        <v>2321001440</v>
      </c>
      <c r="C272" s="123" t="s">
        <v>2333</v>
      </c>
      <c r="D272" s="123" t="s">
        <v>2162</v>
      </c>
      <c r="E272" s="123" t="s">
        <v>2130</v>
      </c>
      <c r="F272" s="123" t="s">
        <v>2205</v>
      </c>
      <c r="G272" s="123" t="s">
        <v>1667</v>
      </c>
      <c r="H272" s="130" t="s">
        <v>1672</v>
      </c>
      <c r="I272" s="199" t="s">
        <v>1719</v>
      </c>
      <c r="J272" s="199"/>
      <c r="K272" s="200">
        <f t="shared" si="4"/>
        <v>1</v>
      </c>
      <c r="L272" s="201">
        <v>14092717</v>
      </c>
    </row>
    <row r="273" spans="1:12" ht="49.5" hidden="1" x14ac:dyDescent="0.3">
      <c r="A273" s="122">
        <v>272</v>
      </c>
      <c r="B273" s="123">
        <v>21001204</v>
      </c>
      <c r="C273" s="123" t="s">
        <v>2334</v>
      </c>
      <c r="D273" s="123" t="s">
        <v>2325</v>
      </c>
      <c r="E273" s="123" t="s">
        <v>2326</v>
      </c>
      <c r="F273" s="123" t="s">
        <v>2205</v>
      </c>
      <c r="G273" s="123" t="s">
        <v>1667</v>
      </c>
      <c r="H273" s="130" t="s">
        <v>2033</v>
      </c>
      <c r="I273" s="199" t="s">
        <v>1719</v>
      </c>
      <c r="J273" s="199"/>
      <c r="K273" s="200">
        <f t="shared" si="4"/>
        <v>1</v>
      </c>
      <c r="L273" s="201">
        <v>16174650</v>
      </c>
    </row>
    <row r="274" spans="1:12" s="128" customFormat="1" ht="66" hidden="1" x14ac:dyDescent="0.3">
      <c r="A274" s="125">
        <v>273</v>
      </c>
      <c r="B274" s="126">
        <v>1712061012</v>
      </c>
      <c r="C274" s="126" t="s">
        <v>2335</v>
      </c>
      <c r="D274" s="126" t="s">
        <v>2336</v>
      </c>
      <c r="E274" s="126" t="s">
        <v>1777</v>
      </c>
      <c r="F274" s="126" t="s">
        <v>1778</v>
      </c>
      <c r="G274" s="126" t="s">
        <v>1667</v>
      </c>
      <c r="H274" s="127"/>
      <c r="I274" s="202" t="s">
        <v>1779</v>
      </c>
      <c r="J274" s="202"/>
      <c r="K274" s="200">
        <f t="shared" si="4"/>
        <v>0</v>
      </c>
      <c r="L274" s="203">
        <v>0</v>
      </c>
    </row>
    <row r="275" spans="1:12" s="128" customFormat="1" ht="66" hidden="1" x14ac:dyDescent="0.3">
      <c r="A275" s="125">
        <v>274</v>
      </c>
      <c r="B275" s="126">
        <v>1712059438</v>
      </c>
      <c r="C275" s="126" t="s">
        <v>2337</v>
      </c>
      <c r="D275" s="126" t="s">
        <v>2336</v>
      </c>
      <c r="E275" s="126" t="s">
        <v>1777</v>
      </c>
      <c r="F275" s="126" t="s">
        <v>1778</v>
      </c>
      <c r="G275" s="126" t="s">
        <v>1667</v>
      </c>
      <c r="H275" s="127"/>
      <c r="I275" s="202" t="s">
        <v>1779</v>
      </c>
      <c r="J275" s="202"/>
      <c r="K275" s="200">
        <f t="shared" si="4"/>
        <v>0</v>
      </c>
      <c r="L275" s="203">
        <v>0</v>
      </c>
    </row>
    <row r="276" spans="1:12" s="128" customFormat="1" ht="66" hidden="1" x14ac:dyDescent="0.3">
      <c r="A276" s="125">
        <v>275</v>
      </c>
      <c r="B276" s="126">
        <v>1712059719</v>
      </c>
      <c r="C276" s="126" t="s">
        <v>2338</v>
      </c>
      <c r="D276" s="126" t="s">
        <v>2336</v>
      </c>
      <c r="E276" s="126" t="s">
        <v>1777</v>
      </c>
      <c r="F276" s="126" t="s">
        <v>1778</v>
      </c>
      <c r="G276" s="126" t="s">
        <v>1667</v>
      </c>
      <c r="H276" s="127"/>
      <c r="I276" s="202" t="s">
        <v>1779</v>
      </c>
      <c r="J276" s="202"/>
      <c r="K276" s="200">
        <f t="shared" si="4"/>
        <v>0</v>
      </c>
      <c r="L276" s="203">
        <v>0</v>
      </c>
    </row>
    <row r="277" spans="1:12" s="128" customFormat="1" ht="66" hidden="1" x14ac:dyDescent="0.3">
      <c r="A277" s="125">
        <v>276</v>
      </c>
      <c r="B277" s="126">
        <v>1712059428</v>
      </c>
      <c r="C277" s="126" t="s">
        <v>2339</v>
      </c>
      <c r="D277" s="126" t="s">
        <v>2336</v>
      </c>
      <c r="E277" s="126" t="s">
        <v>1777</v>
      </c>
      <c r="F277" s="126" t="s">
        <v>1778</v>
      </c>
      <c r="G277" s="126" t="s">
        <v>1667</v>
      </c>
      <c r="H277" s="127"/>
      <c r="I277" s="202" t="s">
        <v>1779</v>
      </c>
      <c r="J277" s="202"/>
      <c r="K277" s="200">
        <f t="shared" si="4"/>
        <v>0</v>
      </c>
      <c r="L277" s="203">
        <v>0</v>
      </c>
    </row>
    <row r="278" spans="1:12" s="128" customFormat="1" ht="66" hidden="1" x14ac:dyDescent="0.3">
      <c r="A278" s="125">
        <v>277</v>
      </c>
      <c r="B278" s="126">
        <v>1712060250</v>
      </c>
      <c r="C278" s="126" t="s">
        <v>2340</v>
      </c>
      <c r="D278" s="126" t="s">
        <v>2336</v>
      </c>
      <c r="E278" s="126" t="s">
        <v>1777</v>
      </c>
      <c r="F278" s="126" t="s">
        <v>1778</v>
      </c>
      <c r="G278" s="126" t="s">
        <v>1667</v>
      </c>
      <c r="H278" s="127"/>
      <c r="I278" s="202" t="s">
        <v>1779</v>
      </c>
      <c r="J278" s="202"/>
      <c r="K278" s="200">
        <f t="shared" si="4"/>
        <v>0</v>
      </c>
      <c r="L278" s="203">
        <v>0</v>
      </c>
    </row>
    <row r="279" spans="1:12" s="128" customFormat="1" ht="66" hidden="1" x14ac:dyDescent="0.3">
      <c r="A279" s="125">
        <v>278</v>
      </c>
      <c r="B279" s="126">
        <v>1712061014</v>
      </c>
      <c r="C279" s="126" t="s">
        <v>2341</v>
      </c>
      <c r="D279" s="126" t="s">
        <v>2336</v>
      </c>
      <c r="E279" s="126" t="s">
        <v>1777</v>
      </c>
      <c r="F279" s="126" t="s">
        <v>1778</v>
      </c>
      <c r="G279" s="126" t="s">
        <v>1667</v>
      </c>
      <c r="H279" s="127"/>
      <c r="I279" s="202" t="s">
        <v>1779</v>
      </c>
      <c r="J279" s="202"/>
      <c r="K279" s="200">
        <f t="shared" si="4"/>
        <v>0</v>
      </c>
      <c r="L279" s="203">
        <v>0</v>
      </c>
    </row>
    <row r="280" spans="1:12" s="128" customFormat="1" ht="66" hidden="1" x14ac:dyDescent="0.3">
      <c r="A280" s="125">
        <v>279</v>
      </c>
      <c r="B280" s="126">
        <v>2222001050</v>
      </c>
      <c r="C280" s="126" t="s">
        <v>2342</v>
      </c>
      <c r="D280" s="126" t="s">
        <v>1776</v>
      </c>
      <c r="E280" s="126" t="s">
        <v>1777</v>
      </c>
      <c r="F280" s="126" t="s">
        <v>1778</v>
      </c>
      <c r="G280" s="126" t="s">
        <v>1667</v>
      </c>
      <c r="H280" s="127"/>
      <c r="I280" s="202" t="s">
        <v>1779</v>
      </c>
      <c r="J280" s="202"/>
      <c r="K280" s="200">
        <f t="shared" si="4"/>
        <v>0</v>
      </c>
      <c r="L280" s="203">
        <v>0</v>
      </c>
    </row>
    <row r="281" spans="1:12" s="128" customFormat="1" ht="66" hidden="1" x14ac:dyDescent="0.3">
      <c r="A281" s="125">
        <v>280</v>
      </c>
      <c r="B281" s="126">
        <v>2222004551</v>
      </c>
      <c r="C281" s="126" t="s">
        <v>2343</v>
      </c>
      <c r="D281" s="126" t="s">
        <v>1776</v>
      </c>
      <c r="E281" s="126" t="s">
        <v>1777</v>
      </c>
      <c r="F281" s="126" t="s">
        <v>1778</v>
      </c>
      <c r="G281" s="126" t="s">
        <v>1667</v>
      </c>
      <c r="H281" s="127"/>
      <c r="I281" s="202" t="s">
        <v>1779</v>
      </c>
      <c r="J281" s="202"/>
      <c r="K281" s="200">
        <f t="shared" si="4"/>
        <v>0</v>
      </c>
      <c r="L281" s="203">
        <v>0</v>
      </c>
    </row>
    <row r="282" spans="1:12" ht="66" hidden="1" x14ac:dyDescent="0.3">
      <c r="A282" s="122">
        <v>281</v>
      </c>
      <c r="B282" s="131">
        <v>23012501</v>
      </c>
      <c r="C282" s="123" t="s">
        <v>2344</v>
      </c>
      <c r="D282" s="131" t="s">
        <v>1698</v>
      </c>
      <c r="E282" s="131" t="s">
        <v>1665</v>
      </c>
      <c r="F282" s="131" t="s">
        <v>2345</v>
      </c>
      <c r="G282" s="131" t="s">
        <v>1667</v>
      </c>
      <c r="H282" s="131"/>
      <c r="I282" s="199"/>
      <c r="J282" s="199"/>
      <c r="K282" s="200">
        <f t="shared" si="4"/>
        <v>1</v>
      </c>
      <c r="L282" s="201">
        <v>20771251</v>
      </c>
    </row>
    <row r="283" spans="1:12" ht="82.5" hidden="1" x14ac:dyDescent="0.3">
      <c r="A283" s="122">
        <v>282</v>
      </c>
      <c r="B283" s="131">
        <v>20396599</v>
      </c>
      <c r="C283" s="123" t="s">
        <v>2346</v>
      </c>
      <c r="D283" s="131" t="s">
        <v>2347</v>
      </c>
      <c r="E283" s="131" t="s">
        <v>2348</v>
      </c>
      <c r="F283" s="131" t="s">
        <v>2349</v>
      </c>
      <c r="G283" s="131" t="s">
        <v>1667</v>
      </c>
      <c r="H283" s="131"/>
      <c r="I283" s="199"/>
      <c r="J283" s="199"/>
      <c r="K283" s="200">
        <f t="shared" si="4"/>
        <v>1</v>
      </c>
      <c r="L283" s="201">
        <v>2086741</v>
      </c>
    </row>
    <row r="284" spans="1:12" ht="33" hidden="1" x14ac:dyDescent="0.3">
      <c r="A284" s="122">
        <v>283</v>
      </c>
      <c r="B284" s="131">
        <v>221200043538</v>
      </c>
      <c r="C284" s="123" t="s">
        <v>2350</v>
      </c>
      <c r="D284" s="131" t="s">
        <v>2347</v>
      </c>
      <c r="E284" s="131" t="s">
        <v>2351</v>
      </c>
      <c r="F284" s="131" t="s">
        <v>2352</v>
      </c>
      <c r="G284" s="131" t="s">
        <v>1667</v>
      </c>
      <c r="H284" s="131"/>
      <c r="I284" s="199"/>
      <c r="J284" s="199"/>
      <c r="K284" s="200">
        <f t="shared" si="4"/>
        <v>0</v>
      </c>
      <c r="L284" s="201">
        <v>0</v>
      </c>
    </row>
    <row r="285" spans="1:12" s="128" customFormat="1" ht="66" hidden="1" x14ac:dyDescent="0.3">
      <c r="A285" s="125">
        <v>284</v>
      </c>
      <c r="B285" s="126">
        <v>2410897599</v>
      </c>
      <c r="C285" s="126" t="s">
        <v>2353</v>
      </c>
      <c r="D285" s="126" t="s">
        <v>2347</v>
      </c>
      <c r="E285" s="126" t="s">
        <v>2348</v>
      </c>
      <c r="F285" s="126" t="s">
        <v>2354</v>
      </c>
      <c r="G285" s="126" t="s">
        <v>1667</v>
      </c>
      <c r="H285" s="126"/>
      <c r="I285" s="202" t="s">
        <v>2355</v>
      </c>
      <c r="J285" s="202"/>
      <c r="K285" s="200">
        <f t="shared" si="4"/>
        <v>0</v>
      </c>
      <c r="L285" s="203">
        <v>0</v>
      </c>
    </row>
    <row r="286" spans="1:12" ht="66" hidden="1" x14ac:dyDescent="0.3">
      <c r="A286" s="122">
        <v>285</v>
      </c>
      <c r="B286" s="131">
        <v>241200274741</v>
      </c>
      <c r="C286" s="123" t="s">
        <v>2356</v>
      </c>
      <c r="D286" s="131" t="s">
        <v>2347</v>
      </c>
      <c r="E286" s="131" t="s">
        <v>2357</v>
      </c>
      <c r="F286" s="131" t="s">
        <v>2358</v>
      </c>
      <c r="G286" s="131" t="s">
        <v>1667</v>
      </c>
      <c r="H286" s="131"/>
      <c r="I286" s="199"/>
      <c r="J286" s="199"/>
      <c r="K286" s="200">
        <f t="shared" si="4"/>
        <v>0</v>
      </c>
      <c r="L286" s="201">
        <v>0</v>
      </c>
    </row>
    <row r="287" spans="1:12" s="128" customFormat="1" ht="66" hidden="1" x14ac:dyDescent="0.3">
      <c r="A287" s="125">
        <v>286</v>
      </c>
      <c r="B287" s="126">
        <v>241200006834</v>
      </c>
      <c r="C287" s="126" t="s">
        <v>2359</v>
      </c>
      <c r="D287" s="126" t="s">
        <v>2347</v>
      </c>
      <c r="E287" s="126" t="s">
        <v>2348</v>
      </c>
      <c r="F287" s="126" t="s">
        <v>2360</v>
      </c>
      <c r="G287" s="126" t="s">
        <v>1667</v>
      </c>
      <c r="H287" s="126"/>
      <c r="I287" s="204" t="s">
        <v>2361</v>
      </c>
      <c r="J287" s="204"/>
      <c r="K287" s="200">
        <f t="shared" si="4"/>
        <v>0</v>
      </c>
      <c r="L287" s="205">
        <v>0</v>
      </c>
    </row>
    <row r="288" spans="1:12" ht="66" hidden="1" x14ac:dyDescent="0.3">
      <c r="A288" s="122">
        <v>287</v>
      </c>
      <c r="B288" s="131">
        <v>221200043525</v>
      </c>
      <c r="C288" s="123" t="s">
        <v>2362</v>
      </c>
      <c r="D288" s="131" t="s">
        <v>2347</v>
      </c>
      <c r="E288" s="131" t="s">
        <v>2363</v>
      </c>
      <c r="F288" s="131" t="s">
        <v>2364</v>
      </c>
      <c r="G288" s="131" t="s">
        <v>1667</v>
      </c>
      <c r="H288" s="131"/>
      <c r="I288" s="199"/>
      <c r="J288" s="199"/>
      <c r="K288" s="200">
        <f t="shared" si="4"/>
        <v>0</v>
      </c>
      <c r="L288" s="201">
        <v>0</v>
      </c>
    </row>
    <row r="289" spans="1:12" ht="99" hidden="1" x14ac:dyDescent="0.3">
      <c r="A289" s="122">
        <v>288</v>
      </c>
      <c r="B289" s="131">
        <v>241200130670</v>
      </c>
      <c r="C289" s="123" t="s">
        <v>2365</v>
      </c>
      <c r="D289" s="131" t="s">
        <v>2366</v>
      </c>
      <c r="E289" s="131" t="s">
        <v>1670</v>
      </c>
      <c r="F289" s="131" t="s">
        <v>2367</v>
      </c>
      <c r="G289" s="131" t="s">
        <v>1667</v>
      </c>
      <c r="H289" s="131"/>
      <c r="I289" s="199"/>
      <c r="J289" s="199"/>
      <c r="K289" s="200">
        <f t="shared" si="4"/>
        <v>1</v>
      </c>
      <c r="L289" s="201">
        <v>3324843</v>
      </c>
    </row>
    <row r="290" spans="1:12" ht="82.5" hidden="1" x14ac:dyDescent="0.3">
      <c r="A290" s="122">
        <v>289</v>
      </c>
      <c r="B290" s="131">
        <v>1521006334</v>
      </c>
      <c r="C290" s="123" t="s">
        <v>2368</v>
      </c>
      <c r="D290" s="131" t="s">
        <v>2347</v>
      </c>
      <c r="E290" s="131" t="s">
        <v>2348</v>
      </c>
      <c r="F290" s="131" t="s">
        <v>1704</v>
      </c>
      <c r="G290" s="131" t="s">
        <v>1667</v>
      </c>
      <c r="H290" s="131"/>
      <c r="I290" s="199" t="s">
        <v>2369</v>
      </c>
      <c r="J290" s="199"/>
      <c r="K290" s="200">
        <f t="shared" si="4"/>
        <v>1</v>
      </c>
      <c r="L290" s="201">
        <v>617849</v>
      </c>
    </row>
    <row r="291" spans="1:12" ht="82.5" hidden="1" x14ac:dyDescent="0.3">
      <c r="A291" s="122">
        <v>290</v>
      </c>
      <c r="B291" s="131">
        <v>2410897548</v>
      </c>
      <c r="C291" s="123" t="s">
        <v>2370</v>
      </c>
      <c r="D291" s="131" t="s">
        <v>2347</v>
      </c>
      <c r="E291" s="131" t="s">
        <v>2348</v>
      </c>
      <c r="F291" s="131" t="s">
        <v>2371</v>
      </c>
      <c r="G291" s="131" t="s">
        <v>1667</v>
      </c>
      <c r="H291" s="131"/>
      <c r="I291" s="199"/>
      <c r="J291" s="199"/>
      <c r="K291" s="200">
        <f t="shared" si="4"/>
        <v>0</v>
      </c>
      <c r="L291" s="201">
        <v>0</v>
      </c>
    </row>
    <row r="292" spans="1:12" ht="49.5" hidden="1" x14ac:dyDescent="0.3">
      <c r="A292" s="122">
        <v>291</v>
      </c>
      <c r="B292" s="131">
        <v>2314006596</v>
      </c>
      <c r="C292" s="123" t="s">
        <v>2372</v>
      </c>
      <c r="D292" s="131" t="s">
        <v>2373</v>
      </c>
      <c r="E292" s="131" t="s">
        <v>2374</v>
      </c>
      <c r="F292" s="131" t="s">
        <v>2375</v>
      </c>
      <c r="G292" s="131" t="s">
        <v>1667</v>
      </c>
      <c r="H292" s="131"/>
      <c r="I292" s="199"/>
      <c r="J292" s="199"/>
      <c r="K292" s="200">
        <f t="shared" si="4"/>
        <v>1</v>
      </c>
      <c r="L292" s="201">
        <v>278873</v>
      </c>
    </row>
    <row r="293" spans="1:12" ht="49.5" hidden="1" x14ac:dyDescent="0.3">
      <c r="A293" s="122">
        <v>292</v>
      </c>
      <c r="B293" s="131">
        <v>2011525968</v>
      </c>
      <c r="C293" s="123" t="s">
        <v>2376</v>
      </c>
      <c r="D293" s="131" t="s">
        <v>2377</v>
      </c>
      <c r="E293" s="131" t="s">
        <v>2031</v>
      </c>
      <c r="F293" s="131" t="s">
        <v>2378</v>
      </c>
      <c r="G293" s="131" t="s">
        <v>1667</v>
      </c>
      <c r="H293" s="131"/>
      <c r="I293" s="199"/>
      <c r="J293" s="199"/>
      <c r="K293" s="200">
        <f t="shared" si="4"/>
        <v>1</v>
      </c>
      <c r="L293" s="201">
        <v>242812</v>
      </c>
    </row>
    <row r="294" spans="1:12" ht="82.5" hidden="1" x14ac:dyDescent="0.3">
      <c r="A294" s="122">
        <v>1</v>
      </c>
      <c r="B294" s="123">
        <v>2321001765</v>
      </c>
      <c r="C294" s="123" t="s">
        <v>2379</v>
      </c>
      <c r="D294" s="123" t="s">
        <v>2380</v>
      </c>
      <c r="E294" s="123" t="s">
        <v>2381</v>
      </c>
      <c r="F294" s="123" t="s">
        <v>2382</v>
      </c>
      <c r="G294" s="123" t="s">
        <v>2383</v>
      </c>
      <c r="H294" s="129" t="s">
        <v>2384</v>
      </c>
      <c r="I294" s="206" t="s">
        <v>2385</v>
      </c>
      <c r="J294" s="206"/>
      <c r="K294" s="207">
        <f t="shared" si="4"/>
        <v>1</v>
      </c>
      <c r="L294" s="208">
        <v>12294465</v>
      </c>
    </row>
    <row r="295" spans="1:12" ht="82.5" hidden="1" x14ac:dyDescent="0.3">
      <c r="A295" s="122">
        <v>2</v>
      </c>
      <c r="B295" s="123">
        <v>2321001762</v>
      </c>
      <c r="C295" s="123" t="s">
        <v>2386</v>
      </c>
      <c r="D295" s="123" t="s">
        <v>2380</v>
      </c>
      <c r="E295" s="123" t="s">
        <v>2381</v>
      </c>
      <c r="F295" s="123" t="s">
        <v>2387</v>
      </c>
      <c r="G295" s="123" t="s">
        <v>2383</v>
      </c>
      <c r="H295" s="129" t="s">
        <v>2384</v>
      </c>
      <c r="I295" s="206" t="s">
        <v>2385</v>
      </c>
      <c r="J295" s="206"/>
      <c r="K295" s="207">
        <f t="shared" si="4"/>
        <v>1</v>
      </c>
      <c r="L295" s="208">
        <v>24471131</v>
      </c>
    </row>
    <row r="296" spans="1:12" ht="49.5" hidden="1" x14ac:dyDescent="0.3">
      <c r="A296" s="122">
        <v>3</v>
      </c>
      <c r="B296" s="123">
        <v>2321001622</v>
      </c>
      <c r="C296" s="123" t="s">
        <v>2388</v>
      </c>
      <c r="D296" s="123" t="s">
        <v>2380</v>
      </c>
      <c r="E296" s="123" t="s">
        <v>2389</v>
      </c>
      <c r="F296" s="123" t="s">
        <v>2390</v>
      </c>
      <c r="G296" s="123" t="s">
        <v>2383</v>
      </c>
      <c r="H296" s="129" t="s">
        <v>2384</v>
      </c>
      <c r="I296" s="206" t="s">
        <v>2385</v>
      </c>
      <c r="J296" s="206"/>
      <c r="K296" s="207">
        <f t="shared" si="4"/>
        <v>1</v>
      </c>
      <c r="L296" s="208">
        <v>21011658</v>
      </c>
    </row>
    <row r="297" spans="1:12" ht="82.5" hidden="1" x14ac:dyDescent="0.3">
      <c r="A297" s="122">
        <v>4</v>
      </c>
      <c r="B297" s="123">
        <v>2321001763</v>
      </c>
      <c r="C297" s="123" t="s">
        <v>2391</v>
      </c>
      <c r="D297" s="123" t="s">
        <v>2380</v>
      </c>
      <c r="E297" s="123" t="s">
        <v>2381</v>
      </c>
      <c r="F297" s="123" t="s">
        <v>2392</v>
      </c>
      <c r="G297" s="123" t="s">
        <v>2383</v>
      </c>
      <c r="H297" s="129" t="s">
        <v>2384</v>
      </c>
      <c r="I297" s="206" t="s">
        <v>2385</v>
      </c>
      <c r="J297" s="206"/>
      <c r="K297" s="207">
        <f t="shared" si="4"/>
        <v>1</v>
      </c>
      <c r="L297" s="208">
        <v>1822292</v>
      </c>
    </row>
    <row r="298" spans="1:12" ht="82.5" hidden="1" x14ac:dyDescent="0.3">
      <c r="A298" s="122">
        <v>5</v>
      </c>
      <c r="B298" s="123">
        <v>2321001674</v>
      </c>
      <c r="C298" s="123" t="s">
        <v>2393</v>
      </c>
      <c r="D298" s="123" t="s">
        <v>2380</v>
      </c>
      <c r="E298" s="123" t="s">
        <v>2381</v>
      </c>
      <c r="F298" s="123" t="s">
        <v>2394</v>
      </c>
      <c r="G298" s="123" t="s">
        <v>2383</v>
      </c>
      <c r="H298" s="129" t="s">
        <v>2384</v>
      </c>
      <c r="I298" s="206" t="s">
        <v>2385</v>
      </c>
      <c r="J298" s="206"/>
      <c r="K298" s="207">
        <f t="shared" si="4"/>
        <v>1</v>
      </c>
      <c r="L298" s="208">
        <v>2317533</v>
      </c>
    </row>
    <row r="299" spans="1:12" ht="82.5" hidden="1" x14ac:dyDescent="0.3">
      <c r="A299" s="122">
        <v>6</v>
      </c>
      <c r="B299" s="123">
        <v>2321001773</v>
      </c>
      <c r="C299" s="123" t="s">
        <v>2395</v>
      </c>
      <c r="D299" s="123" t="s">
        <v>2380</v>
      </c>
      <c r="E299" s="123" t="s">
        <v>2381</v>
      </c>
      <c r="F299" s="123" t="s">
        <v>2396</v>
      </c>
      <c r="G299" s="123" t="s">
        <v>2383</v>
      </c>
      <c r="H299" s="129" t="s">
        <v>2384</v>
      </c>
      <c r="I299" s="206" t="s">
        <v>2385</v>
      </c>
      <c r="J299" s="206"/>
      <c r="K299" s="207">
        <f t="shared" si="4"/>
        <v>1</v>
      </c>
      <c r="L299" s="208">
        <v>11361682</v>
      </c>
    </row>
    <row r="300" spans="1:12" ht="49.5" hidden="1" x14ac:dyDescent="0.3">
      <c r="A300" s="122">
        <v>7</v>
      </c>
      <c r="B300" s="123">
        <v>21116223</v>
      </c>
      <c r="C300" s="123" t="s">
        <v>2397</v>
      </c>
      <c r="D300" s="123" t="s">
        <v>2398</v>
      </c>
      <c r="E300" s="123" t="s">
        <v>2399</v>
      </c>
      <c r="F300" s="123" t="s">
        <v>2400</v>
      </c>
      <c r="G300" s="123" t="s">
        <v>2383</v>
      </c>
      <c r="H300" s="122" t="s">
        <v>2401</v>
      </c>
      <c r="I300" s="206" t="s">
        <v>2402</v>
      </c>
      <c r="J300" s="206"/>
      <c r="K300" s="207">
        <f t="shared" si="4"/>
        <v>1</v>
      </c>
      <c r="L300" s="208">
        <v>18932130</v>
      </c>
    </row>
    <row r="301" spans="1:12" ht="66" hidden="1" x14ac:dyDescent="0.3">
      <c r="A301" s="122">
        <v>8</v>
      </c>
      <c r="B301" s="123">
        <v>22408358</v>
      </c>
      <c r="C301" s="123" t="s">
        <v>2403</v>
      </c>
      <c r="D301" s="123" t="s">
        <v>2404</v>
      </c>
      <c r="E301" s="123" t="s">
        <v>2399</v>
      </c>
      <c r="F301" s="123" t="s">
        <v>2405</v>
      </c>
      <c r="G301" s="123" t="s">
        <v>2383</v>
      </c>
      <c r="H301" s="122" t="s">
        <v>2406</v>
      </c>
      <c r="I301" s="206" t="s">
        <v>2402</v>
      </c>
      <c r="J301" s="206"/>
      <c r="K301" s="207">
        <f t="shared" si="4"/>
        <v>1</v>
      </c>
      <c r="L301" s="208">
        <v>5603911</v>
      </c>
    </row>
    <row r="302" spans="1:12" ht="49.5" hidden="1" x14ac:dyDescent="0.3">
      <c r="A302" s="122">
        <v>9</v>
      </c>
      <c r="B302" s="123">
        <v>22104884</v>
      </c>
      <c r="C302" s="123" t="s">
        <v>2407</v>
      </c>
      <c r="D302" s="123" t="s">
        <v>2408</v>
      </c>
      <c r="E302" s="123" t="s">
        <v>2399</v>
      </c>
      <c r="F302" s="123" t="s">
        <v>2409</v>
      </c>
      <c r="G302" s="123" t="s">
        <v>2383</v>
      </c>
      <c r="H302" s="122" t="s">
        <v>2406</v>
      </c>
      <c r="I302" s="206" t="s">
        <v>2402</v>
      </c>
      <c r="J302" s="206"/>
      <c r="K302" s="207">
        <f t="shared" si="4"/>
        <v>1</v>
      </c>
      <c r="L302" s="208">
        <v>2560346</v>
      </c>
    </row>
    <row r="303" spans="1:12" ht="49.5" hidden="1" x14ac:dyDescent="0.3">
      <c r="A303" s="122">
        <v>10</v>
      </c>
      <c r="B303" s="123">
        <v>21088404</v>
      </c>
      <c r="C303" s="123" t="s">
        <v>2410</v>
      </c>
      <c r="D303" s="123" t="s">
        <v>2398</v>
      </c>
      <c r="E303" s="123" t="s">
        <v>2399</v>
      </c>
      <c r="F303" s="123" t="s">
        <v>2411</v>
      </c>
      <c r="G303" s="123" t="s">
        <v>2383</v>
      </c>
      <c r="H303" s="122" t="s">
        <v>2401</v>
      </c>
      <c r="I303" s="206" t="s">
        <v>2402</v>
      </c>
      <c r="J303" s="206"/>
      <c r="K303" s="207">
        <f t="shared" si="4"/>
        <v>1</v>
      </c>
      <c r="L303" s="208">
        <v>10676519</v>
      </c>
    </row>
    <row r="304" spans="1:12" ht="49.5" hidden="1" x14ac:dyDescent="0.3">
      <c r="A304" s="122">
        <v>11</v>
      </c>
      <c r="B304" s="123">
        <v>241200228607</v>
      </c>
      <c r="C304" s="123" t="s">
        <v>2412</v>
      </c>
      <c r="D304" s="123" t="s">
        <v>2413</v>
      </c>
      <c r="E304" s="123" t="s">
        <v>2414</v>
      </c>
      <c r="F304" s="123" t="s">
        <v>2415</v>
      </c>
      <c r="G304" s="123" t="s">
        <v>2383</v>
      </c>
      <c r="H304" s="122" t="s">
        <v>2406</v>
      </c>
      <c r="I304" s="206" t="s">
        <v>2402</v>
      </c>
      <c r="J304" s="206"/>
      <c r="K304" s="207">
        <f t="shared" si="4"/>
        <v>1</v>
      </c>
      <c r="L304" s="208">
        <v>7055974</v>
      </c>
    </row>
    <row r="305" spans="1:12" ht="49.5" hidden="1" x14ac:dyDescent="0.3">
      <c r="A305" s="122">
        <v>12</v>
      </c>
      <c r="B305" s="123">
        <v>1511290481</v>
      </c>
      <c r="C305" s="123" t="s">
        <v>2416</v>
      </c>
      <c r="D305" s="123" t="s">
        <v>2417</v>
      </c>
      <c r="E305" s="123" t="s">
        <v>2418</v>
      </c>
      <c r="F305" s="123" t="s">
        <v>2419</v>
      </c>
      <c r="G305" s="123" t="s">
        <v>2383</v>
      </c>
      <c r="H305" s="122" t="s">
        <v>2406</v>
      </c>
      <c r="I305" s="206" t="s">
        <v>2402</v>
      </c>
      <c r="J305" s="206"/>
      <c r="K305" s="207">
        <f t="shared" si="4"/>
        <v>1</v>
      </c>
      <c r="L305" s="208">
        <v>6375620</v>
      </c>
    </row>
    <row r="306" spans="1:12" ht="49.5" hidden="1" x14ac:dyDescent="0.3">
      <c r="A306" s="122">
        <v>13</v>
      </c>
      <c r="B306" s="123">
        <v>1511286499</v>
      </c>
      <c r="C306" s="123" t="s">
        <v>2420</v>
      </c>
      <c r="D306" s="123" t="s">
        <v>2421</v>
      </c>
      <c r="E306" s="123" t="s">
        <v>2399</v>
      </c>
      <c r="F306" s="123" t="s">
        <v>2422</v>
      </c>
      <c r="G306" s="123" t="s">
        <v>2383</v>
      </c>
      <c r="H306" s="122" t="s">
        <v>2406</v>
      </c>
      <c r="I306" s="206" t="s">
        <v>2402</v>
      </c>
      <c r="J306" s="206"/>
      <c r="K306" s="207">
        <f t="shared" si="4"/>
        <v>1</v>
      </c>
      <c r="L306" s="208">
        <v>19016273</v>
      </c>
    </row>
    <row r="307" spans="1:12" ht="49.5" hidden="1" x14ac:dyDescent="0.3">
      <c r="A307" s="122">
        <v>14</v>
      </c>
      <c r="B307" s="123">
        <v>2020234566</v>
      </c>
      <c r="C307" s="123" t="s">
        <v>2423</v>
      </c>
      <c r="D307" s="123" t="s">
        <v>2424</v>
      </c>
      <c r="E307" s="123" t="s">
        <v>2425</v>
      </c>
      <c r="F307" s="123" t="s">
        <v>2426</v>
      </c>
      <c r="G307" s="123" t="s">
        <v>2383</v>
      </c>
      <c r="H307" s="122" t="s">
        <v>2406</v>
      </c>
      <c r="I307" s="206" t="s">
        <v>2402</v>
      </c>
      <c r="J307" s="206"/>
      <c r="K307" s="207">
        <f t="shared" si="4"/>
        <v>1</v>
      </c>
      <c r="L307" s="208">
        <v>1089049</v>
      </c>
    </row>
    <row r="308" spans="1:12" ht="49.5" hidden="1" x14ac:dyDescent="0.3">
      <c r="A308" s="122">
        <v>15</v>
      </c>
      <c r="B308" s="123">
        <v>221100360222</v>
      </c>
      <c r="C308" s="123" t="s">
        <v>2427</v>
      </c>
      <c r="D308" s="123" t="s">
        <v>2428</v>
      </c>
      <c r="E308" s="123" t="s">
        <v>2429</v>
      </c>
      <c r="F308" s="123" t="s">
        <v>2430</v>
      </c>
      <c r="G308" s="123" t="s">
        <v>2383</v>
      </c>
      <c r="H308" s="122"/>
      <c r="I308" s="206" t="s">
        <v>2402</v>
      </c>
      <c r="J308" s="206"/>
      <c r="K308" s="207">
        <f t="shared" si="4"/>
        <v>1</v>
      </c>
      <c r="L308" s="208">
        <v>84145</v>
      </c>
    </row>
    <row r="309" spans="1:12" ht="49.5" hidden="1" x14ac:dyDescent="0.3">
      <c r="A309" s="122">
        <v>16</v>
      </c>
      <c r="B309" s="123">
        <v>1511288637</v>
      </c>
      <c r="C309" s="123" t="s">
        <v>2431</v>
      </c>
      <c r="D309" s="123" t="s">
        <v>2432</v>
      </c>
      <c r="E309" s="123" t="s">
        <v>2399</v>
      </c>
      <c r="F309" s="123" t="s">
        <v>2430</v>
      </c>
      <c r="G309" s="123" t="s">
        <v>2383</v>
      </c>
      <c r="H309" s="122" t="s">
        <v>2406</v>
      </c>
      <c r="I309" s="206" t="s">
        <v>2402</v>
      </c>
      <c r="J309" s="206"/>
      <c r="K309" s="207">
        <f t="shared" si="4"/>
        <v>1</v>
      </c>
      <c r="L309" s="208">
        <v>7873362</v>
      </c>
    </row>
    <row r="310" spans="1:12" ht="49.5" hidden="1" x14ac:dyDescent="0.3">
      <c r="A310" s="122">
        <v>17</v>
      </c>
      <c r="B310" s="123">
        <v>1920049839</v>
      </c>
      <c r="C310" s="123" t="s">
        <v>2433</v>
      </c>
      <c r="D310" s="123" t="s">
        <v>2434</v>
      </c>
      <c r="E310" s="123" t="s">
        <v>2425</v>
      </c>
      <c r="F310" s="123" t="s">
        <v>2435</v>
      </c>
      <c r="G310" s="123" t="s">
        <v>2383</v>
      </c>
      <c r="H310" s="122" t="s">
        <v>2406</v>
      </c>
      <c r="I310" s="206" t="s">
        <v>2402</v>
      </c>
      <c r="J310" s="206"/>
      <c r="K310" s="207">
        <f t="shared" si="4"/>
        <v>1</v>
      </c>
      <c r="L310" s="208">
        <v>935187</v>
      </c>
    </row>
    <row r="311" spans="1:12" ht="49.5" hidden="1" x14ac:dyDescent="0.3">
      <c r="A311" s="122">
        <v>18</v>
      </c>
      <c r="B311" s="123">
        <v>1920052664</v>
      </c>
      <c r="C311" s="123" t="s">
        <v>2436</v>
      </c>
      <c r="D311" s="123" t="s">
        <v>2437</v>
      </c>
      <c r="E311" s="123" t="s">
        <v>2425</v>
      </c>
      <c r="F311" s="123" t="s">
        <v>2438</v>
      </c>
      <c r="G311" s="123" t="s">
        <v>2383</v>
      </c>
      <c r="H311" s="122" t="s">
        <v>2406</v>
      </c>
      <c r="I311" s="206" t="s">
        <v>2402</v>
      </c>
      <c r="J311" s="206"/>
      <c r="K311" s="207">
        <f t="shared" si="4"/>
        <v>1</v>
      </c>
      <c r="L311" s="208">
        <v>1687664</v>
      </c>
    </row>
    <row r="312" spans="1:12" ht="49.5" hidden="1" x14ac:dyDescent="0.3">
      <c r="A312" s="122">
        <v>19</v>
      </c>
      <c r="B312" s="123">
        <v>1511025355</v>
      </c>
      <c r="C312" s="123" t="s">
        <v>2439</v>
      </c>
      <c r="D312" s="123" t="s">
        <v>2440</v>
      </c>
      <c r="E312" s="123" t="s">
        <v>2399</v>
      </c>
      <c r="F312" s="123" t="s">
        <v>2441</v>
      </c>
      <c r="G312" s="123" t="s">
        <v>2383</v>
      </c>
      <c r="H312" s="122" t="s">
        <v>2406</v>
      </c>
      <c r="I312" s="206" t="s">
        <v>2402</v>
      </c>
      <c r="J312" s="206"/>
      <c r="K312" s="207">
        <f t="shared" si="4"/>
        <v>1</v>
      </c>
      <c r="L312" s="208">
        <v>4272049</v>
      </c>
    </row>
    <row r="313" spans="1:12" ht="49.5" hidden="1" x14ac:dyDescent="0.3">
      <c r="A313" s="122">
        <v>20</v>
      </c>
      <c r="B313" s="123">
        <v>221100332271</v>
      </c>
      <c r="C313" s="123" t="s">
        <v>2442</v>
      </c>
      <c r="D313" s="123" t="s">
        <v>2443</v>
      </c>
      <c r="E313" s="123" t="s">
        <v>2444</v>
      </c>
      <c r="F313" s="123" t="s">
        <v>2445</v>
      </c>
      <c r="G313" s="123" t="s">
        <v>2383</v>
      </c>
      <c r="H313" s="122" t="s">
        <v>2406</v>
      </c>
      <c r="I313" s="206" t="s">
        <v>2402</v>
      </c>
      <c r="J313" s="206"/>
      <c r="K313" s="207">
        <f t="shared" si="4"/>
        <v>1</v>
      </c>
      <c r="L313" s="208">
        <v>5445241</v>
      </c>
    </row>
    <row r="314" spans="1:12" ht="49.5" hidden="1" x14ac:dyDescent="0.3">
      <c r="A314" s="122">
        <v>21</v>
      </c>
      <c r="B314" s="123">
        <v>1511228754</v>
      </c>
      <c r="C314" s="123" t="s">
        <v>2446</v>
      </c>
      <c r="D314" s="123" t="s">
        <v>2447</v>
      </c>
      <c r="E314" s="123" t="s">
        <v>2444</v>
      </c>
      <c r="F314" s="123" t="s">
        <v>2448</v>
      </c>
      <c r="G314" s="123" t="s">
        <v>2383</v>
      </c>
      <c r="H314" s="122" t="s">
        <v>2406</v>
      </c>
      <c r="I314" s="206" t="s">
        <v>2402</v>
      </c>
      <c r="J314" s="206"/>
      <c r="K314" s="207">
        <f t="shared" si="4"/>
        <v>1</v>
      </c>
      <c r="L314" s="208">
        <v>2832006</v>
      </c>
    </row>
    <row r="315" spans="1:12" ht="66" hidden="1" x14ac:dyDescent="0.3">
      <c r="A315" s="122">
        <v>22</v>
      </c>
      <c r="B315" s="123">
        <v>1611266216</v>
      </c>
      <c r="C315" s="123" t="s">
        <v>2449</v>
      </c>
      <c r="D315" s="123" t="s">
        <v>2450</v>
      </c>
      <c r="E315" s="123" t="s">
        <v>2399</v>
      </c>
      <c r="F315" s="123" t="s">
        <v>2451</v>
      </c>
      <c r="G315" s="123" t="s">
        <v>2383</v>
      </c>
      <c r="H315" s="122" t="s">
        <v>2406</v>
      </c>
      <c r="I315" s="206" t="s">
        <v>2402</v>
      </c>
      <c r="J315" s="206"/>
      <c r="K315" s="207">
        <f t="shared" si="4"/>
        <v>1</v>
      </c>
      <c r="L315" s="208">
        <v>3308014</v>
      </c>
    </row>
    <row r="316" spans="1:12" ht="66" hidden="1" x14ac:dyDescent="0.3">
      <c r="A316" s="122">
        <v>23</v>
      </c>
      <c r="B316" s="123">
        <v>221100332355</v>
      </c>
      <c r="C316" s="123" t="s">
        <v>2452</v>
      </c>
      <c r="D316" s="123" t="s">
        <v>2453</v>
      </c>
      <c r="E316" s="123" t="s">
        <v>2399</v>
      </c>
      <c r="F316" s="123" t="s">
        <v>2454</v>
      </c>
      <c r="G316" s="123" t="s">
        <v>2383</v>
      </c>
      <c r="H316" s="122" t="s">
        <v>2406</v>
      </c>
      <c r="I316" s="206" t="s">
        <v>2402</v>
      </c>
      <c r="J316" s="206"/>
      <c r="K316" s="207">
        <f t="shared" si="4"/>
        <v>1</v>
      </c>
      <c r="L316" s="208">
        <v>3683051</v>
      </c>
    </row>
    <row r="317" spans="1:12" ht="49.5" hidden="1" x14ac:dyDescent="0.3">
      <c r="A317" s="122">
        <v>24</v>
      </c>
      <c r="B317" s="123">
        <v>1611082543</v>
      </c>
      <c r="C317" s="123" t="s">
        <v>2455</v>
      </c>
      <c r="D317" s="123" t="s">
        <v>2456</v>
      </c>
      <c r="E317" s="123" t="s">
        <v>2457</v>
      </c>
      <c r="F317" s="123" t="s">
        <v>2458</v>
      </c>
      <c r="G317" s="123" t="s">
        <v>2383</v>
      </c>
      <c r="H317" s="122" t="s">
        <v>2406</v>
      </c>
      <c r="I317" s="206" t="s">
        <v>2402</v>
      </c>
      <c r="J317" s="206"/>
      <c r="K317" s="207">
        <f t="shared" si="4"/>
        <v>1</v>
      </c>
      <c r="L317" s="208">
        <v>2355999</v>
      </c>
    </row>
    <row r="318" spans="1:12" ht="49.5" hidden="1" x14ac:dyDescent="0.3">
      <c r="A318" s="122">
        <v>25</v>
      </c>
      <c r="B318" s="123">
        <v>1511289145</v>
      </c>
      <c r="C318" s="123" t="s">
        <v>2459</v>
      </c>
      <c r="D318" s="123" t="s">
        <v>2460</v>
      </c>
      <c r="E318" s="123" t="s">
        <v>2399</v>
      </c>
      <c r="F318" s="123" t="s">
        <v>2461</v>
      </c>
      <c r="G318" s="123" t="s">
        <v>2383</v>
      </c>
      <c r="H318" s="122" t="s">
        <v>2406</v>
      </c>
      <c r="I318" s="206" t="s">
        <v>2402</v>
      </c>
      <c r="J318" s="206"/>
      <c r="K318" s="207">
        <f t="shared" si="4"/>
        <v>1</v>
      </c>
      <c r="L318" s="208">
        <v>6709788</v>
      </c>
    </row>
    <row r="319" spans="1:12" ht="49.5" hidden="1" x14ac:dyDescent="0.3">
      <c r="A319" s="122">
        <v>26</v>
      </c>
      <c r="B319" s="123">
        <v>21039944</v>
      </c>
      <c r="C319" s="123" t="s">
        <v>2462</v>
      </c>
      <c r="D319" s="123" t="s">
        <v>2463</v>
      </c>
      <c r="E319" s="123" t="s">
        <v>2457</v>
      </c>
      <c r="F319" s="123" t="s">
        <v>2464</v>
      </c>
      <c r="G319" s="123" t="s">
        <v>2383</v>
      </c>
      <c r="H319" s="122" t="s">
        <v>2406</v>
      </c>
      <c r="I319" s="206" t="s">
        <v>2402</v>
      </c>
      <c r="J319" s="206"/>
      <c r="K319" s="207">
        <f t="shared" si="4"/>
        <v>1</v>
      </c>
      <c r="L319" s="208">
        <v>2120398</v>
      </c>
    </row>
    <row r="320" spans="1:12" ht="66" hidden="1" x14ac:dyDescent="0.3">
      <c r="A320" s="122">
        <v>27</v>
      </c>
      <c r="B320" s="123">
        <v>21039947</v>
      </c>
      <c r="C320" s="123" t="s">
        <v>2465</v>
      </c>
      <c r="D320" s="123" t="s">
        <v>2466</v>
      </c>
      <c r="E320" s="123" t="s">
        <v>2457</v>
      </c>
      <c r="F320" s="123" t="s">
        <v>2467</v>
      </c>
      <c r="G320" s="123" t="s">
        <v>2383</v>
      </c>
      <c r="H320" s="122" t="s">
        <v>2406</v>
      </c>
      <c r="I320" s="206" t="s">
        <v>2402</v>
      </c>
      <c r="J320" s="206"/>
      <c r="K320" s="207">
        <f t="shared" si="4"/>
        <v>1</v>
      </c>
      <c r="L320" s="208">
        <v>2536305</v>
      </c>
    </row>
    <row r="321" spans="1:12" ht="49.5" hidden="1" x14ac:dyDescent="0.3">
      <c r="A321" s="122">
        <v>28</v>
      </c>
      <c r="B321" s="123">
        <v>2020076873</v>
      </c>
      <c r="C321" s="123" t="s">
        <v>2468</v>
      </c>
      <c r="D321" s="123" t="s">
        <v>2469</v>
      </c>
      <c r="E321" s="123" t="s">
        <v>2425</v>
      </c>
      <c r="F321" s="123" t="s">
        <v>2470</v>
      </c>
      <c r="G321" s="123" t="s">
        <v>2383</v>
      </c>
      <c r="H321" s="122" t="s">
        <v>2406</v>
      </c>
      <c r="I321" s="206" t="s">
        <v>2402</v>
      </c>
      <c r="J321" s="206"/>
      <c r="K321" s="207">
        <f t="shared" si="4"/>
        <v>1</v>
      </c>
      <c r="L321" s="208">
        <v>2392060</v>
      </c>
    </row>
    <row r="322" spans="1:12" ht="49.5" hidden="1" x14ac:dyDescent="0.3">
      <c r="A322" s="122">
        <v>29</v>
      </c>
      <c r="B322" s="123">
        <v>1511288713</v>
      </c>
      <c r="C322" s="123" t="s">
        <v>2471</v>
      </c>
      <c r="D322" s="123" t="s">
        <v>2472</v>
      </c>
      <c r="E322" s="123" t="s">
        <v>2399</v>
      </c>
      <c r="F322" s="123" t="s">
        <v>2473</v>
      </c>
      <c r="G322" s="123" t="s">
        <v>2383</v>
      </c>
      <c r="H322" s="122" t="s">
        <v>2406</v>
      </c>
      <c r="I322" s="206" t="s">
        <v>2402</v>
      </c>
      <c r="J322" s="206"/>
      <c r="K322" s="207">
        <f t="shared" ref="K322:K385" si="5">IF(L322="","",IF(L322&lt;&gt;0,1,0))</f>
        <v>1</v>
      </c>
      <c r="L322" s="208">
        <v>8190702</v>
      </c>
    </row>
    <row r="323" spans="1:12" ht="66" hidden="1" x14ac:dyDescent="0.3">
      <c r="A323" s="122">
        <v>30</v>
      </c>
      <c r="B323" s="123">
        <v>22416312</v>
      </c>
      <c r="C323" s="123" t="s">
        <v>2474</v>
      </c>
      <c r="D323" s="123" t="s">
        <v>2475</v>
      </c>
      <c r="E323" s="123" t="s">
        <v>2476</v>
      </c>
      <c r="F323" s="123" t="s">
        <v>2477</v>
      </c>
      <c r="G323" s="123" t="s">
        <v>2383</v>
      </c>
      <c r="H323" s="122" t="s">
        <v>2406</v>
      </c>
      <c r="I323" s="206" t="s">
        <v>2402</v>
      </c>
      <c r="J323" s="206"/>
      <c r="K323" s="207">
        <f t="shared" si="5"/>
        <v>1</v>
      </c>
      <c r="L323" s="208">
        <v>6019816</v>
      </c>
    </row>
    <row r="324" spans="1:12" ht="66" hidden="1" x14ac:dyDescent="0.3">
      <c r="A324" s="122">
        <v>31</v>
      </c>
      <c r="B324" s="123">
        <v>221100359986</v>
      </c>
      <c r="C324" s="123" t="s">
        <v>2478</v>
      </c>
      <c r="D324" s="123" t="s">
        <v>2479</v>
      </c>
      <c r="E324" s="123" t="s">
        <v>2476</v>
      </c>
      <c r="F324" s="123" t="s">
        <v>2480</v>
      </c>
      <c r="G324" s="123" t="s">
        <v>2383</v>
      </c>
      <c r="H324" s="122" t="s">
        <v>2406</v>
      </c>
      <c r="I324" s="206" t="s">
        <v>2402</v>
      </c>
      <c r="J324" s="206"/>
      <c r="K324" s="207">
        <f t="shared" si="5"/>
        <v>1</v>
      </c>
      <c r="L324" s="208">
        <v>3298397</v>
      </c>
    </row>
    <row r="325" spans="1:12" ht="49.5" hidden="1" x14ac:dyDescent="0.3">
      <c r="A325" s="122">
        <v>32</v>
      </c>
      <c r="B325" s="123">
        <v>22425288</v>
      </c>
      <c r="C325" s="123" t="s">
        <v>2481</v>
      </c>
      <c r="D325" s="123" t="s">
        <v>2482</v>
      </c>
      <c r="E325" s="123" t="s">
        <v>2483</v>
      </c>
      <c r="F325" s="123" t="s">
        <v>2484</v>
      </c>
      <c r="G325" s="123" t="s">
        <v>2383</v>
      </c>
      <c r="H325" s="122" t="s">
        <v>2401</v>
      </c>
      <c r="I325" s="206" t="s">
        <v>2402</v>
      </c>
      <c r="J325" s="206"/>
      <c r="K325" s="207">
        <f t="shared" si="5"/>
        <v>1</v>
      </c>
      <c r="L325" s="208">
        <v>25478440</v>
      </c>
    </row>
    <row r="326" spans="1:12" ht="49.5" hidden="1" x14ac:dyDescent="0.3">
      <c r="A326" s="122">
        <v>33</v>
      </c>
      <c r="B326" s="123">
        <v>22425293</v>
      </c>
      <c r="C326" s="123" t="s">
        <v>2485</v>
      </c>
      <c r="D326" s="123" t="s">
        <v>2486</v>
      </c>
      <c r="E326" s="123" t="s">
        <v>2483</v>
      </c>
      <c r="F326" s="123" t="s">
        <v>2487</v>
      </c>
      <c r="G326" s="123" t="s">
        <v>2383</v>
      </c>
      <c r="H326" s="122" t="s">
        <v>2401</v>
      </c>
      <c r="I326" s="206" t="s">
        <v>2402</v>
      </c>
      <c r="J326" s="206"/>
      <c r="K326" s="207">
        <f t="shared" si="5"/>
        <v>1</v>
      </c>
      <c r="L326" s="208">
        <v>12282445</v>
      </c>
    </row>
    <row r="327" spans="1:12" ht="49.5" hidden="1" x14ac:dyDescent="0.3">
      <c r="A327" s="122">
        <v>34</v>
      </c>
      <c r="B327" s="123">
        <v>22425285</v>
      </c>
      <c r="C327" s="123" t="s">
        <v>2488</v>
      </c>
      <c r="D327" s="123" t="s">
        <v>2489</v>
      </c>
      <c r="E327" s="123" t="s">
        <v>2399</v>
      </c>
      <c r="F327" s="123" t="s">
        <v>2490</v>
      </c>
      <c r="G327" s="123" t="s">
        <v>2383</v>
      </c>
      <c r="H327" s="122" t="s">
        <v>2406</v>
      </c>
      <c r="I327" s="206" t="s">
        <v>2402</v>
      </c>
      <c r="J327" s="206"/>
      <c r="K327" s="207">
        <f t="shared" si="5"/>
        <v>1</v>
      </c>
      <c r="L327" s="208">
        <v>5649587</v>
      </c>
    </row>
    <row r="328" spans="1:12" ht="49.5" hidden="1" x14ac:dyDescent="0.3">
      <c r="A328" s="122">
        <v>35</v>
      </c>
      <c r="B328" s="123">
        <v>2020097689</v>
      </c>
      <c r="C328" s="123" t="s">
        <v>2491</v>
      </c>
      <c r="D328" s="123" t="s">
        <v>2492</v>
      </c>
      <c r="E328" s="123" t="s">
        <v>2425</v>
      </c>
      <c r="F328" s="123" t="s">
        <v>2493</v>
      </c>
      <c r="G328" s="123" t="s">
        <v>2383</v>
      </c>
      <c r="H328" s="122" t="s">
        <v>2406</v>
      </c>
      <c r="I328" s="206" t="s">
        <v>2402</v>
      </c>
      <c r="J328" s="206"/>
      <c r="K328" s="207">
        <f t="shared" si="5"/>
        <v>1</v>
      </c>
      <c r="L328" s="208">
        <v>3286378</v>
      </c>
    </row>
    <row r="329" spans="1:12" ht="49.5" hidden="1" x14ac:dyDescent="0.3">
      <c r="A329" s="122">
        <v>36</v>
      </c>
      <c r="B329" s="123">
        <v>2120134436</v>
      </c>
      <c r="C329" s="123" t="s">
        <v>2494</v>
      </c>
      <c r="D329" s="123" t="s">
        <v>2495</v>
      </c>
      <c r="E329" s="123" t="s">
        <v>2425</v>
      </c>
      <c r="F329" s="123" t="s">
        <v>2496</v>
      </c>
      <c r="G329" s="123" t="s">
        <v>2383</v>
      </c>
      <c r="H329" s="122" t="s">
        <v>2406</v>
      </c>
      <c r="I329" s="206" t="s">
        <v>2402</v>
      </c>
      <c r="J329" s="206"/>
      <c r="K329" s="207">
        <f t="shared" si="5"/>
        <v>1</v>
      </c>
      <c r="L329" s="208">
        <v>3142133</v>
      </c>
    </row>
    <row r="330" spans="1:12" ht="49.5" hidden="1" x14ac:dyDescent="0.3">
      <c r="A330" s="122">
        <v>37</v>
      </c>
      <c r="B330" s="123">
        <v>2020171391</v>
      </c>
      <c r="C330" s="123" t="s">
        <v>2497</v>
      </c>
      <c r="D330" s="123" t="s">
        <v>2498</v>
      </c>
      <c r="E330" s="123" t="s">
        <v>2425</v>
      </c>
      <c r="F330" s="123" t="s">
        <v>2499</v>
      </c>
      <c r="G330" s="123" t="s">
        <v>2383</v>
      </c>
      <c r="H330" s="122" t="s">
        <v>2406</v>
      </c>
      <c r="I330" s="206" t="s">
        <v>2402</v>
      </c>
      <c r="J330" s="206"/>
      <c r="K330" s="207">
        <f t="shared" si="5"/>
        <v>1</v>
      </c>
      <c r="L330" s="208">
        <v>2401677</v>
      </c>
    </row>
    <row r="331" spans="1:12" ht="66" hidden="1" x14ac:dyDescent="0.3">
      <c r="A331" s="122">
        <v>38</v>
      </c>
      <c r="B331" s="123">
        <v>221100359981</v>
      </c>
      <c r="C331" s="123" t="s">
        <v>2500</v>
      </c>
      <c r="D331" s="123" t="s">
        <v>2501</v>
      </c>
      <c r="E331" s="123" t="s">
        <v>2476</v>
      </c>
      <c r="F331" s="123" t="s">
        <v>2502</v>
      </c>
      <c r="G331" s="123" t="s">
        <v>2383</v>
      </c>
      <c r="H331" s="122" t="s">
        <v>2406</v>
      </c>
      <c r="I331" s="206" t="s">
        <v>2402</v>
      </c>
      <c r="J331" s="206"/>
      <c r="K331" s="207">
        <f t="shared" si="5"/>
        <v>1</v>
      </c>
      <c r="L331" s="208">
        <v>2252623</v>
      </c>
    </row>
    <row r="332" spans="1:12" ht="49.5" hidden="1" x14ac:dyDescent="0.3">
      <c r="A332" s="122">
        <v>39</v>
      </c>
      <c r="B332" s="123">
        <v>17115871</v>
      </c>
      <c r="C332" s="123" t="s">
        <v>2503</v>
      </c>
      <c r="D332" s="123" t="s">
        <v>2504</v>
      </c>
      <c r="E332" s="123" t="s">
        <v>2476</v>
      </c>
      <c r="F332" s="123" t="s">
        <v>2505</v>
      </c>
      <c r="G332" s="123" t="s">
        <v>2383</v>
      </c>
      <c r="H332" s="122" t="s">
        <v>2406</v>
      </c>
      <c r="I332" s="206" t="s">
        <v>2402</v>
      </c>
      <c r="J332" s="206"/>
      <c r="K332" s="207">
        <f t="shared" si="5"/>
        <v>1</v>
      </c>
      <c r="L332" s="208">
        <v>1103473</v>
      </c>
    </row>
    <row r="333" spans="1:12" ht="66" hidden="1" x14ac:dyDescent="0.3">
      <c r="A333" s="122">
        <v>40</v>
      </c>
      <c r="B333" s="123">
        <v>221100360262</v>
      </c>
      <c r="C333" s="123" t="s">
        <v>2506</v>
      </c>
      <c r="D333" s="123" t="s">
        <v>2507</v>
      </c>
      <c r="E333" s="123" t="s">
        <v>2399</v>
      </c>
      <c r="F333" s="123" t="s">
        <v>2508</v>
      </c>
      <c r="G333" s="123" t="s">
        <v>2383</v>
      </c>
      <c r="H333" s="122" t="s">
        <v>2406</v>
      </c>
      <c r="I333" s="206" t="s">
        <v>2402</v>
      </c>
      <c r="J333" s="206"/>
      <c r="K333" s="207">
        <f t="shared" si="5"/>
        <v>1</v>
      </c>
      <c r="L333" s="208">
        <v>17833466</v>
      </c>
    </row>
    <row r="334" spans="1:12" ht="49.5" hidden="1" x14ac:dyDescent="0.3">
      <c r="A334" s="122">
        <v>41</v>
      </c>
      <c r="B334" s="123">
        <v>2020079044</v>
      </c>
      <c r="C334" s="123" t="s">
        <v>2509</v>
      </c>
      <c r="D334" s="123" t="s">
        <v>2510</v>
      </c>
      <c r="E334" s="123" t="s">
        <v>2425</v>
      </c>
      <c r="F334" s="123" t="s">
        <v>2511</v>
      </c>
      <c r="G334" s="123" t="s">
        <v>2383</v>
      </c>
      <c r="H334" s="122" t="s">
        <v>2406</v>
      </c>
      <c r="I334" s="206" t="s">
        <v>2402</v>
      </c>
      <c r="J334" s="206"/>
      <c r="K334" s="207">
        <f t="shared" si="5"/>
        <v>1</v>
      </c>
      <c r="L334" s="208">
        <v>2416100</v>
      </c>
    </row>
    <row r="335" spans="1:12" ht="49.5" hidden="1" x14ac:dyDescent="0.3">
      <c r="A335" s="122">
        <v>42</v>
      </c>
      <c r="B335" s="123">
        <v>1511024323</v>
      </c>
      <c r="C335" s="123" t="s">
        <v>2512</v>
      </c>
      <c r="D335" s="123" t="s">
        <v>2513</v>
      </c>
      <c r="E335" s="123" t="s">
        <v>2399</v>
      </c>
      <c r="F335" s="123" t="s">
        <v>2514</v>
      </c>
      <c r="G335" s="123" t="s">
        <v>2383</v>
      </c>
      <c r="H335" s="122" t="s">
        <v>2406</v>
      </c>
      <c r="I335" s="206" t="s">
        <v>2402</v>
      </c>
      <c r="J335" s="206"/>
      <c r="K335" s="207">
        <f t="shared" si="5"/>
        <v>0</v>
      </c>
      <c r="L335" s="208">
        <v>0</v>
      </c>
    </row>
    <row r="336" spans="1:12" ht="66" hidden="1" x14ac:dyDescent="0.3">
      <c r="A336" s="122">
        <v>43</v>
      </c>
      <c r="B336" s="123">
        <v>221100046703</v>
      </c>
      <c r="C336" s="123" t="s">
        <v>2515</v>
      </c>
      <c r="D336" s="123" t="s">
        <v>2516</v>
      </c>
      <c r="E336" s="123" t="s">
        <v>2399</v>
      </c>
      <c r="F336" s="123" t="s">
        <v>2517</v>
      </c>
      <c r="G336" s="123" t="s">
        <v>2383</v>
      </c>
      <c r="H336" s="122" t="s">
        <v>2406</v>
      </c>
      <c r="I336" s="206" t="s">
        <v>2402</v>
      </c>
      <c r="J336" s="206"/>
      <c r="K336" s="207">
        <f t="shared" si="5"/>
        <v>1</v>
      </c>
      <c r="L336" s="208">
        <v>5839510</v>
      </c>
    </row>
    <row r="337" spans="1:12" ht="49.5" hidden="1" x14ac:dyDescent="0.3">
      <c r="A337" s="122">
        <v>44</v>
      </c>
      <c r="B337" s="123">
        <v>25091916</v>
      </c>
      <c r="C337" s="123" t="s">
        <v>2518</v>
      </c>
      <c r="D337" s="123" t="s">
        <v>2519</v>
      </c>
      <c r="E337" s="123" t="s">
        <v>2425</v>
      </c>
      <c r="F337" s="123" t="s">
        <v>2520</v>
      </c>
      <c r="G337" s="123" t="s">
        <v>2383</v>
      </c>
      <c r="H337" s="122" t="s">
        <v>2406</v>
      </c>
      <c r="I337" s="206" t="s">
        <v>2402</v>
      </c>
      <c r="J337" s="206"/>
      <c r="K337" s="207">
        <f t="shared" si="5"/>
        <v>1</v>
      </c>
      <c r="L337" s="208">
        <v>1548228</v>
      </c>
    </row>
    <row r="338" spans="1:12" ht="49.5" hidden="1" x14ac:dyDescent="0.3">
      <c r="A338" s="122">
        <v>45</v>
      </c>
      <c r="B338" s="123">
        <v>21034216</v>
      </c>
      <c r="C338" s="123" t="s">
        <v>2521</v>
      </c>
      <c r="D338" s="123" t="s">
        <v>2522</v>
      </c>
      <c r="E338" s="123" t="s">
        <v>2523</v>
      </c>
      <c r="F338" s="123" t="s">
        <v>2524</v>
      </c>
      <c r="G338" s="123" t="s">
        <v>2383</v>
      </c>
      <c r="H338" s="122"/>
      <c r="I338" s="206" t="s">
        <v>2402</v>
      </c>
      <c r="J338" s="206"/>
      <c r="K338" s="207">
        <f t="shared" si="5"/>
        <v>1</v>
      </c>
      <c r="L338" s="208">
        <v>4808</v>
      </c>
    </row>
    <row r="339" spans="1:12" ht="49.5" hidden="1" x14ac:dyDescent="0.3">
      <c r="A339" s="122">
        <v>46</v>
      </c>
      <c r="B339" s="123">
        <v>1511225119</v>
      </c>
      <c r="C339" s="123" t="s">
        <v>2525</v>
      </c>
      <c r="D339" s="123" t="s">
        <v>2526</v>
      </c>
      <c r="E339" s="123" t="s">
        <v>2399</v>
      </c>
      <c r="F339" s="123" t="s">
        <v>2527</v>
      </c>
      <c r="G339" s="123" t="s">
        <v>2383</v>
      </c>
      <c r="H339" s="122" t="s">
        <v>2406</v>
      </c>
      <c r="I339" s="206" t="s">
        <v>2402</v>
      </c>
      <c r="J339" s="206"/>
      <c r="K339" s="207">
        <f t="shared" si="5"/>
        <v>1</v>
      </c>
      <c r="L339" s="208">
        <v>8666709</v>
      </c>
    </row>
    <row r="340" spans="1:12" ht="49.5" hidden="1" x14ac:dyDescent="0.3">
      <c r="A340" s="122">
        <v>47</v>
      </c>
      <c r="B340" s="123">
        <v>2020117931</v>
      </c>
      <c r="C340" s="123" t="s">
        <v>2528</v>
      </c>
      <c r="D340" s="123" t="s">
        <v>2529</v>
      </c>
      <c r="E340" s="123" t="s">
        <v>2425</v>
      </c>
      <c r="F340" s="123" t="s">
        <v>2530</v>
      </c>
      <c r="G340" s="123" t="s">
        <v>2383</v>
      </c>
      <c r="H340" s="122" t="s">
        <v>2406</v>
      </c>
      <c r="I340" s="206" t="s">
        <v>2402</v>
      </c>
      <c r="J340" s="206"/>
      <c r="K340" s="207">
        <f t="shared" si="5"/>
        <v>1</v>
      </c>
      <c r="L340" s="208">
        <v>1430428</v>
      </c>
    </row>
    <row r="341" spans="1:12" ht="49.5" hidden="1" x14ac:dyDescent="0.3">
      <c r="A341" s="122">
        <v>48</v>
      </c>
      <c r="B341" s="123">
        <v>2020105829</v>
      </c>
      <c r="C341" s="123" t="s">
        <v>2531</v>
      </c>
      <c r="D341" s="123" t="s">
        <v>2532</v>
      </c>
      <c r="E341" s="123" t="s">
        <v>2425</v>
      </c>
      <c r="F341" s="123" t="s">
        <v>2533</v>
      </c>
      <c r="G341" s="123" t="s">
        <v>2383</v>
      </c>
      <c r="H341" s="122" t="s">
        <v>2406</v>
      </c>
      <c r="I341" s="206" t="s">
        <v>2402</v>
      </c>
      <c r="J341" s="206"/>
      <c r="K341" s="207">
        <f t="shared" si="5"/>
        <v>1</v>
      </c>
      <c r="L341" s="208">
        <v>2127611</v>
      </c>
    </row>
    <row r="342" spans="1:12" ht="49.5" hidden="1" x14ac:dyDescent="0.3">
      <c r="A342" s="122">
        <v>49</v>
      </c>
      <c r="B342" s="123">
        <v>221100065999</v>
      </c>
      <c r="C342" s="123" t="s">
        <v>2534</v>
      </c>
      <c r="D342" s="123" t="s">
        <v>2535</v>
      </c>
      <c r="E342" s="123" t="s">
        <v>2536</v>
      </c>
      <c r="F342" s="123" t="s">
        <v>2537</v>
      </c>
      <c r="G342" s="123" t="s">
        <v>2383</v>
      </c>
      <c r="H342" s="122" t="s">
        <v>2401</v>
      </c>
      <c r="I342" s="206" t="s">
        <v>2402</v>
      </c>
      <c r="J342" s="206"/>
      <c r="K342" s="207">
        <f t="shared" si="5"/>
        <v>1</v>
      </c>
      <c r="L342" s="208">
        <v>7801240</v>
      </c>
    </row>
    <row r="343" spans="1:12" ht="49.5" hidden="1" x14ac:dyDescent="0.3">
      <c r="A343" s="122">
        <v>50</v>
      </c>
      <c r="B343" s="123">
        <v>221100065778</v>
      </c>
      <c r="C343" s="123" t="s">
        <v>2538</v>
      </c>
      <c r="D343" s="123" t="s">
        <v>2539</v>
      </c>
      <c r="E343" s="123" t="s">
        <v>2399</v>
      </c>
      <c r="F343" s="123" t="s">
        <v>2508</v>
      </c>
      <c r="G343" s="123" t="s">
        <v>2383</v>
      </c>
      <c r="H343" s="122" t="s">
        <v>2406</v>
      </c>
      <c r="I343" s="206" t="s">
        <v>2402</v>
      </c>
      <c r="J343" s="206"/>
      <c r="K343" s="207">
        <f t="shared" si="5"/>
        <v>1</v>
      </c>
      <c r="L343" s="208">
        <v>12878658</v>
      </c>
    </row>
    <row r="344" spans="1:12" ht="49.5" hidden="1" x14ac:dyDescent="0.3">
      <c r="A344" s="122">
        <v>51</v>
      </c>
      <c r="B344" s="123">
        <v>1511286339</v>
      </c>
      <c r="C344" s="123" t="s">
        <v>2540</v>
      </c>
      <c r="D344" s="123" t="s">
        <v>2541</v>
      </c>
      <c r="E344" s="123" t="s">
        <v>2399</v>
      </c>
      <c r="F344" s="123" t="s">
        <v>2542</v>
      </c>
      <c r="G344" s="123" t="s">
        <v>2383</v>
      </c>
      <c r="H344" s="122" t="s">
        <v>2406</v>
      </c>
      <c r="I344" s="206" t="s">
        <v>2402</v>
      </c>
      <c r="J344" s="206"/>
      <c r="K344" s="207">
        <f t="shared" si="5"/>
        <v>1</v>
      </c>
      <c r="L344" s="208">
        <v>6192909</v>
      </c>
    </row>
    <row r="345" spans="1:12" ht="49.5" hidden="1" x14ac:dyDescent="0.3">
      <c r="A345" s="122">
        <v>52</v>
      </c>
      <c r="B345" s="123">
        <v>21039943</v>
      </c>
      <c r="C345" s="123" t="s">
        <v>2543</v>
      </c>
      <c r="D345" s="123" t="s">
        <v>2544</v>
      </c>
      <c r="E345" s="123" t="s">
        <v>2476</v>
      </c>
      <c r="F345" s="123" t="s">
        <v>2545</v>
      </c>
      <c r="G345" s="123" t="s">
        <v>2383</v>
      </c>
      <c r="H345" s="122" t="s">
        <v>2406</v>
      </c>
      <c r="I345" s="206" t="s">
        <v>2402</v>
      </c>
      <c r="J345" s="206"/>
      <c r="K345" s="207">
        <f t="shared" si="5"/>
        <v>1</v>
      </c>
      <c r="L345" s="208">
        <v>1971347</v>
      </c>
    </row>
    <row r="346" spans="1:12" ht="49.5" hidden="1" x14ac:dyDescent="0.3">
      <c r="A346" s="122">
        <v>53</v>
      </c>
      <c r="B346" s="123">
        <v>221100362908</v>
      </c>
      <c r="C346" s="123" t="s">
        <v>2546</v>
      </c>
      <c r="D346" s="123" t="s">
        <v>2547</v>
      </c>
      <c r="E346" s="123" t="s">
        <v>2429</v>
      </c>
      <c r="F346" s="123" t="s">
        <v>2548</v>
      </c>
      <c r="G346" s="123" t="s">
        <v>2383</v>
      </c>
      <c r="H346" s="122"/>
      <c r="I346" s="206" t="s">
        <v>2402</v>
      </c>
      <c r="J346" s="206"/>
      <c r="K346" s="207">
        <f t="shared" si="5"/>
        <v>0</v>
      </c>
      <c r="L346" s="208">
        <v>0</v>
      </c>
    </row>
    <row r="347" spans="1:12" ht="66" hidden="1" x14ac:dyDescent="0.3">
      <c r="A347" s="122">
        <v>54</v>
      </c>
      <c r="B347" s="123">
        <v>1511225215</v>
      </c>
      <c r="C347" s="123" t="s">
        <v>2549</v>
      </c>
      <c r="D347" s="123" t="s">
        <v>2550</v>
      </c>
      <c r="E347" s="123" t="s">
        <v>2399</v>
      </c>
      <c r="F347" s="123" t="s">
        <v>2551</v>
      </c>
      <c r="G347" s="123" t="s">
        <v>2383</v>
      </c>
      <c r="H347" s="122" t="s">
        <v>2406</v>
      </c>
      <c r="I347" s="206" t="s">
        <v>2402</v>
      </c>
      <c r="J347" s="206"/>
      <c r="K347" s="207">
        <f t="shared" si="5"/>
        <v>1</v>
      </c>
      <c r="L347" s="208">
        <v>3226275</v>
      </c>
    </row>
    <row r="348" spans="1:12" ht="49.5" hidden="1" x14ac:dyDescent="0.3">
      <c r="A348" s="122">
        <v>55</v>
      </c>
      <c r="B348" s="123">
        <v>1511230144</v>
      </c>
      <c r="C348" s="123" t="s">
        <v>2552</v>
      </c>
      <c r="D348" s="123" t="s">
        <v>2553</v>
      </c>
      <c r="E348" s="123" t="s">
        <v>2399</v>
      </c>
      <c r="F348" s="123" t="s">
        <v>2554</v>
      </c>
      <c r="G348" s="123" t="s">
        <v>2383</v>
      </c>
      <c r="H348" s="122" t="s">
        <v>2406</v>
      </c>
      <c r="I348" s="206" t="s">
        <v>2402</v>
      </c>
      <c r="J348" s="206"/>
      <c r="K348" s="207">
        <f t="shared" si="5"/>
        <v>1</v>
      </c>
      <c r="L348" s="208">
        <v>6375621</v>
      </c>
    </row>
    <row r="349" spans="1:12" ht="49.5" hidden="1" x14ac:dyDescent="0.3">
      <c r="A349" s="122">
        <v>56</v>
      </c>
      <c r="B349" s="123">
        <v>221100362917</v>
      </c>
      <c r="C349" s="123" t="s">
        <v>2555</v>
      </c>
      <c r="D349" s="123" t="s">
        <v>2547</v>
      </c>
      <c r="E349" s="123" t="s">
        <v>2429</v>
      </c>
      <c r="F349" s="123" t="s">
        <v>2556</v>
      </c>
      <c r="G349" s="123" t="s">
        <v>2383</v>
      </c>
      <c r="H349" s="122"/>
      <c r="I349" s="206" t="s">
        <v>2402</v>
      </c>
      <c r="J349" s="206"/>
      <c r="K349" s="207">
        <f t="shared" si="5"/>
        <v>0</v>
      </c>
      <c r="L349" s="208">
        <v>0</v>
      </c>
    </row>
    <row r="350" spans="1:12" ht="66" hidden="1" x14ac:dyDescent="0.3">
      <c r="A350" s="122">
        <v>57</v>
      </c>
      <c r="B350" s="123">
        <v>1511221617</v>
      </c>
      <c r="C350" s="123" t="s">
        <v>2557</v>
      </c>
      <c r="D350" s="123" t="s">
        <v>2558</v>
      </c>
      <c r="E350" s="123" t="s">
        <v>2399</v>
      </c>
      <c r="F350" s="123" t="s">
        <v>2559</v>
      </c>
      <c r="G350" s="123" t="s">
        <v>2383</v>
      </c>
      <c r="H350" s="122" t="s">
        <v>2406</v>
      </c>
      <c r="I350" s="206" t="s">
        <v>2402</v>
      </c>
      <c r="J350" s="206"/>
      <c r="K350" s="207">
        <f t="shared" si="5"/>
        <v>1</v>
      </c>
      <c r="L350" s="208">
        <v>8039245</v>
      </c>
    </row>
    <row r="351" spans="1:12" ht="49.5" hidden="1" x14ac:dyDescent="0.3">
      <c r="A351" s="122">
        <v>58</v>
      </c>
      <c r="B351" s="123">
        <v>1611391018</v>
      </c>
      <c r="C351" s="123" t="s">
        <v>2560</v>
      </c>
      <c r="D351" s="123" t="s">
        <v>2561</v>
      </c>
      <c r="E351" s="123" t="s">
        <v>2562</v>
      </c>
      <c r="F351" s="123" t="s">
        <v>2563</v>
      </c>
      <c r="G351" s="123" t="s">
        <v>2383</v>
      </c>
      <c r="H351" s="122" t="s">
        <v>2406</v>
      </c>
      <c r="I351" s="206" t="s">
        <v>2402</v>
      </c>
      <c r="J351" s="206"/>
      <c r="K351" s="207">
        <f t="shared" si="5"/>
        <v>1</v>
      </c>
      <c r="L351" s="208">
        <v>7738734</v>
      </c>
    </row>
    <row r="352" spans="1:12" ht="66" hidden="1" x14ac:dyDescent="0.3">
      <c r="A352" s="122">
        <v>59</v>
      </c>
      <c r="B352" s="123">
        <v>221100360215</v>
      </c>
      <c r="C352" s="123" t="s">
        <v>2564</v>
      </c>
      <c r="D352" s="123" t="s">
        <v>2565</v>
      </c>
      <c r="E352" s="123" t="s">
        <v>2399</v>
      </c>
      <c r="F352" s="123" t="s">
        <v>2566</v>
      </c>
      <c r="G352" s="123" t="s">
        <v>2383</v>
      </c>
      <c r="H352" s="122" t="s">
        <v>2406</v>
      </c>
      <c r="I352" s="206" t="s">
        <v>2402</v>
      </c>
      <c r="J352" s="206"/>
      <c r="K352" s="207">
        <f t="shared" si="5"/>
        <v>1</v>
      </c>
      <c r="L352" s="208">
        <v>6231375</v>
      </c>
    </row>
    <row r="353" spans="1:12" ht="66" hidden="1" x14ac:dyDescent="0.3">
      <c r="A353" s="122">
        <v>60</v>
      </c>
      <c r="B353" s="123">
        <v>21007402</v>
      </c>
      <c r="C353" s="123" t="s">
        <v>2567</v>
      </c>
      <c r="D353" s="123" t="s">
        <v>2568</v>
      </c>
      <c r="E353" s="123" t="s">
        <v>2399</v>
      </c>
      <c r="F353" s="123" t="s">
        <v>2569</v>
      </c>
      <c r="G353" s="123" t="s">
        <v>2383</v>
      </c>
      <c r="H353" s="122" t="s">
        <v>2406</v>
      </c>
      <c r="I353" s="206" t="s">
        <v>2402</v>
      </c>
      <c r="J353" s="206"/>
      <c r="K353" s="207">
        <f t="shared" si="5"/>
        <v>1</v>
      </c>
      <c r="L353" s="208">
        <v>6527076</v>
      </c>
    </row>
    <row r="354" spans="1:12" ht="49.5" hidden="1" x14ac:dyDescent="0.3">
      <c r="A354" s="122">
        <v>61</v>
      </c>
      <c r="B354" s="123">
        <v>21110252</v>
      </c>
      <c r="C354" s="123" t="s">
        <v>2570</v>
      </c>
      <c r="D354" s="123" t="s">
        <v>2571</v>
      </c>
      <c r="E354" s="123" t="s">
        <v>2399</v>
      </c>
      <c r="F354" s="123" t="s">
        <v>2572</v>
      </c>
      <c r="G354" s="123" t="s">
        <v>2383</v>
      </c>
      <c r="H354" s="122" t="s">
        <v>2406</v>
      </c>
      <c r="I354" s="206" t="s">
        <v>2402</v>
      </c>
      <c r="J354" s="206"/>
      <c r="K354" s="207">
        <f t="shared" si="5"/>
        <v>1</v>
      </c>
      <c r="L354" s="208">
        <v>9676422</v>
      </c>
    </row>
    <row r="355" spans="1:12" ht="49.5" hidden="1" x14ac:dyDescent="0.3">
      <c r="A355" s="122">
        <v>62</v>
      </c>
      <c r="B355" s="123">
        <v>21081929</v>
      </c>
      <c r="C355" s="123" t="s">
        <v>2573</v>
      </c>
      <c r="D355" s="123" t="s">
        <v>2574</v>
      </c>
      <c r="E355" s="123" t="s">
        <v>2399</v>
      </c>
      <c r="F355" s="123" t="s">
        <v>2505</v>
      </c>
      <c r="G355" s="123" t="s">
        <v>2383</v>
      </c>
      <c r="H355" s="122" t="s">
        <v>2406</v>
      </c>
      <c r="I355" s="206" t="s">
        <v>2402</v>
      </c>
      <c r="J355" s="206"/>
      <c r="K355" s="207">
        <f t="shared" si="5"/>
        <v>1</v>
      </c>
      <c r="L355" s="208">
        <v>3108475</v>
      </c>
    </row>
    <row r="356" spans="1:12" ht="49.5" hidden="1" x14ac:dyDescent="0.3">
      <c r="A356" s="122">
        <v>63</v>
      </c>
      <c r="B356" s="123">
        <v>25091914</v>
      </c>
      <c r="C356" s="123" t="s">
        <v>2575</v>
      </c>
      <c r="D356" s="123" t="s">
        <v>2576</v>
      </c>
      <c r="E356" s="123" t="s">
        <v>2425</v>
      </c>
      <c r="F356" s="123" t="s">
        <v>2577</v>
      </c>
      <c r="G356" s="123" t="s">
        <v>2383</v>
      </c>
      <c r="H356" s="122" t="s">
        <v>2406</v>
      </c>
      <c r="I356" s="206" t="s">
        <v>2402</v>
      </c>
      <c r="J356" s="206"/>
      <c r="K356" s="207">
        <f t="shared" si="5"/>
        <v>1</v>
      </c>
      <c r="L356" s="208">
        <v>1281374</v>
      </c>
    </row>
    <row r="357" spans="1:12" ht="49.5" hidden="1" x14ac:dyDescent="0.3">
      <c r="A357" s="122">
        <v>64</v>
      </c>
      <c r="B357" s="123">
        <v>22434768</v>
      </c>
      <c r="C357" s="123" t="s">
        <v>2578</v>
      </c>
      <c r="D357" s="123" t="s">
        <v>2579</v>
      </c>
      <c r="E357" s="123" t="s">
        <v>2399</v>
      </c>
      <c r="F357" s="123" t="s">
        <v>2580</v>
      </c>
      <c r="G357" s="123" t="s">
        <v>2383</v>
      </c>
      <c r="H357" s="122" t="s">
        <v>2406</v>
      </c>
      <c r="I357" s="206" t="s">
        <v>2402</v>
      </c>
      <c r="J357" s="206"/>
      <c r="K357" s="207">
        <f t="shared" si="5"/>
        <v>1</v>
      </c>
      <c r="L357" s="208">
        <v>7426203</v>
      </c>
    </row>
    <row r="358" spans="1:12" ht="49.5" hidden="1" x14ac:dyDescent="0.3">
      <c r="A358" s="122">
        <v>65</v>
      </c>
      <c r="B358" s="123">
        <v>25092038</v>
      </c>
      <c r="C358" s="123" t="s">
        <v>2581</v>
      </c>
      <c r="D358" s="123" t="s">
        <v>2582</v>
      </c>
      <c r="E358" s="123" t="s">
        <v>2483</v>
      </c>
      <c r="F358" s="123" t="s">
        <v>2583</v>
      </c>
      <c r="G358" s="123" t="s">
        <v>2383</v>
      </c>
      <c r="H358" s="122" t="s">
        <v>2401</v>
      </c>
      <c r="I358" s="206" t="s">
        <v>2402</v>
      </c>
      <c r="J358" s="206"/>
      <c r="K358" s="207">
        <f t="shared" si="5"/>
        <v>1</v>
      </c>
      <c r="L358" s="208">
        <v>10008185</v>
      </c>
    </row>
    <row r="359" spans="1:12" ht="49.5" hidden="1" x14ac:dyDescent="0.3">
      <c r="A359" s="122">
        <v>66</v>
      </c>
      <c r="B359" s="123">
        <v>21072767</v>
      </c>
      <c r="C359" s="123" t="s">
        <v>2584</v>
      </c>
      <c r="D359" s="123" t="s">
        <v>2585</v>
      </c>
      <c r="E359" s="123" t="s">
        <v>2399</v>
      </c>
      <c r="F359" s="123" t="s">
        <v>2586</v>
      </c>
      <c r="G359" s="123" t="s">
        <v>2383</v>
      </c>
      <c r="H359" s="122" t="s">
        <v>2401</v>
      </c>
      <c r="I359" s="206" t="s">
        <v>2402</v>
      </c>
      <c r="J359" s="206"/>
      <c r="K359" s="207">
        <f t="shared" si="5"/>
        <v>1</v>
      </c>
      <c r="L359" s="208">
        <v>14645655</v>
      </c>
    </row>
    <row r="360" spans="1:12" ht="49.5" hidden="1" x14ac:dyDescent="0.3">
      <c r="A360" s="122">
        <v>67</v>
      </c>
      <c r="B360" s="123">
        <v>21034660</v>
      </c>
      <c r="C360" s="123" t="s">
        <v>2587</v>
      </c>
      <c r="D360" s="123" t="s">
        <v>2585</v>
      </c>
      <c r="E360" s="123" t="s">
        <v>2399</v>
      </c>
      <c r="F360" s="123" t="s">
        <v>2588</v>
      </c>
      <c r="G360" s="123" t="s">
        <v>2383</v>
      </c>
      <c r="H360" s="122" t="s">
        <v>2401</v>
      </c>
      <c r="I360" s="206" t="s">
        <v>2402</v>
      </c>
      <c r="J360" s="206"/>
      <c r="K360" s="207">
        <f t="shared" si="5"/>
        <v>1</v>
      </c>
      <c r="L360" s="208">
        <v>11130890</v>
      </c>
    </row>
    <row r="361" spans="1:12" ht="49.5" hidden="1" x14ac:dyDescent="0.3">
      <c r="A361" s="122">
        <v>68</v>
      </c>
      <c r="B361" s="123">
        <v>1920001494</v>
      </c>
      <c r="C361" s="123" t="s">
        <v>2589</v>
      </c>
      <c r="D361" s="123" t="s">
        <v>2590</v>
      </c>
      <c r="E361" s="123" t="s">
        <v>2425</v>
      </c>
      <c r="F361" s="123" t="s">
        <v>2591</v>
      </c>
      <c r="G361" s="123" t="s">
        <v>2383</v>
      </c>
      <c r="H361" s="122" t="s">
        <v>2406</v>
      </c>
      <c r="I361" s="206" t="s">
        <v>2402</v>
      </c>
      <c r="J361" s="206"/>
      <c r="K361" s="207">
        <f t="shared" si="5"/>
        <v>1</v>
      </c>
      <c r="L361" s="208">
        <v>1478509</v>
      </c>
    </row>
    <row r="362" spans="1:12" ht="49.5" hidden="1" x14ac:dyDescent="0.3">
      <c r="A362" s="122">
        <v>69</v>
      </c>
      <c r="B362" s="123">
        <v>21039941</v>
      </c>
      <c r="C362" s="123" t="s">
        <v>2592</v>
      </c>
      <c r="D362" s="123" t="s">
        <v>2593</v>
      </c>
      <c r="E362" s="123" t="s">
        <v>2594</v>
      </c>
      <c r="F362" s="123" t="s">
        <v>2595</v>
      </c>
      <c r="G362" s="123" t="s">
        <v>2383</v>
      </c>
      <c r="H362" s="122" t="s">
        <v>2406</v>
      </c>
      <c r="I362" s="206" t="s">
        <v>2402</v>
      </c>
      <c r="J362" s="206"/>
      <c r="K362" s="207">
        <f t="shared" si="5"/>
        <v>1</v>
      </c>
      <c r="L362" s="208">
        <v>1769403</v>
      </c>
    </row>
    <row r="363" spans="1:12" ht="49.5" hidden="1" x14ac:dyDescent="0.3">
      <c r="A363" s="122">
        <v>70</v>
      </c>
      <c r="B363" s="123">
        <v>1611014830</v>
      </c>
      <c r="C363" s="123" t="s">
        <v>2596</v>
      </c>
      <c r="D363" s="123" t="s">
        <v>2597</v>
      </c>
      <c r="E363" s="123" t="s">
        <v>2483</v>
      </c>
      <c r="F363" s="123" t="s">
        <v>2598</v>
      </c>
      <c r="G363" s="123" t="s">
        <v>2383</v>
      </c>
      <c r="H363" s="122" t="s">
        <v>2401</v>
      </c>
      <c r="I363" s="206" t="s">
        <v>2402</v>
      </c>
      <c r="J363" s="206"/>
      <c r="K363" s="207">
        <f t="shared" si="5"/>
        <v>1</v>
      </c>
      <c r="L363" s="208">
        <v>30664041</v>
      </c>
    </row>
    <row r="364" spans="1:12" ht="49.5" hidden="1" x14ac:dyDescent="0.3">
      <c r="A364" s="122">
        <v>71</v>
      </c>
      <c r="B364" s="123">
        <v>21080276</v>
      </c>
      <c r="C364" s="123" t="s">
        <v>2599</v>
      </c>
      <c r="D364" s="123" t="s">
        <v>2585</v>
      </c>
      <c r="E364" s="123" t="s">
        <v>2399</v>
      </c>
      <c r="F364" s="123" t="s">
        <v>2600</v>
      </c>
      <c r="G364" s="123" t="s">
        <v>2383</v>
      </c>
      <c r="H364" s="122" t="s">
        <v>2401</v>
      </c>
      <c r="I364" s="206" t="s">
        <v>2402</v>
      </c>
      <c r="J364" s="206"/>
      <c r="K364" s="207">
        <f t="shared" si="5"/>
        <v>1</v>
      </c>
      <c r="L364" s="208">
        <v>4122997</v>
      </c>
    </row>
    <row r="365" spans="1:12" ht="49.5" hidden="1" x14ac:dyDescent="0.3">
      <c r="A365" s="122">
        <v>72</v>
      </c>
      <c r="B365" s="123">
        <v>241200228441</v>
      </c>
      <c r="C365" s="123" t="s">
        <v>2601</v>
      </c>
      <c r="D365" s="123" t="s">
        <v>2602</v>
      </c>
      <c r="E365" s="123" t="s">
        <v>2594</v>
      </c>
      <c r="F365" s="123" t="s">
        <v>2603</v>
      </c>
      <c r="G365" s="123" t="s">
        <v>2383</v>
      </c>
      <c r="H365" s="122" t="s">
        <v>2401</v>
      </c>
      <c r="I365" s="206" t="s">
        <v>2402</v>
      </c>
      <c r="J365" s="206"/>
      <c r="K365" s="207">
        <f t="shared" si="5"/>
        <v>1</v>
      </c>
      <c r="L365" s="208">
        <v>3440239</v>
      </c>
    </row>
    <row r="366" spans="1:12" ht="49.5" hidden="1" x14ac:dyDescent="0.3">
      <c r="A366" s="122">
        <v>73</v>
      </c>
      <c r="B366" s="123">
        <v>2020130435</v>
      </c>
      <c r="C366" s="123" t="s">
        <v>2604</v>
      </c>
      <c r="D366" s="123" t="s">
        <v>2605</v>
      </c>
      <c r="E366" s="123" t="s">
        <v>2425</v>
      </c>
      <c r="F366" s="123" t="s">
        <v>2606</v>
      </c>
      <c r="G366" s="123" t="s">
        <v>2383</v>
      </c>
      <c r="H366" s="122" t="s">
        <v>2406</v>
      </c>
      <c r="I366" s="206" t="s">
        <v>2402</v>
      </c>
      <c r="J366" s="206"/>
      <c r="K366" s="207">
        <f t="shared" si="5"/>
        <v>1</v>
      </c>
      <c r="L366" s="208">
        <v>1485721</v>
      </c>
    </row>
    <row r="367" spans="1:12" ht="66" hidden="1" x14ac:dyDescent="0.3">
      <c r="A367" s="122">
        <v>74</v>
      </c>
      <c r="B367" s="123">
        <v>231100090748</v>
      </c>
      <c r="C367" s="123" t="s">
        <v>2607</v>
      </c>
      <c r="D367" s="123" t="s">
        <v>2608</v>
      </c>
      <c r="E367" s="123" t="s">
        <v>2609</v>
      </c>
      <c r="F367" s="123" t="s">
        <v>2610</v>
      </c>
      <c r="G367" s="123" t="s">
        <v>2383</v>
      </c>
      <c r="H367" s="122"/>
      <c r="I367" s="206" t="s">
        <v>2402</v>
      </c>
      <c r="J367" s="206"/>
      <c r="K367" s="207" t="str">
        <f t="shared" si="5"/>
        <v/>
      </c>
      <c r="L367" s="208" t="s">
        <v>2611</v>
      </c>
    </row>
    <row r="368" spans="1:12" ht="49.5" hidden="1" x14ac:dyDescent="0.3">
      <c r="A368" s="122">
        <v>75</v>
      </c>
      <c r="B368" s="123">
        <v>21080307</v>
      </c>
      <c r="C368" s="123" t="s">
        <v>2612</v>
      </c>
      <c r="D368" s="123" t="s">
        <v>2585</v>
      </c>
      <c r="E368" s="123" t="s">
        <v>2399</v>
      </c>
      <c r="F368" s="123" t="s">
        <v>2400</v>
      </c>
      <c r="G368" s="123" t="s">
        <v>2383</v>
      </c>
      <c r="H368" s="122" t="s">
        <v>2401</v>
      </c>
      <c r="I368" s="206" t="s">
        <v>2402</v>
      </c>
      <c r="J368" s="206"/>
      <c r="K368" s="207">
        <f t="shared" si="5"/>
        <v>1</v>
      </c>
      <c r="L368" s="208">
        <v>18210905</v>
      </c>
    </row>
    <row r="369" spans="1:12" ht="49.5" hidden="1" x14ac:dyDescent="0.3">
      <c r="A369" s="122">
        <v>76</v>
      </c>
      <c r="B369" s="123">
        <v>1920061741</v>
      </c>
      <c r="C369" s="123" t="s">
        <v>2613</v>
      </c>
      <c r="D369" s="123" t="s">
        <v>2614</v>
      </c>
      <c r="E369" s="123" t="s">
        <v>2425</v>
      </c>
      <c r="F369" s="123" t="s">
        <v>2615</v>
      </c>
      <c r="G369" s="123" t="s">
        <v>2383</v>
      </c>
      <c r="H369" s="122" t="s">
        <v>2406</v>
      </c>
      <c r="I369" s="206" t="s">
        <v>2402</v>
      </c>
      <c r="J369" s="206"/>
      <c r="K369" s="207">
        <f t="shared" si="5"/>
        <v>1</v>
      </c>
      <c r="L369" s="208">
        <v>1435236</v>
      </c>
    </row>
    <row r="370" spans="1:12" ht="49.5" hidden="1" x14ac:dyDescent="0.3">
      <c r="A370" s="122">
        <v>77</v>
      </c>
      <c r="B370" s="123">
        <v>21914642</v>
      </c>
      <c r="C370" s="123" t="s">
        <v>2616</v>
      </c>
      <c r="D370" s="123" t="s">
        <v>2617</v>
      </c>
      <c r="E370" s="123" t="s">
        <v>2483</v>
      </c>
      <c r="F370" s="123" t="s">
        <v>2618</v>
      </c>
      <c r="G370" s="123" t="s">
        <v>2383</v>
      </c>
      <c r="H370" s="122"/>
      <c r="I370" s="206" t="s">
        <v>2402</v>
      </c>
      <c r="J370" s="206"/>
      <c r="K370" s="207">
        <f t="shared" si="5"/>
        <v>1</v>
      </c>
      <c r="L370" s="208">
        <v>1343881</v>
      </c>
    </row>
    <row r="371" spans="1:12" ht="66" hidden="1" x14ac:dyDescent="0.3">
      <c r="A371" s="122">
        <v>78</v>
      </c>
      <c r="B371" s="123">
        <v>25092202</v>
      </c>
      <c r="C371" s="123" t="s">
        <v>2619</v>
      </c>
      <c r="D371" s="123" t="s">
        <v>2620</v>
      </c>
      <c r="E371" s="123" t="s">
        <v>2483</v>
      </c>
      <c r="F371" s="123" t="s">
        <v>2621</v>
      </c>
      <c r="G371" s="123" t="s">
        <v>2383</v>
      </c>
      <c r="H371" s="122"/>
      <c r="I371" s="206" t="s">
        <v>2402</v>
      </c>
      <c r="J371" s="206"/>
      <c r="K371" s="207" t="str">
        <f t="shared" si="5"/>
        <v/>
      </c>
      <c r="L371" s="208" t="s">
        <v>2611</v>
      </c>
    </row>
    <row r="372" spans="1:12" ht="66" hidden="1" x14ac:dyDescent="0.3">
      <c r="A372" s="122">
        <v>79</v>
      </c>
      <c r="B372" s="123">
        <v>1611166950</v>
      </c>
      <c r="C372" s="123" t="s">
        <v>2622</v>
      </c>
      <c r="D372" s="123" t="s">
        <v>2623</v>
      </c>
      <c r="E372" s="123" t="s">
        <v>2483</v>
      </c>
      <c r="F372" s="123" t="s">
        <v>2624</v>
      </c>
      <c r="G372" s="123" t="s">
        <v>2383</v>
      </c>
      <c r="H372" s="122"/>
      <c r="I372" s="206" t="s">
        <v>2402</v>
      </c>
      <c r="J372" s="206"/>
      <c r="K372" s="207" t="str">
        <f t="shared" si="5"/>
        <v/>
      </c>
      <c r="L372" s="208" t="s">
        <v>2611</v>
      </c>
    </row>
    <row r="373" spans="1:12" ht="49.5" hidden="1" x14ac:dyDescent="0.3">
      <c r="A373" s="122">
        <v>80</v>
      </c>
      <c r="B373" s="123">
        <v>1611028147</v>
      </c>
      <c r="C373" s="123" t="s">
        <v>2625</v>
      </c>
      <c r="D373" s="123" t="s">
        <v>2626</v>
      </c>
      <c r="E373" s="123" t="s">
        <v>2594</v>
      </c>
      <c r="F373" s="123" t="s">
        <v>2627</v>
      </c>
      <c r="G373" s="123" t="s">
        <v>2383</v>
      </c>
      <c r="H373" s="122" t="s">
        <v>2401</v>
      </c>
      <c r="I373" s="206" t="s">
        <v>2402</v>
      </c>
      <c r="J373" s="206"/>
      <c r="K373" s="207">
        <f t="shared" si="5"/>
        <v>1</v>
      </c>
      <c r="L373" s="208">
        <v>9145120</v>
      </c>
    </row>
    <row r="374" spans="1:12" ht="49.5" hidden="1" x14ac:dyDescent="0.3">
      <c r="A374" s="122">
        <v>81</v>
      </c>
      <c r="B374" s="123">
        <v>25088063</v>
      </c>
      <c r="C374" s="123" t="s">
        <v>2628</v>
      </c>
      <c r="D374" s="123" t="s">
        <v>2629</v>
      </c>
      <c r="E374" s="123" t="s">
        <v>2425</v>
      </c>
      <c r="F374" s="123" t="s">
        <v>2630</v>
      </c>
      <c r="G374" s="123" t="s">
        <v>2383</v>
      </c>
      <c r="H374" s="122" t="s">
        <v>2406</v>
      </c>
      <c r="I374" s="206" t="s">
        <v>2402</v>
      </c>
      <c r="J374" s="206"/>
      <c r="K374" s="207">
        <f t="shared" si="5"/>
        <v>1</v>
      </c>
      <c r="L374" s="208">
        <v>658717</v>
      </c>
    </row>
    <row r="375" spans="1:12" ht="49.5" hidden="1" x14ac:dyDescent="0.3">
      <c r="A375" s="122">
        <v>82</v>
      </c>
      <c r="B375" s="123">
        <v>221100359588</v>
      </c>
      <c r="C375" s="123" t="s">
        <v>2631</v>
      </c>
      <c r="D375" s="123" t="s">
        <v>2632</v>
      </c>
      <c r="E375" s="123" t="s">
        <v>2483</v>
      </c>
      <c r="F375" s="123" t="s">
        <v>2633</v>
      </c>
      <c r="G375" s="123" t="s">
        <v>2383</v>
      </c>
      <c r="H375" s="122"/>
      <c r="I375" s="206" t="s">
        <v>2402</v>
      </c>
      <c r="J375" s="206"/>
      <c r="K375" s="207">
        <f t="shared" si="5"/>
        <v>1</v>
      </c>
      <c r="L375" s="208">
        <v>4199927</v>
      </c>
    </row>
    <row r="376" spans="1:12" ht="66" hidden="1" x14ac:dyDescent="0.3">
      <c r="A376" s="122">
        <v>83</v>
      </c>
      <c r="B376" s="123">
        <v>221100359577</v>
      </c>
      <c r="C376" s="123" t="s">
        <v>2634</v>
      </c>
      <c r="D376" s="123" t="s">
        <v>2635</v>
      </c>
      <c r="E376" s="123" t="s">
        <v>2609</v>
      </c>
      <c r="F376" s="123" t="s">
        <v>2627</v>
      </c>
      <c r="G376" s="123" t="s">
        <v>2383</v>
      </c>
      <c r="H376" s="122"/>
      <c r="I376" s="206" t="s">
        <v>2402</v>
      </c>
      <c r="J376" s="206"/>
      <c r="K376" s="207" t="str">
        <f t="shared" si="5"/>
        <v/>
      </c>
      <c r="L376" s="208" t="s">
        <v>2611</v>
      </c>
    </row>
    <row r="377" spans="1:12" ht="49.5" hidden="1" x14ac:dyDescent="0.3">
      <c r="A377" s="122">
        <v>84</v>
      </c>
      <c r="B377" s="123">
        <v>21045824</v>
      </c>
      <c r="C377" s="123" t="s">
        <v>2636</v>
      </c>
      <c r="D377" s="123" t="s">
        <v>2637</v>
      </c>
      <c r="E377" s="123" t="s">
        <v>2483</v>
      </c>
      <c r="F377" s="123" t="s">
        <v>2638</v>
      </c>
      <c r="G377" s="123" t="s">
        <v>2383</v>
      </c>
      <c r="H377" s="122" t="s">
        <v>2406</v>
      </c>
      <c r="I377" s="206" t="s">
        <v>2402</v>
      </c>
      <c r="J377" s="206"/>
      <c r="K377" s="207">
        <f t="shared" si="5"/>
        <v>1</v>
      </c>
      <c r="L377" s="208">
        <v>25072149</v>
      </c>
    </row>
    <row r="378" spans="1:12" ht="49.5" hidden="1" x14ac:dyDescent="0.3">
      <c r="A378" s="122">
        <v>85</v>
      </c>
      <c r="B378" s="123">
        <v>21048552</v>
      </c>
      <c r="C378" s="123" t="s">
        <v>2639</v>
      </c>
      <c r="D378" s="123" t="s">
        <v>2640</v>
      </c>
      <c r="E378" s="123" t="s">
        <v>2399</v>
      </c>
      <c r="F378" s="123" t="s">
        <v>2641</v>
      </c>
      <c r="G378" s="123" t="s">
        <v>2383</v>
      </c>
      <c r="H378" s="122" t="s">
        <v>2406</v>
      </c>
      <c r="I378" s="206" t="s">
        <v>2402</v>
      </c>
      <c r="J378" s="206"/>
      <c r="K378" s="207">
        <f t="shared" si="5"/>
        <v>1</v>
      </c>
      <c r="L378" s="208">
        <v>10606801</v>
      </c>
    </row>
    <row r="379" spans="1:12" ht="49.5" hidden="1" x14ac:dyDescent="0.3">
      <c r="A379" s="122">
        <v>86</v>
      </c>
      <c r="B379" s="123">
        <v>21039937</v>
      </c>
      <c r="C379" s="123" t="s">
        <v>2642</v>
      </c>
      <c r="D379" s="123" t="s">
        <v>2643</v>
      </c>
      <c r="E379" s="123" t="s">
        <v>2399</v>
      </c>
      <c r="F379" s="123" t="s">
        <v>2644</v>
      </c>
      <c r="G379" s="123" t="s">
        <v>2383</v>
      </c>
      <c r="H379" s="122" t="s">
        <v>2406</v>
      </c>
      <c r="I379" s="206" t="s">
        <v>2402</v>
      </c>
      <c r="J379" s="206"/>
      <c r="K379" s="207">
        <f t="shared" si="5"/>
        <v>1</v>
      </c>
      <c r="L379" s="208">
        <v>2868068</v>
      </c>
    </row>
    <row r="380" spans="1:12" ht="49.5" hidden="1" x14ac:dyDescent="0.3">
      <c r="A380" s="122">
        <v>87</v>
      </c>
      <c r="B380" s="123">
        <v>25088053</v>
      </c>
      <c r="C380" s="123" t="s">
        <v>2645</v>
      </c>
      <c r="D380" s="123" t="s">
        <v>2646</v>
      </c>
      <c r="E380" s="123" t="s">
        <v>2425</v>
      </c>
      <c r="F380" s="123" t="s">
        <v>2647</v>
      </c>
      <c r="G380" s="123" t="s">
        <v>2383</v>
      </c>
      <c r="H380" s="122" t="s">
        <v>2406</v>
      </c>
      <c r="I380" s="206" t="s">
        <v>2402</v>
      </c>
      <c r="J380" s="206"/>
      <c r="K380" s="207">
        <f t="shared" si="5"/>
        <v>1</v>
      </c>
      <c r="L380" s="208">
        <v>1966538</v>
      </c>
    </row>
    <row r="381" spans="1:12" ht="49.5" hidden="1" x14ac:dyDescent="0.3">
      <c r="A381" s="122">
        <v>88</v>
      </c>
      <c r="B381" s="123">
        <v>21031972</v>
      </c>
      <c r="C381" s="123" t="s">
        <v>2648</v>
      </c>
      <c r="D381" s="123" t="s">
        <v>2649</v>
      </c>
      <c r="E381" s="123" t="s">
        <v>2399</v>
      </c>
      <c r="F381" s="123" t="s">
        <v>2650</v>
      </c>
      <c r="G381" s="123" t="s">
        <v>2383</v>
      </c>
      <c r="H381" s="122" t="s">
        <v>2406</v>
      </c>
      <c r="I381" s="206" t="s">
        <v>2402</v>
      </c>
      <c r="J381" s="206"/>
      <c r="K381" s="207">
        <f t="shared" si="5"/>
        <v>1</v>
      </c>
      <c r="L381" s="208">
        <v>10491404</v>
      </c>
    </row>
    <row r="382" spans="1:12" ht="49.5" hidden="1" x14ac:dyDescent="0.3">
      <c r="A382" s="122">
        <v>89</v>
      </c>
      <c r="B382" s="123">
        <v>221100335949</v>
      </c>
      <c r="C382" s="123" t="s">
        <v>2651</v>
      </c>
      <c r="D382" s="123" t="s">
        <v>2652</v>
      </c>
      <c r="E382" s="123" t="s">
        <v>2483</v>
      </c>
      <c r="F382" s="123" t="s">
        <v>2653</v>
      </c>
      <c r="G382" s="123" t="s">
        <v>2383</v>
      </c>
      <c r="H382" s="122" t="s">
        <v>2406</v>
      </c>
      <c r="I382" s="206" t="s">
        <v>2402</v>
      </c>
      <c r="J382" s="206"/>
      <c r="K382" s="207">
        <f t="shared" si="5"/>
        <v>1</v>
      </c>
      <c r="L382" s="208">
        <v>6034240</v>
      </c>
    </row>
    <row r="383" spans="1:12" ht="49.5" hidden="1" x14ac:dyDescent="0.3">
      <c r="A383" s="122">
        <v>90</v>
      </c>
      <c r="B383" s="123">
        <v>1611496202</v>
      </c>
      <c r="C383" s="123" t="s">
        <v>2654</v>
      </c>
      <c r="D383" s="123" t="s">
        <v>2655</v>
      </c>
      <c r="E383" s="123" t="s">
        <v>2483</v>
      </c>
      <c r="F383" s="123" t="s">
        <v>2656</v>
      </c>
      <c r="G383" s="123" t="s">
        <v>2383</v>
      </c>
      <c r="H383" s="122" t="s">
        <v>2401</v>
      </c>
      <c r="I383" s="206" t="s">
        <v>2402</v>
      </c>
      <c r="J383" s="206"/>
      <c r="K383" s="207">
        <f t="shared" si="5"/>
        <v>1</v>
      </c>
      <c r="L383" s="208">
        <v>15451022</v>
      </c>
    </row>
    <row r="384" spans="1:12" ht="49.5" hidden="1" x14ac:dyDescent="0.3">
      <c r="A384" s="122">
        <v>91</v>
      </c>
      <c r="B384" s="123">
        <v>211100282890</v>
      </c>
      <c r="C384" s="123" t="s">
        <v>2657</v>
      </c>
      <c r="D384" s="123" t="s">
        <v>2658</v>
      </c>
      <c r="E384" s="123" t="s">
        <v>2483</v>
      </c>
      <c r="F384" s="123" t="s">
        <v>2659</v>
      </c>
      <c r="G384" s="123" t="s">
        <v>2383</v>
      </c>
      <c r="H384" s="122" t="s">
        <v>2401</v>
      </c>
      <c r="I384" s="206" t="s">
        <v>2402</v>
      </c>
      <c r="J384" s="206"/>
      <c r="K384" s="207">
        <f t="shared" si="5"/>
        <v>1</v>
      </c>
      <c r="L384" s="208">
        <v>11691041</v>
      </c>
    </row>
    <row r="385" spans="1:12" ht="49.5" hidden="1" x14ac:dyDescent="0.3">
      <c r="A385" s="122">
        <v>92</v>
      </c>
      <c r="B385" s="123">
        <v>1611166860</v>
      </c>
      <c r="C385" s="123" t="s">
        <v>2660</v>
      </c>
      <c r="D385" s="123" t="s">
        <v>2655</v>
      </c>
      <c r="E385" s="123" t="s">
        <v>2661</v>
      </c>
      <c r="F385" s="123" t="s">
        <v>2662</v>
      </c>
      <c r="G385" s="123" t="s">
        <v>2383</v>
      </c>
      <c r="H385" s="122" t="s">
        <v>2401</v>
      </c>
      <c r="I385" s="206" t="s">
        <v>2402</v>
      </c>
      <c r="J385" s="206"/>
      <c r="K385" s="207">
        <f t="shared" si="5"/>
        <v>1</v>
      </c>
      <c r="L385" s="208">
        <v>25286114</v>
      </c>
    </row>
    <row r="386" spans="1:12" ht="49.5" hidden="1" x14ac:dyDescent="0.3">
      <c r="A386" s="122">
        <v>93</v>
      </c>
      <c r="B386" s="123">
        <v>2020226359</v>
      </c>
      <c r="C386" s="123" t="s">
        <v>2663</v>
      </c>
      <c r="D386" s="123" t="s">
        <v>2664</v>
      </c>
      <c r="E386" s="123" t="s">
        <v>2425</v>
      </c>
      <c r="F386" s="123" t="s">
        <v>2665</v>
      </c>
      <c r="G386" s="123" t="s">
        <v>2383</v>
      </c>
      <c r="H386" s="122" t="s">
        <v>2406</v>
      </c>
      <c r="I386" s="206" t="s">
        <v>2402</v>
      </c>
      <c r="J386" s="206"/>
      <c r="K386" s="207">
        <f t="shared" ref="K386:K434" si="6">IF(L386="","",IF(L386&lt;&gt;0,1,0))</f>
        <v>1</v>
      </c>
      <c r="L386" s="208">
        <v>2399271</v>
      </c>
    </row>
    <row r="387" spans="1:12" ht="49.5" hidden="1" x14ac:dyDescent="0.3">
      <c r="A387" s="122">
        <v>94</v>
      </c>
      <c r="B387" s="123">
        <v>1920007754</v>
      </c>
      <c r="C387" s="123" t="s">
        <v>2666</v>
      </c>
      <c r="D387" s="123" t="s">
        <v>2667</v>
      </c>
      <c r="E387" s="123" t="s">
        <v>2425</v>
      </c>
      <c r="F387" s="123" t="s">
        <v>2668</v>
      </c>
      <c r="G387" s="123" t="s">
        <v>2383</v>
      </c>
      <c r="H387" s="122" t="s">
        <v>2406</v>
      </c>
      <c r="I387" s="206" t="s">
        <v>2402</v>
      </c>
      <c r="J387" s="206"/>
      <c r="K387" s="207">
        <f t="shared" si="6"/>
        <v>1</v>
      </c>
      <c r="L387" s="208">
        <v>2185309</v>
      </c>
    </row>
    <row r="388" spans="1:12" ht="49.5" hidden="1" x14ac:dyDescent="0.3">
      <c r="A388" s="122">
        <v>95</v>
      </c>
      <c r="B388" s="123">
        <v>2020237923</v>
      </c>
      <c r="C388" s="123" t="s">
        <v>2669</v>
      </c>
      <c r="D388" s="123" t="s">
        <v>2670</v>
      </c>
      <c r="E388" s="123" t="s">
        <v>2425</v>
      </c>
      <c r="F388" s="123" t="s">
        <v>2671</v>
      </c>
      <c r="G388" s="123" t="s">
        <v>2383</v>
      </c>
      <c r="H388" s="122" t="s">
        <v>2406</v>
      </c>
      <c r="I388" s="206" t="s">
        <v>2402</v>
      </c>
      <c r="J388" s="206"/>
      <c r="K388" s="207">
        <f t="shared" si="6"/>
        <v>1</v>
      </c>
      <c r="L388" s="208">
        <v>3872972</v>
      </c>
    </row>
    <row r="389" spans="1:12" ht="49.5" hidden="1" x14ac:dyDescent="0.3">
      <c r="A389" s="122">
        <v>96</v>
      </c>
      <c r="B389" s="123">
        <v>1611025950</v>
      </c>
      <c r="C389" s="123" t="s">
        <v>2672</v>
      </c>
      <c r="D389" s="123" t="s">
        <v>2673</v>
      </c>
      <c r="E389" s="123" t="s">
        <v>2457</v>
      </c>
      <c r="F389" s="123" t="s">
        <v>2674</v>
      </c>
      <c r="G389" s="123" t="s">
        <v>2383</v>
      </c>
      <c r="H389" s="122" t="s">
        <v>2406</v>
      </c>
      <c r="I389" s="206" t="s">
        <v>2402</v>
      </c>
      <c r="J389" s="206"/>
      <c r="K389" s="207">
        <f t="shared" si="6"/>
        <v>1</v>
      </c>
      <c r="L389" s="208">
        <v>5313017</v>
      </c>
    </row>
    <row r="390" spans="1:12" ht="49.5" hidden="1" x14ac:dyDescent="0.3">
      <c r="A390" s="122">
        <v>97</v>
      </c>
      <c r="B390" s="123">
        <v>2020232788</v>
      </c>
      <c r="C390" s="123" t="s">
        <v>2675</v>
      </c>
      <c r="D390" s="123" t="s">
        <v>2676</v>
      </c>
      <c r="E390" s="123" t="s">
        <v>2425</v>
      </c>
      <c r="F390" s="123" t="s">
        <v>2677</v>
      </c>
      <c r="G390" s="123" t="s">
        <v>2383</v>
      </c>
      <c r="H390" s="122" t="s">
        <v>2406</v>
      </c>
      <c r="I390" s="206" t="s">
        <v>2402</v>
      </c>
      <c r="J390" s="206"/>
      <c r="K390" s="207">
        <f t="shared" si="6"/>
        <v>1</v>
      </c>
      <c r="L390" s="208">
        <v>2807965</v>
      </c>
    </row>
    <row r="391" spans="1:12" ht="49.5" hidden="1" x14ac:dyDescent="0.3">
      <c r="A391" s="122">
        <v>98</v>
      </c>
      <c r="B391" s="123">
        <v>2020148791</v>
      </c>
      <c r="C391" s="123" t="s">
        <v>2678</v>
      </c>
      <c r="D391" s="123" t="s">
        <v>2679</v>
      </c>
      <c r="E391" s="123" t="s">
        <v>2425</v>
      </c>
      <c r="F391" s="123" t="s">
        <v>2680</v>
      </c>
      <c r="G391" s="123" t="s">
        <v>2383</v>
      </c>
      <c r="H391" s="122" t="s">
        <v>2406</v>
      </c>
      <c r="I391" s="206" t="s">
        <v>2402</v>
      </c>
      <c r="J391" s="206"/>
      <c r="K391" s="207">
        <f t="shared" si="6"/>
        <v>1</v>
      </c>
      <c r="L391" s="208">
        <v>3339267</v>
      </c>
    </row>
    <row r="392" spans="1:12" ht="49.5" hidden="1" x14ac:dyDescent="0.3">
      <c r="A392" s="122">
        <v>99</v>
      </c>
      <c r="B392" s="123">
        <v>221100333016</v>
      </c>
      <c r="C392" s="123" t="s">
        <v>2681</v>
      </c>
      <c r="D392" s="123" t="s">
        <v>2682</v>
      </c>
      <c r="E392" s="123" t="s">
        <v>2457</v>
      </c>
      <c r="F392" s="123" t="s">
        <v>2683</v>
      </c>
      <c r="G392" s="123" t="s">
        <v>2383</v>
      </c>
      <c r="H392" s="122" t="s">
        <v>2406</v>
      </c>
      <c r="I392" s="206" t="s">
        <v>2402</v>
      </c>
      <c r="J392" s="206"/>
      <c r="K392" s="207">
        <f t="shared" si="6"/>
        <v>1</v>
      </c>
      <c r="L392" s="208">
        <v>15847695</v>
      </c>
    </row>
    <row r="393" spans="1:12" ht="49.5" hidden="1" x14ac:dyDescent="0.3">
      <c r="A393" s="122">
        <v>100</v>
      </c>
      <c r="B393" s="123">
        <v>25088050</v>
      </c>
      <c r="C393" s="123" t="s">
        <v>2684</v>
      </c>
      <c r="D393" s="123" t="s">
        <v>2685</v>
      </c>
      <c r="E393" s="123" t="s">
        <v>2425</v>
      </c>
      <c r="F393" s="123" t="s">
        <v>2686</v>
      </c>
      <c r="G393" s="123" t="s">
        <v>2383</v>
      </c>
      <c r="H393" s="122" t="s">
        <v>2406</v>
      </c>
      <c r="I393" s="206" t="s">
        <v>2402</v>
      </c>
      <c r="J393" s="206"/>
      <c r="K393" s="207">
        <f t="shared" si="6"/>
        <v>1</v>
      </c>
      <c r="L393" s="208">
        <v>444754</v>
      </c>
    </row>
    <row r="394" spans="1:12" ht="49.5" hidden="1" x14ac:dyDescent="0.3">
      <c r="A394" s="122">
        <v>101</v>
      </c>
      <c r="B394" s="123">
        <v>1611389552</v>
      </c>
      <c r="C394" s="123" t="s">
        <v>2687</v>
      </c>
      <c r="D394" s="123" t="s">
        <v>2486</v>
      </c>
      <c r="E394" s="123" t="s">
        <v>2483</v>
      </c>
      <c r="F394" s="123" t="s">
        <v>2688</v>
      </c>
      <c r="G394" s="123" t="s">
        <v>2383</v>
      </c>
      <c r="H394" s="122" t="s">
        <v>2401</v>
      </c>
      <c r="I394" s="206" t="s">
        <v>2402</v>
      </c>
      <c r="J394" s="206"/>
      <c r="K394" s="207">
        <f t="shared" si="6"/>
        <v>1</v>
      </c>
      <c r="L394" s="208">
        <v>10525062</v>
      </c>
    </row>
    <row r="395" spans="1:12" ht="66" hidden="1" x14ac:dyDescent="0.3">
      <c r="A395" s="122">
        <v>102</v>
      </c>
      <c r="B395" s="123">
        <v>1611164938</v>
      </c>
      <c r="C395" s="123" t="s">
        <v>2689</v>
      </c>
      <c r="D395" s="123" t="s">
        <v>2690</v>
      </c>
      <c r="E395" s="123" t="s">
        <v>2399</v>
      </c>
      <c r="F395" s="123" t="s">
        <v>2691</v>
      </c>
      <c r="G395" s="123" t="s">
        <v>2383</v>
      </c>
      <c r="H395" s="122" t="s">
        <v>2406</v>
      </c>
      <c r="I395" s="206" t="s">
        <v>2402</v>
      </c>
      <c r="J395" s="206"/>
      <c r="K395" s="207">
        <f t="shared" si="6"/>
        <v>1</v>
      </c>
      <c r="L395" s="208">
        <v>5755367</v>
      </c>
    </row>
    <row r="396" spans="1:12" ht="49.5" hidden="1" x14ac:dyDescent="0.3">
      <c r="A396" s="122">
        <v>103</v>
      </c>
      <c r="B396" s="123">
        <v>1611082599</v>
      </c>
      <c r="C396" s="123" t="s">
        <v>2692</v>
      </c>
      <c r="D396" s="123" t="s">
        <v>2693</v>
      </c>
      <c r="E396" s="123" t="s">
        <v>2457</v>
      </c>
      <c r="F396" s="123" t="s">
        <v>2694</v>
      </c>
      <c r="G396" s="123" t="s">
        <v>2383</v>
      </c>
      <c r="H396" s="122" t="s">
        <v>2406</v>
      </c>
      <c r="I396" s="206" t="s">
        <v>2402</v>
      </c>
      <c r="J396" s="206"/>
      <c r="K396" s="207">
        <f t="shared" si="6"/>
        <v>1</v>
      </c>
      <c r="L396" s="208">
        <v>1971345</v>
      </c>
    </row>
    <row r="397" spans="1:12" ht="66" hidden="1" x14ac:dyDescent="0.3">
      <c r="A397" s="122">
        <v>104</v>
      </c>
      <c r="B397" s="123">
        <v>1511025073</v>
      </c>
      <c r="C397" s="123" t="s">
        <v>2695</v>
      </c>
      <c r="D397" s="123" t="s">
        <v>2336</v>
      </c>
      <c r="E397" s="123" t="s">
        <v>1777</v>
      </c>
      <c r="F397" s="123" t="s">
        <v>1778</v>
      </c>
      <c r="G397" s="123" t="s">
        <v>2383</v>
      </c>
      <c r="H397" s="122"/>
      <c r="I397" s="206" t="s">
        <v>2402</v>
      </c>
      <c r="J397" s="206"/>
      <c r="K397" s="207" t="str">
        <f t="shared" si="6"/>
        <v/>
      </c>
      <c r="L397" s="208" t="s">
        <v>2611</v>
      </c>
    </row>
    <row r="398" spans="1:12" ht="49.5" hidden="1" x14ac:dyDescent="0.3">
      <c r="A398" s="122">
        <v>105</v>
      </c>
      <c r="B398" s="123">
        <v>1611596535</v>
      </c>
      <c r="C398" s="123" t="s">
        <v>2696</v>
      </c>
      <c r="D398" s="123" t="s">
        <v>2697</v>
      </c>
      <c r="E398" s="123" t="s">
        <v>2698</v>
      </c>
      <c r="F398" s="123" t="s">
        <v>2699</v>
      </c>
      <c r="G398" s="123" t="s">
        <v>2383</v>
      </c>
      <c r="H398" s="122" t="s">
        <v>2406</v>
      </c>
      <c r="I398" s="206" t="s">
        <v>2402</v>
      </c>
      <c r="J398" s="206"/>
      <c r="K398" s="207">
        <f t="shared" si="6"/>
        <v>1</v>
      </c>
      <c r="L398" s="208">
        <v>1432831</v>
      </c>
    </row>
    <row r="399" spans="1:12" ht="49.5" hidden="1" x14ac:dyDescent="0.3">
      <c r="A399" s="122">
        <v>106</v>
      </c>
      <c r="B399" s="123">
        <v>21034469</v>
      </c>
      <c r="C399" s="123" t="s">
        <v>2700</v>
      </c>
      <c r="D399" s="123" t="s">
        <v>2701</v>
      </c>
      <c r="E399" s="123" t="s">
        <v>2702</v>
      </c>
      <c r="F399" s="123" t="s">
        <v>2703</v>
      </c>
      <c r="G399" s="123" t="s">
        <v>2383</v>
      </c>
      <c r="H399" s="122"/>
      <c r="I399" s="206" t="s">
        <v>2402</v>
      </c>
      <c r="J399" s="206"/>
      <c r="K399" s="207" t="str">
        <f t="shared" si="6"/>
        <v/>
      </c>
      <c r="L399" s="208" t="s">
        <v>2611</v>
      </c>
    </row>
    <row r="400" spans="1:12" ht="49.5" hidden="1" x14ac:dyDescent="0.3">
      <c r="A400" s="122">
        <v>107</v>
      </c>
      <c r="B400" s="123">
        <v>21095491</v>
      </c>
      <c r="C400" s="123" t="s">
        <v>2704</v>
      </c>
      <c r="D400" s="123" t="s">
        <v>2705</v>
      </c>
      <c r="E400" s="123" t="s">
        <v>2399</v>
      </c>
      <c r="F400" s="123" t="s">
        <v>2706</v>
      </c>
      <c r="G400" s="123" t="s">
        <v>2383</v>
      </c>
      <c r="H400" s="122"/>
      <c r="I400" s="206" t="s">
        <v>2402</v>
      </c>
      <c r="J400" s="206"/>
      <c r="K400" s="207">
        <f t="shared" si="6"/>
        <v>1</v>
      </c>
      <c r="L400" s="208">
        <v>6048665</v>
      </c>
    </row>
    <row r="401" spans="1:12" ht="66" hidden="1" x14ac:dyDescent="0.3">
      <c r="A401" s="122">
        <v>108</v>
      </c>
      <c r="B401" s="123">
        <v>21078193</v>
      </c>
      <c r="C401" s="123" t="s">
        <v>2707</v>
      </c>
      <c r="D401" s="123" t="s">
        <v>2336</v>
      </c>
      <c r="E401" s="123" t="s">
        <v>1777</v>
      </c>
      <c r="F401" s="123" t="s">
        <v>1778</v>
      </c>
      <c r="G401" s="123" t="s">
        <v>2383</v>
      </c>
      <c r="H401" s="122"/>
      <c r="I401" s="206" t="s">
        <v>2402</v>
      </c>
      <c r="J401" s="206"/>
      <c r="K401" s="207" t="str">
        <f t="shared" si="6"/>
        <v/>
      </c>
      <c r="L401" s="208" t="s">
        <v>2611</v>
      </c>
    </row>
    <row r="402" spans="1:12" ht="49.5" hidden="1" x14ac:dyDescent="0.3">
      <c r="A402" s="122">
        <v>109</v>
      </c>
      <c r="B402" s="123">
        <v>21095495</v>
      </c>
      <c r="C402" s="123" t="s">
        <v>2708</v>
      </c>
      <c r="D402" s="123" t="s">
        <v>2709</v>
      </c>
      <c r="E402" s="123" t="s">
        <v>2710</v>
      </c>
      <c r="F402" s="123" t="s">
        <v>2711</v>
      </c>
      <c r="G402" s="123" t="s">
        <v>2383</v>
      </c>
      <c r="H402" s="122"/>
      <c r="I402" s="206" t="s">
        <v>2402</v>
      </c>
      <c r="J402" s="206"/>
      <c r="K402" s="207" t="str">
        <f t="shared" si="6"/>
        <v/>
      </c>
      <c r="L402" s="208" t="s">
        <v>2611</v>
      </c>
    </row>
    <row r="403" spans="1:12" ht="49.5" hidden="1" x14ac:dyDescent="0.3">
      <c r="A403" s="122">
        <v>110</v>
      </c>
      <c r="B403" s="123">
        <v>21087439</v>
      </c>
      <c r="C403" s="123" t="s">
        <v>2712</v>
      </c>
      <c r="D403" s="123" t="s">
        <v>2585</v>
      </c>
      <c r="E403" s="123" t="s">
        <v>2399</v>
      </c>
      <c r="F403" s="123" t="s">
        <v>2656</v>
      </c>
      <c r="G403" s="123" t="s">
        <v>2383</v>
      </c>
      <c r="H403" s="122"/>
      <c r="I403" s="206" t="s">
        <v>2402</v>
      </c>
      <c r="J403" s="206"/>
      <c r="K403" s="207">
        <f t="shared" si="6"/>
        <v>1</v>
      </c>
      <c r="L403" s="208">
        <v>8065687</v>
      </c>
    </row>
    <row r="404" spans="1:12" ht="66" hidden="1" x14ac:dyDescent="0.3">
      <c r="A404" s="122">
        <v>111</v>
      </c>
      <c r="B404" s="123">
        <v>21065930</v>
      </c>
      <c r="C404" s="123" t="s">
        <v>2713</v>
      </c>
      <c r="D404" s="123" t="s">
        <v>2714</v>
      </c>
      <c r="E404" s="123" t="s">
        <v>2715</v>
      </c>
      <c r="F404" s="123" t="s">
        <v>2683</v>
      </c>
      <c r="G404" s="123" t="s">
        <v>2383</v>
      </c>
      <c r="H404" s="122"/>
      <c r="I404" s="206" t="s">
        <v>2402</v>
      </c>
      <c r="J404" s="206"/>
      <c r="K404" s="207" t="str">
        <f t="shared" si="6"/>
        <v/>
      </c>
      <c r="L404" s="208" t="s">
        <v>2611</v>
      </c>
    </row>
    <row r="405" spans="1:12" ht="66" hidden="1" x14ac:dyDescent="0.3">
      <c r="A405" s="122">
        <v>112</v>
      </c>
      <c r="B405" s="123">
        <v>1611267257</v>
      </c>
      <c r="C405" s="123" t="s">
        <v>2716</v>
      </c>
      <c r="D405" s="123" t="s">
        <v>2717</v>
      </c>
      <c r="E405" s="123" t="s">
        <v>1777</v>
      </c>
      <c r="F405" s="123" t="s">
        <v>1778</v>
      </c>
      <c r="G405" s="123" t="s">
        <v>2383</v>
      </c>
      <c r="H405" s="122"/>
      <c r="I405" s="206" t="s">
        <v>2402</v>
      </c>
      <c r="J405" s="206"/>
      <c r="K405" s="207" t="str">
        <f t="shared" si="6"/>
        <v/>
      </c>
      <c r="L405" s="208" t="s">
        <v>2611</v>
      </c>
    </row>
    <row r="406" spans="1:12" ht="49.5" hidden="1" x14ac:dyDescent="0.3">
      <c r="A406" s="122">
        <v>113</v>
      </c>
      <c r="B406" s="123">
        <v>21072679</v>
      </c>
      <c r="C406" s="123" t="s">
        <v>2718</v>
      </c>
      <c r="D406" s="123" t="s">
        <v>2585</v>
      </c>
      <c r="E406" s="123" t="s">
        <v>2399</v>
      </c>
      <c r="F406" s="123" t="s">
        <v>2600</v>
      </c>
      <c r="G406" s="123" t="s">
        <v>2383</v>
      </c>
      <c r="H406" s="122" t="s">
        <v>2401</v>
      </c>
      <c r="I406" s="206" t="s">
        <v>2402</v>
      </c>
      <c r="J406" s="206"/>
      <c r="K406" s="207">
        <f t="shared" si="6"/>
        <v>1</v>
      </c>
      <c r="L406" s="208">
        <v>8010394</v>
      </c>
    </row>
    <row r="407" spans="1:12" ht="49.5" hidden="1" x14ac:dyDescent="0.3">
      <c r="A407" s="122">
        <v>114</v>
      </c>
      <c r="B407" s="123">
        <v>21004186</v>
      </c>
      <c r="C407" s="123" t="s">
        <v>2719</v>
      </c>
      <c r="D407" s="123" t="s">
        <v>2585</v>
      </c>
      <c r="E407" s="123" t="s">
        <v>2399</v>
      </c>
      <c r="F407" s="123" t="s">
        <v>2706</v>
      </c>
      <c r="G407" s="123" t="s">
        <v>2383</v>
      </c>
      <c r="H407" s="122" t="s">
        <v>2401</v>
      </c>
      <c r="I407" s="206" t="s">
        <v>2402</v>
      </c>
      <c r="J407" s="206"/>
      <c r="K407" s="207">
        <f t="shared" si="6"/>
        <v>1</v>
      </c>
      <c r="L407" s="208">
        <v>19968288</v>
      </c>
    </row>
    <row r="408" spans="1:12" ht="49.5" hidden="1" x14ac:dyDescent="0.3">
      <c r="A408" s="122">
        <v>115</v>
      </c>
      <c r="B408" s="123">
        <v>2020057587</v>
      </c>
      <c r="C408" s="123" t="s">
        <v>2720</v>
      </c>
      <c r="D408" s="123" t="s">
        <v>2721</v>
      </c>
      <c r="E408" s="123" t="s">
        <v>2425</v>
      </c>
      <c r="F408" s="123" t="s">
        <v>2722</v>
      </c>
      <c r="G408" s="123" t="s">
        <v>2383</v>
      </c>
      <c r="H408" s="122" t="s">
        <v>2406</v>
      </c>
      <c r="I408" s="206" t="s">
        <v>2402</v>
      </c>
      <c r="J408" s="206"/>
      <c r="K408" s="207">
        <f t="shared" si="6"/>
        <v>1</v>
      </c>
      <c r="L408" s="208">
        <v>819791</v>
      </c>
    </row>
    <row r="409" spans="1:12" ht="49.5" hidden="1" x14ac:dyDescent="0.3">
      <c r="A409" s="122">
        <v>116</v>
      </c>
      <c r="B409" s="123">
        <v>221100308855</v>
      </c>
      <c r="C409" s="123" t="s">
        <v>2723</v>
      </c>
      <c r="D409" s="123" t="s">
        <v>2724</v>
      </c>
      <c r="E409" s="123" t="s">
        <v>2457</v>
      </c>
      <c r="F409" s="123" t="s">
        <v>2683</v>
      </c>
      <c r="G409" s="123" t="s">
        <v>2383</v>
      </c>
      <c r="H409" s="122" t="s">
        <v>2406</v>
      </c>
      <c r="I409" s="206" t="s">
        <v>2402</v>
      </c>
      <c r="J409" s="206"/>
      <c r="K409" s="207">
        <f t="shared" si="6"/>
        <v>1</v>
      </c>
      <c r="L409" s="208">
        <v>5387544</v>
      </c>
    </row>
    <row r="410" spans="1:12" ht="49.5" hidden="1" x14ac:dyDescent="0.3">
      <c r="A410" s="122">
        <v>117</v>
      </c>
      <c r="B410" s="123">
        <v>21007399</v>
      </c>
      <c r="C410" s="123" t="s">
        <v>2725</v>
      </c>
      <c r="D410" s="123" t="s">
        <v>2726</v>
      </c>
      <c r="E410" s="123" t="s">
        <v>2399</v>
      </c>
      <c r="F410" s="123" t="s">
        <v>2683</v>
      </c>
      <c r="G410" s="123" t="s">
        <v>2383</v>
      </c>
      <c r="H410" s="122" t="s">
        <v>2401</v>
      </c>
      <c r="I410" s="206" t="s">
        <v>2402</v>
      </c>
      <c r="J410" s="206"/>
      <c r="K410" s="207">
        <f t="shared" si="6"/>
        <v>1</v>
      </c>
      <c r="L410" s="208">
        <v>12813745</v>
      </c>
    </row>
    <row r="411" spans="1:12" ht="49.5" hidden="1" x14ac:dyDescent="0.3">
      <c r="A411" s="122">
        <v>118</v>
      </c>
      <c r="B411" s="123">
        <v>221100363381</v>
      </c>
      <c r="C411" s="123" t="s">
        <v>2727</v>
      </c>
      <c r="D411" s="123" t="s">
        <v>2728</v>
      </c>
      <c r="E411" s="123" t="s">
        <v>2444</v>
      </c>
      <c r="F411" s="123" t="s">
        <v>2729</v>
      </c>
      <c r="G411" s="123" t="s">
        <v>2383</v>
      </c>
      <c r="H411" s="122" t="s">
        <v>2406</v>
      </c>
      <c r="I411" s="206" t="s">
        <v>2402</v>
      </c>
      <c r="J411" s="206"/>
      <c r="K411" s="207">
        <f t="shared" si="6"/>
        <v>1</v>
      </c>
      <c r="L411" s="208">
        <v>3901821</v>
      </c>
    </row>
    <row r="412" spans="1:12" ht="49.5" hidden="1" x14ac:dyDescent="0.3">
      <c r="A412" s="122">
        <v>119</v>
      </c>
      <c r="B412" s="123">
        <v>2020171386</v>
      </c>
      <c r="C412" s="123" t="s">
        <v>2730</v>
      </c>
      <c r="D412" s="123" t="s">
        <v>2731</v>
      </c>
      <c r="E412" s="123" t="s">
        <v>2425</v>
      </c>
      <c r="F412" s="123" t="s">
        <v>2732</v>
      </c>
      <c r="G412" s="123" t="s">
        <v>2383</v>
      </c>
      <c r="H412" s="122" t="s">
        <v>2406</v>
      </c>
      <c r="I412" s="206" t="s">
        <v>2402</v>
      </c>
      <c r="J412" s="206"/>
      <c r="K412" s="207">
        <f t="shared" si="6"/>
        <v>1</v>
      </c>
      <c r="L412" s="208">
        <v>2384848</v>
      </c>
    </row>
    <row r="413" spans="1:12" ht="49.5" hidden="1" x14ac:dyDescent="0.3">
      <c r="A413" s="122">
        <v>120</v>
      </c>
      <c r="B413" s="123">
        <v>2020233272</v>
      </c>
      <c r="C413" s="123" t="s">
        <v>2733</v>
      </c>
      <c r="D413" s="123" t="s">
        <v>2734</v>
      </c>
      <c r="E413" s="123" t="s">
        <v>2425</v>
      </c>
      <c r="F413" s="123" t="s">
        <v>2735</v>
      </c>
      <c r="G413" s="123" t="s">
        <v>2383</v>
      </c>
      <c r="H413" s="122" t="s">
        <v>2406</v>
      </c>
      <c r="I413" s="206" t="s">
        <v>2402</v>
      </c>
      <c r="J413" s="206"/>
      <c r="K413" s="207">
        <f t="shared" si="6"/>
        <v>1</v>
      </c>
      <c r="L413" s="208">
        <v>2870471</v>
      </c>
    </row>
    <row r="414" spans="1:12" ht="49.5" hidden="1" x14ac:dyDescent="0.3">
      <c r="A414" s="122">
        <v>121</v>
      </c>
      <c r="B414" s="123">
        <v>2020232784</v>
      </c>
      <c r="C414" s="123" t="s">
        <v>2736</v>
      </c>
      <c r="D414" s="123" t="s">
        <v>2737</v>
      </c>
      <c r="E414" s="123" t="s">
        <v>2425</v>
      </c>
      <c r="F414" s="123" t="s">
        <v>2738</v>
      </c>
      <c r="G414" s="123" t="s">
        <v>2383</v>
      </c>
      <c r="H414" s="122" t="s">
        <v>2406</v>
      </c>
      <c r="I414" s="206" t="s">
        <v>2402</v>
      </c>
      <c r="J414" s="206"/>
      <c r="K414" s="207">
        <f t="shared" si="6"/>
        <v>1</v>
      </c>
      <c r="L414" s="208">
        <v>2983463</v>
      </c>
    </row>
    <row r="415" spans="1:12" ht="66" hidden="1" x14ac:dyDescent="0.3">
      <c r="A415" s="122">
        <v>122</v>
      </c>
      <c r="B415" s="123">
        <v>1611025626</v>
      </c>
      <c r="C415" s="123" t="s">
        <v>2739</v>
      </c>
      <c r="D415" s="123" t="s">
        <v>2740</v>
      </c>
      <c r="E415" s="123" t="s">
        <v>1777</v>
      </c>
      <c r="F415" s="123" t="s">
        <v>1778</v>
      </c>
      <c r="G415" s="123" t="s">
        <v>2383</v>
      </c>
      <c r="H415" s="122"/>
      <c r="I415" s="206" t="s">
        <v>2402</v>
      </c>
      <c r="J415" s="206"/>
      <c r="K415" s="207" t="str">
        <f t="shared" si="6"/>
        <v/>
      </c>
      <c r="L415" s="208" t="s">
        <v>2611</v>
      </c>
    </row>
    <row r="416" spans="1:12" ht="49.5" hidden="1" x14ac:dyDescent="0.3">
      <c r="A416" s="122">
        <v>123</v>
      </c>
      <c r="B416" s="123">
        <v>1611082587</v>
      </c>
      <c r="C416" s="123" t="s">
        <v>2741</v>
      </c>
      <c r="D416" s="123" t="s">
        <v>2742</v>
      </c>
      <c r="E416" s="123" t="s">
        <v>2444</v>
      </c>
      <c r="F416" s="123" t="s">
        <v>2743</v>
      </c>
      <c r="G416" s="123" t="s">
        <v>2383</v>
      </c>
      <c r="H416" s="122" t="s">
        <v>2406</v>
      </c>
      <c r="I416" s="206" t="s">
        <v>2402</v>
      </c>
      <c r="J416" s="206"/>
      <c r="K416" s="207">
        <f t="shared" si="6"/>
        <v>1</v>
      </c>
      <c r="L416" s="208">
        <v>6036646</v>
      </c>
    </row>
    <row r="417" spans="1:12" ht="49.5" hidden="1" x14ac:dyDescent="0.3">
      <c r="A417" s="122">
        <v>124</v>
      </c>
      <c r="B417" s="123">
        <v>1611165247</v>
      </c>
      <c r="C417" s="123" t="s">
        <v>2744</v>
      </c>
      <c r="D417" s="123" t="s">
        <v>2705</v>
      </c>
      <c r="E417" s="123" t="s">
        <v>2399</v>
      </c>
      <c r="F417" s="123" t="s">
        <v>2745</v>
      </c>
      <c r="G417" s="123" t="s">
        <v>2383</v>
      </c>
      <c r="H417" s="122" t="s">
        <v>2401</v>
      </c>
      <c r="I417" s="206" t="s">
        <v>2402</v>
      </c>
      <c r="J417" s="206"/>
      <c r="K417" s="207">
        <f t="shared" si="6"/>
        <v>1</v>
      </c>
      <c r="L417" s="208">
        <v>5700073</v>
      </c>
    </row>
    <row r="418" spans="1:12" ht="49.5" hidden="1" x14ac:dyDescent="0.3">
      <c r="A418" s="122">
        <v>125</v>
      </c>
      <c r="B418" s="123">
        <v>22425317</v>
      </c>
      <c r="C418" s="123" t="s">
        <v>2746</v>
      </c>
      <c r="D418" s="123" t="s">
        <v>2747</v>
      </c>
      <c r="E418" s="123" t="s">
        <v>2748</v>
      </c>
      <c r="F418" s="123" t="s">
        <v>2749</v>
      </c>
      <c r="G418" s="123" t="s">
        <v>2383</v>
      </c>
      <c r="H418" s="122" t="s">
        <v>2401</v>
      </c>
      <c r="I418" s="206" t="s">
        <v>2402</v>
      </c>
      <c r="J418" s="206"/>
      <c r="K418" s="207">
        <f t="shared" si="6"/>
        <v>1</v>
      </c>
      <c r="L418" s="208">
        <v>10698156</v>
      </c>
    </row>
    <row r="419" spans="1:12" ht="49.5" hidden="1" x14ac:dyDescent="0.3">
      <c r="A419" s="122">
        <v>126</v>
      </c>
      <c r="B419" s="123">
        <v>22425324</v>
      </c>
      <c r="C419" s="123" t="s">
        <v>2750</v>
      </c>
      <c r="D419" s="123" t="s">
        <v>2751</v>
      </c>
      <c r="E419" s="123" t="s">
        <v>2444</v>
      </c>
      <c r="F419" s="123" t="s">
        <v>2752</v>
      </c>
      <c r="G419" s="123" t="s">
        <v>2383</v>
      </c>
      <c r="H419" s="122" t="s">
        <v>2401</v>
      </c>
      <c r="I419" s="206" t="s">
        <v>2402</v>
      </c>
      <c r="J419" s="206"/>
      <c r="K419" s="207">
        <f t="shared" si="6"/>
        <v>1</v>
      </c>
      <c r="L419" s="208">
        <v>3630160</v>
      </c>
    </row>
    <row r="420" spans="1:12" ht="49.5" hidden="1" x14ac:dyDescent="0.3">
      <c r="A420" s="122">
        <v>127</v>
      </c>
      <c r="B420" s="123">
        <v>1920056705</v>
      </c>
      <c r="C420" s="123" t="s">
        <v>2753</v>
      </c>
      <c r="D420" s="123" t="s">
        <v>2754</v>
      </c>
      <c r="E420" s="123" t="s">
        <v>2755</v>
      </c>
      <c r="F420" s="123" t="s">
        <v>2756</v>
      </c>
      <c r="G420" s="123" t="s">
        <v>2383</v>
      </c>
      <c r="H420" s="122" t="s">
        <v>2406</v>
      </c>
      <c r="I420" s="206" t="s">
        <v>2402</v>
      </c>
      <c r="J420" s="206"/>
      <c r="K420" s="207">
        <f t="shared" si="6"/>
        <v>1</v>
      </c>
      <c r="L420" s="208">
        <v>1069816</v>
      </c>
    </row>
    <row r="421" spans="1:12" ht="49.5" hidden="1" x14ac:dyDescent="0.3">
      <c r="A421" s="122">
        <v>128</v>
      </c>
      <c r="B421" s="123">
        <v>1511415047</v>
      </c>
      <c r="C421" s="123" t="s">
        <v>2757</v>
      </c>
      <c r="D421" s="123" t="s">
        <v>2747</v>
      </c>
      <c r="E421" s="123" t="s">
        <v>2748</v>
      </c>
      <c r="F421" s="123" t="s">
        <v>2758</v>
      </c>
      <c r="G421" s="123" t="s">
        <v>2383</v>
      </c>
      <c r="H421" s="122" t="s">
        <v>2401</v>
      </c>
      <c r="I421" s="206" t="s">
        <v>2402</v>
      </c>
      <c r="J421" s="206"/>
      <c r="K421" s="207">
        <f t="shared" si="6"/>
        <v>1</v>
      </c>
      <c r="L421" s="208">
        <v>13549395</v>
      </c>
    </row>
    <row r="422" spans="1:12" ht="49.5" hidden="1" x14ac:dyDescent="0.3">
      <c r="A422" s="122">
        <v>129</v>
      </c>
      <c r="B422" s="123">
        <v>2314006913</v>
      </c>
      <c r="C422" s="123" t="s">
        <v>2759</v>
      </c>
      <c r="D422" s="123" t="s">
        <v>2760</v>
      </c>
      <c r="E422" s="123" t="s">
        <v>2761</v>
      </c>
      <c r="F422" s="123" t="s">
        <v>2762</v>
      </c>
      <c r="G422" s="123" t="s">
        <v>2383</v>
      </c>
      <c r="H422" s="122"/>
      <c r="I422" s="206" t="s">
        <v>2402</v>
      </c>
      <c r="J422" s="206"/>
      <c r="K422" s="207">
        <f t="shared" si="6"/>
        <v>0</v>
      </c>
      <c r="L422" s="208">
        <v>0</v>
      </c>
    </row>
    <row r="423" spans="1:12" ht="49.5" hidden="1" x14ac:dyDescent="0.3">
      <c r="A423" s="122">
        <v>130</v>
      </c>
      <c r="B423" s="209">
        <v>1611082751</v>
      </c>
      <c r="C423" s="209" t="s">
        <v>2763</v>
      </c>
      <c r="D423" s="209" t="s">
        <v>2764</v>
      </c>
      <c r="E423" s="209" t="s">
        <v>2483</v>
      </c>
      <c r="F423" s="209" t="s">
        <v>2765</v>
      </c>
      <c r="G423" s="209" t="s">
        <v>2383</v>
      </c>
      <c r="H423" s="209"/>
      <c r="I423" s="206" t="s">
        <v>2402</v>
      </c>
      <c r="J423" s="206"/>
      <c r="K423" s="207" t="str">
        <f t="shared" si="6"/>
        <v/>
      </c>
      <c r="L423" s="208" t="s">
        <v>2611</v>
      </c>
    </row>
    <row r="424" spans="1:12" ht="66" hidden="1" x14ac:dyDescent="0.3">
      <c r="A424" s="206">
        <v>131</v>
      </c>
      <c r="B424" s="209">
        <v>1511288573</v>
      </c>
      <c r="C424" s="209" t="s">
        <v>2766</v>
      </c>
      <c r="D424" s="209" t="s">
        <v>2767</v>
      </c>
      <c r="E424" s="209" t="s">
        <v>2768</v>
      </c>
      <c r="F424" s="209" t="s">
        <v>2769</v>
      </c>
      <c r="G424" s="209" t="s">
        <v>2383</v>
      </c>
      <c r="H424" s="209"/>
      <c r="I424" s="206" t="s">
        <v>2402</v>
      </c>
      <c r="J424" s="206"/>
      <c r="K424" s="207" t="str">
        <f t="shared" si="6"/>
        <v/>
      </c>
      <c r="L424" s="208" t="s">
        <v>2611</v>
      </c>
    </row>
    <row r="425" spans="1:12" ht="49.5" hidden="1" x14ac:dyDescent="0.3">
      <c r="A425" s="209">
        <v>132</v>
      </c>
      <c r="B425" s="209">
        <v>1611267963</v>
      </c>
      <c r="C425" s="209" t="s">
        <v>2770</v>
      </c>
      <c r="D425" s="209" t="s">
        <v>2771</v>
      </c>
      <c r="E425" s="209" t="s">
        <v>2536</v>
      </c>
      <c r="F425" s="209" t="s">
        <v>2772</v>
      </c>
      <c r="G425" s="209" t="s">
        <v>2383</v>
      </c>
      <c r="H425" s="209" t="s">
        <v>2401</v>
      </c>
      <c r="I425" s="206" t="s">
        <v>2402</v>
      </c>
      <c r="J425" s="206"/>
      <c r="K425" s="207">
        <f t="shared" si="6"/>
        <v>1</v>
      </c>
      <c r="L425" s="208">
        <v>8265227</v>
      </c>
    </row>
    <row r="426" spans="1:12" ht="49.5" hidden="1" x14ac:dyDescent="0.3">
      <c r="A426" s="209">
        <v>133</v>
      </c>
      <c r="B426" s="209">
        <v>211100046961</v>
      </c>
      <c r="C426" s="209" t="s">
        <v>2773</v>
      </c>
      <c r="D426" s="209" t="s">
        <v>2774</v>
      </c>
      <c r="E426" s="209" t="s">
        <v>2775</v>
      </c>
      <c r="F426" s="209" t="s">
        <v>2776</v>
      </c>
      <c r="G426" s="209" t="s">
        <v>2383</v>
      </c>
      <c r="H426" s="209"/>
      <c r="I426" s="206" t="s">
        <v>2402</v>
      </c>
      <c r="J426" s="206"/>
      <c r="K426" s="207">
        <f t="shared" si="6"/>
        <v>1</v>
      </c>
      <c r="L426" s="208">
        <v>1226082</v>
      </c>
    </row>
    <row r="427" spans="1:12" ht="49.5" hidden="1" x14ac:dyDescent="0.3">
      <c r="A427" s="209">
        <v>134</v>
      </c>
      <c r="B427" s="209">
        <v>211100047241</v>
      </c>
      <c r="C427" s="209" t="s">
        <v>2777</v>
      </c>
      <c r="D427" s="209" t="s">
        <v>2778</v>
      </c>
      <c r="E427" s="209" t="s">
        <v>2536</v>
      </c>
      <c r="F427" s="209" t="s">
        <v>2779</v>
      </c>
      <c r="G427" s="209" t="s">
        <v>2383</v>
      </c>
      <c r="H427" s="209" t="s">
        <v>2401</v>
      </c>
      <c r="I427" s="206" t="s">
        <v>2402</v>
      </c>
      <c r="J427" s="206"/>
      <c r="K427" s="207">
        <f t="shared" si="6"/>
        <v>1</v>
      </c>
      <c r="L427" s="208">
        <v>10770278</v>
      </c>
    </row>
    <row r="428" spans="1:12" ht="49.5" hidden="1" x14ac:dyDescent="0.3">
      <c r="A428" s="209">
        <v>135</v>
      </c>
      <c r="B428" s="209">
        <v>211100047088</v>
      </c>
      <c r="C428" s="209" t="s">
        <v>2780</v>
      </c>
      <c r="D428" s="209" t="s">
        <v>2781</v>
      </c>
      <c r="E428" s="209" t="s">
        <v>2536</v>
      </c>
      <c r="F428" s="209" t="s">
        <v>2782</v>
      </c>
      <c r="G428" s="209" t="s">
        <v>2383</v>
      </c>
      <c r="H428" s="209" t="s">
        <v>2401</v>
      </c>
      <c r="I428" s="206"/>
      <c r="J428" s="206"/>
      <c r="K428" s="207">
        <f t="shared" si="6"/>
        <v>1</v>
      </c>
      <c r="L428" s="208">
        <v>13323412</v>
      </c>
    </row>
    <row r="429" spans="1:12" ht="82.5" hidden="1" x14ac:dyDescent="0.3">
      <c r="A429" s="209">
        <v>136</v>
      </c>
      <c r="B429" s="209">
        <v>2321001741</v>
      </c>
      <c r="C429" s="209" t="s">
        <v>2783</v>
      </c>
      <c r="D429" s="209" t="s">
        <v>2380</v>
      </c>
      <c r="E429" s="209" t="s">
        <v>2381</v>
      </c>
      <c r="F429" s="209" t="s">
        <v>2784</v>
      </c>
      <c r="G429" s="209" t="s">
        <v>2383</v>
      </c>
      <c r="H429" s="209" t="s">
        <v>2384</v>
      </c>
      <c r="I429" s="206" t="s">
        <v>2385</v>
      </c>
      <c r="J429" s="206"/>
      <c r="K429" s="207">
        <f t="shared" si="6"/>
        <v>1</v>
      </c>
      <c r="L429" s="208">
        <v>286086</v>
      </c>
    </row>
    <row r="430" spans="1:12" ht="82.5" hidden="1" x14ac:dyDescent="0.3">
      <c r="A430" s="209">
        <v>137</v>
      </c>
      <c r="B430" s="209">
        <v>2321001627</v>
      </c>
      <c r="C430" s="209" t="s">
        <v>2785</v>
      </c>
      <c r="D430" s="209" t="s">
        <v>2380</v>
      </c>
      <c r="E430" s="209" t="s">
        <v>2381</v>
      </c>
      <c r="F430" s="209" t="s">
        <v>2786</v>
      </c>
      <c r="G430" s="209" t="s">
        <v>2383</v>
      </c>
      <c r="H430" s="209" t="s">
        <v>2384</v>
      </c>
      <c r="I430" s="206" t="s">
        <v>2385</v>
      </c>
      <c r="J430" s="206"/>
      <c r="K430" s="207">
        <f t="shared" si="6"/>
        <v>1</v>
      </c>
      <c r="L430" s="208">
        <v>790942</v>
      </c>
    </row>
    <row r="431" spans="1:12" s="196" customFormat="1" ht="49.5" hidden="1" x14ac:dyDescent="0.3">
      <c r="A431" s="210">
        <v>138</v>
      </c>
      <c r="B431" s="210">
        <v>23901695</v>
      </c>
      <c r="C431" s="210" t="s">
        <v>2787</v>
      </c>
      <c r="D431" s="210" t="s">
        <v>2788</v>
      </c>
      <c r="E431" s="210" t="s">
        <v>2483</v>
      </c>
      <c r="F431" s="210" t="s">
        <v>2789</v>
      </c>
      <c r="G431" s="210" t="s">
        <v>2383</v>
      </c>
      <c r="H431" s="210" t="s">
        <v>2401</v>
      </c>
      <c r="I431" s="211" t="s">
        <v>2402</v>
      </c>
      <c r="J431" s="211"/>
      <c r="K431" s="212">
        <f t="shared" si="6"/>
        <v>1</v>
      </c>
      <c r="L431" s="213">
        <v>51182863</v>
      </c>
    </row>
    <row r="432" spans="1:12" ht="49.5" hidden="1" x14ac:dyDescent="0.3">
      <c r="A432" s="209">
        <v>139</v>
      </c>
      <c r="B432" s="209">
        <v>23901597</v>
      </c>
      <c r="C432" s="209" t="s">
        <v>2790</v>
      </c>
      <c r="D432" s="209" t="s">
        <v>2791</v>
      </c>
      <c r="E432" s="209" t="s">
        <v>2792</v>
      </c>
      <c r="F432" s="209" t="s">
        <v>2793</v>
      </c>
      <c r="G432" s="209" t="s">
        <v>2383</v>
      </c>
      <c r="H432" s="209" t="s">
        <v>2401</v>
      </c>
      <c r="I432" s="206" t="s">
        <v>2402</v>
      </c>
      <c r="J432" s="206"/>
      <c r="K432" s="207">
        <f t="shared" si="6"/>
        <v>1</v>
      </c>
      <c r="L432" s="208">
        <v>10993858</v>
      </c>
    </row>
    <row r="433" spans="1:12" ht="49.5" hidden="1" x14ac:dyDescent="0.3">
      <c r="A433" s="209">
        <v>140</v>
      </c>
      <c r="B433" s="209">
        <v>2321001432</v>
      </c>
      <c r="C433" s="209" t="s">
        <v>2794</v>
      </c>
      <c r="D433" s="209" t="s">
        <v>2791</v>
      </c>
      <c r="E433" s="209" t="s">
        <v>2792</v>
      </c>
      <c r="F433" s="209" t="s">
        <v>2793</v>
      </c>
      <c r="G433" s="209" t="s">
        <v>2383</v>
      </c>
      <c r="H433" s="209"/>
      <c r="I433" s="206" t="s">
        <v>2402</v>
      </c>
      <c r="J433" s="206"/>
      <c r="K433" s="207">
        <f t="shared" si="6"/>
        <v>1</v>
      </c>
      <c r="L433" s="208">
        <v>7142521</v>
      </c>
    </row>
    <row r="434" spans="1:12" ht="49.5" hidden="1" x14ac:dyDescent="0.3">
      <c r="A434" s="209">
        <v>141</v>
      </c>
      <c r="B434" s="209">
        <v>23901601</v>
      </c>
      <c r="C434" s="209" t="s">
        <v>2795</v>
      </c>
      <c r="D434" s="209" t="s">
        <v>2788</v>
      </c>
      <c r="E434" s="209" t="s">
        <v>2483</v>
      </c>
      <c r="F434" s="209" t="s">
        <v>2789</v>
      </c>
      <c r="G434" s="209" t="s">
        <v>2383</v>
      </c>
      <c r="H434" s="209" t="s">
        <v>2401</v>
      </c>
      <c r="I434" s="206" t="s">
        <v>2402</v>
      </c>
      <c r="J434" s="206"/>
      <c r="K434" s="207">
        <f t="shared" si="6"/>
        <v>1</v>
      </c>
      <c r="L434" s="208">
        <v>37909938</v>
      </c>
    </row>
    <row r="435" spans="1:12" ht="66" hidden="1" x14ac:dyDescent="0.3">
      <c r="A435" s="209">
        <v>142</v>
      </c>
      <c r="B435" s="209">
        <v>25702471</v>
      </c>
      <c r="C435" s="209" t="s">
        <v>2796</v>
      </c>
      <c r="D435" s="209" t="s">
        <v>2797</v>
      </c>
      <c r="E435" s="209" t="s">
        <v>2798</v>
      </c>
      <c r="F435" s="209" t="s">
        <v>2799</v>
      </c>
      <c r="G435" s="209" t="s">
        <v>2383</v>
      </c>
      <c r="H435" s="209"/>
      <c r="I435" s="206" t="s">
        <v>2402</v>
      </c>
      <c r="J435" s="206"/>
      <c r="K435" s="207">
        <f>IF(L435="","",IF(L435&lt;&gt;0,1,0))</f>
        <v>0</v>
      </c>
      <c r="L435" s="208">
        <v>0</v>
      </c>
    </row>
    <row r="436" spans="1:12" ht="66" hidden="1" x14ac:dyDescent="0.3">
      <c r="A436" s="206">
        <v>143</v>
      </c>
      <c r="B436" s="209">
        <v>21001667</v>
      </c>
      <c r="C436" s="209" t="s">
        <v>2800</v>
      </c>
      <c r="D436" s="209" t="s">
        <v>2801</v>
      </c>
      <c r="E436" s="209" t="s">
        <v>1777</v>
      </c>
      <c r="F436" s="209" t="s">
        <v>1778</v>
      </c>
      <c r="G436" s="209" t="s">
        <v>2383</v>
      </c>
      <c r="H436" s="209"/>
      <c r="I436" s="206" t="s">
        <v>2402</v>
      </c>
      <c r="J436" s="206"/>
      <c r="K436" s="207" t="str">
        <f>IF(L436="","",IF(L436&lt;&gt;0,1,0))</f>
        <v/>
      </c>
      <c r="L436" s="208" t="s">
        <v>2611</v>
      </c>
    </row>
    <row r="437" spans="1:12" ht="66" hidden="1" x14ac:dyDescent="0.3">
      <c r="A437" s="206">
        <v>144</v>
      </c>
      <c r="B437" s="209">
        <v>21002135</v>
      </c>
      <c r="C437" s="209" t="s">
        <v>2802</v>
      </c>
      <c r="D437" s="209" t="s">
        <v>2801</v>
      </c>
      <c r="E437" s="209" t="s">
        <v>1777</v>
      </c>
      <c r="F437" s="209" t="s">
        <v>1778</v>
      </c>
      <c r="G437" s="209" t="s">
        <v>2383</v>
      </c>
      <c r="H437" s="209"/>
      <c r="I437" s="206" t="s">
        <v>2402</v>
      </c>
      <c r="J437" s="206"/>
      <c r="K437" s="207" t="str">
        <f t="shared" ref="K437:K452" si="7">IF(L437="","",IF(L437&lt;&gt;0,1,0))</f>
        <v/>
      </c>
      <c r="L437" s="208" t="s">
        <v>2611</v>
      </c>
    </row>
    <row r="438" spans="1:12" ht="66" hidden="1" x14ac:dyDescent="0.3">
      <c r="A438" s="206">
        <v>145</v>
      </c>
      <c r="B438" s="209">
        <v>21001670</v>
      </c>
      <c r="C438" s="209" t="s">
        <v>2803</v>
      </c>
      <c r="D438" s="209" t="s">
        <v>2801</v>
      </c>
      <c r="E438" s="209" t="s">
        <v>1777</v>
      </c>
      <c r="F438" s="209" t="s">
        <v>1778</v>
      </c>
      <c r="G438" s="209" t="s">
        <v>2383</v>
      </c>
      <c r="H438" s="209"/>
      <c r="I438" s="206" t="s">
        <v>2402</v>
      </c>
      <c r="J438" s="206"/>
      <c r="K438" s="207" t="str">
        <f t="shared" si="7"/>
        <v/>
      </c>
      <c r="L438" s="208" t="s">
        <v>2611</v>
      </c>
    </row>
    <row r="439" spans="1:12" ht="66" hidden="1" x14ac:dyDescent="0.3">
      <c r="A439" s="206">
        <v>146</v>
      </c>
      <c r="B439" s="209">
        <v>21001203</v>
      </c>
      <c r="C439" s="209" t="s">
        <v>2804</v>
      </c>
      <c r="D439" s="209" t="s">
        <v>1776</v>
      </c>
      <c r="E439" s="209" t="s">
        <v>1777</v>
      </c>
      <c r="F439" s="209" t="s">
        <v>1778</v>
      </c>
      <c r="G439" s="209" t="s">
        <v>2383</v>
      </c>
      <c r="H439" s="209"/>
      <c r="I439" s="206" t="s">
        <v>2402</v>
      </c>
      <c r="J439" s="206"/>
      <c r="K439" s="207" t="str">
        <f t="shared" si="7"/>
        <v/>
      </c>
      <c r="L439" s="208" t="s">
        <v>2611</v>
      </c>
    </row>
    <row r="440" spans="1:12" ht="66" hidden="1" x14ac:dyDescent="0.3">
      <c r="A440" s="206">
        <v>147</v>
      </c>
      <c r="B440" s="209">
        <v>25700053</v>
      </c>
      <c r="C440" s="209" t="s">
        <v>2805</v>
      </c>
      <c r="D440" s="209" t="s">
        <v>2797</v>
      </c>
      <c r="E440" s="209" t="s">
        <v>2798</v>
      </c>
      <c r="F440" s="209" t="s">
        <v>2806</v>
      </c>
      <c r="G440" s="209" t="s">
        <v>2383</v>
      </c>
      <c r="H440" s="209"/>
      <c r="I440" s="206" t="s">
        <v>2402</v>
      </c>
      <c r="J440" s="206"/>
      <c r="K440" s="207" t="str">
        <f t="shared" si="7"/>
        <v/>
      </c>
      <c r="L440" s="208" t="s">
        <v>2611</v>
      </c>
    </row>
    <row r="441" spans="1:12" ht="66" hidden="1" x14ac:dyDescent="0.3">
      <c r="A441" s="206">
        <v>148</v>
      </c>
      <c r="B441" s="209">
        <v>25703969</v>
      </c>
      <c r="C441" s="209" t="s">
        <v>2807</v>
      </c>
      <c r="D441" s="209" t="s">
        <v>2797</v>
      </c>
      <c r="E441" s="209" t="s">
        <v>2798</v>
      </c>
      <c r="F441" s="209" t="s">
        <v>2808</v>
      </c>
      <c r="G441" s="209" t="s">
        <v>2383</v>
      </c>
      <c r="H441" s="209"/>
      <c r="I441" s="206" t="s">
        <v>2402</v>
      </c>
      <c r="J441" s="206"/>
      <c r="K441" s="207" t="str">
        <f t="shared" si="7"/>
        <v/>
      </c>
      <c r="L441" s="208" t="s">
        <v>2611</v>
      </c>
    </row>
    <row r="442" spans="1:12" ht="66" hidden="1" x14ac:dyDescent="0.3">
      <c r="A442" s="206">
        <v>149</v>
      </c>
      <c r="B442" s="209">
        <v>25703971</v>
      </c>
      <c r="C442" s="209" t="s">
        <v>2809</v>
      </c>
      <c r="D442" s="209" t="s">
        <v>2797</v>
      </c>
      <c r="E442" s="209" t="s">
        <v>2798</v>
      </c>
      <c r="F442" s="209" t="s">
        <v>2810</v>
      </c>
      <c r="G442" s="209" t="s">
        <v>2383</v>
      </c>
      <c r="H442" s="209"/>
      <c r="I442" s="206" t="s">
        <v>2402</v>
      </c>
      <c r="J442" s="206"/>
      <c r="K442" s="207" t="str">
        <f t="shared" si="7"/>
        <v/>
      </c>
      <c r="L442" s="208" t="s">
        <v>2611</v>
      </c>
    </row>
    <row r="443" spans="1:12" ht="66" hidden="1" x14ac:dyDescent="0.3">
      <c r="A443" s="206">
        <v>150</v>
      </c>
      <c r="B443" s="209">
        <v>25704490</v>
      </c>
      <c r="C443" s="209" t="s">
        <v>2811</v>
      </c>
      <c r="D443" s="209" t="s">
        <v>2797</v>
      </c>
      <c r="E443" s="209" t="s">
        <v>2798</v>
      </c>
      <c r="F443" s="209" t="s">
        <v>2812</v>
      </c>
      <c r="G443" s="209" t="s">
        <v>2383</v>
      </c>
      <c r="H443" s="209"/>
      <c r="I443" s="206" t="s">
        <v>2402</v>
      </c>
      <c r="J443" s="206"/>
      <c r="K443" s="207" t="str">
        <f t="shared" si="7"/>
        <v/>
      </c>
      <c r="L443" s="208" t="s">
        <v>2611</v>
      </c>
    </row>
    <row r="444" spans="1:12" ht="66" hidden="1" x14ac:dyDescent="0.3">
      <c r="A444" s="206">
        <v>151</v>
      </c>
      <c r="B444" s="209">
        <v>25703970</v>
      </c>
      <c r="C444" s="209" t="s">
        <v>2813</v>
      </c>
      <c r="D444" s="209" t="s">
        <v>2797</v>
      </c>
      <c r="E444" s="209" t="s">
        <v>2798</v>
      </c>
      <c r="F444" s="209" t="s">
        <v>2814</v>
      </c>
      <c r="G444" s="209" t="s">
        <v>2383</v>
      </c>
      <c r="H444" s="209"/>
      <c r="I444" s="206" t="s">
        <v>2402</v>
      </c>
      <c r="J444" s="206"/>
      <c r="K444" s="207" t="str">
        <f t="shared" si="7"/>
        <v/>
      </c>
      <c r="L444" s="208" t="s">
        <v>2611</v>
      </c>
    </row>
    <row r="445" spans="1:12" ht="66" hidden="1" x14ac:dyDescent="0.3">
      <c r="A445" s="206">
        <v>152</v>
      </c>
      <c r="B445" s="209">
        <v>25701530</v>
      </c>
      <c r="C445" s="209" t="s">
        <v>2815</v>
      </c>
      <c r="D445" s="209" t="s">
        <v>2797</v>
      </c>
      <c r="E445" s="209" t="s">
        <v>2798</v>
      </c>
      <c r="F445" s="209" t="s">
        <v>2816</v>
      </c>
      <c r="G445" s="209" t="s">
        <v>2383</v>
      </c>
      <c r="H445" s="209"/>
      <c r="I445" s="206" t="s">
        <v>2402</v>
      </c>
      <c r="J445" s="206"/>
      <c r="K445" s="207" t="str">
        <f t="shared" si="7"/>
        <v/>
      </c>
      <c r="L445" s="208" t="s">
        <v>2611</v>
      </c>
    </row>
    <row r="446" spans="1:12" ht="66" hidden="1" x14ac:dyDescent="0.3">
      <c r="A446" s="206">
        <v>153</v>
      </c>
      <c r="B446" s="209">
        <v>16308816</v>
      </c>
      <c r="C446" s="209" t="s">
        <v>2817</v>
      </c>
      <c r="D446" s="209" t="s">
        <v>2801</v>
      </c>
      <c r="E446" s="209" t="s">
        <v>1777</v>
      </c>
      <c r="F446" s="209" t="s">
        <v>1778</v>
      </c>
      <c r="G446" s="209" t="s">
        <v>2383</v>
      </c>
      <c r="H446" s="209"/>
      <c r="I446" s="206" t="s">
        <v>2402</v>
      </c>
      <c r="J446" s="206"/>
      <c r="K446" s="207" t="str">
        <f t="shared" si="7"/>
        <v/>
      </c>
      <c r="L446" s="208" t="s">
        <v>2611</v>
      </c>
    </row>
    <row r="447" spans="1:12" ht="66" hidden="1" x14ac:dyDescent="0.3">
      <c r="A447" s="206">
        <v>154</v>
      </c>
      <c r="B447" s="209">
        <v>16305169</v>
      </c>
      <c r="C447" s="209" t="s">
        <v>2818</v>
      </c>
      <c r="D447" s="209" t="s">
        <v>2801</v>
      </c>
      <c r="E447" s="209" t="s">
        <v>1777</v>
      </c>
      <c r="F447" s="209" t="s">
        <v>1778</v>
      </c>
      <c r="G447" s="209" t="s">
        <v>2383</v>
      </c>
      <c r="H447" s="209"/>
      <c r="I447" s="206" t="s">
        <v>2402</v>
      </c>
      <c r="J447" s="206"/>
      <c r="K447" s="207" t="str">
        <f t="shared" si="7"/>
        <v/>
      </c>
      <c r="L447" s="208" t="s">
        <v>2611</v>
      </c>
    </row>
    <row r="448" spans="1:12" ht="66" hidden="1" x14ac:dyDescent="0.3">
      <c r="A448" s="206">
        <v>155</v>
      </c>
      <c r="B448" s="209">
        <v>20000533</v>
      </c>
      <c r="C448" s="209" t="s">
        <v>2819</v>
      </c>
      <c r="D448" s="209" t="s">
        <v>2801</v>
      </c>
      <c r="E448" s="209" t="s">
        <v>1777</v>
      </c>
      <c r="F448" s="209" t="s">
        <v>1778</v>
      </c>
      <c r="G448" s="209" t="s">
        <v>2383</v>
      </c>
      <c r="H448" s="209"/>
      <c r="I448" s="206" t="s">
        <v>2402</v>
      </c>
      <c r="J448" s="206"/>
      <c r="K448" s="207" t="str">
        <f t="shared" si="7"/>
        <v/>
      </c>
      <c r="L448" s="208" t="s">
        <v>2611</v>
      </c>
    </row>
    <row r="449" spans="1:12" ht="66" hidden="1" x14ac:dyDescent="0.3">
      <c r="A449" s="206">
        <v>156</v>
      </c>
      <c r="B449" s="209">
        <v>21002132</v>
      </c>
      <c r="C449" s="209" t="s">
        <v>2820</v>
      </c>
      <c r="D449" s="209" t="s">
        <v>2801</v>
      </c>
      <c r="E449" s="209" t="s">
        <v>1777</v>
      </c>
      <c r="F449" s="209" t="s">
        <v>1778</v>
      </c>
      <c r="G449" s="209" t="s">
        <v>2383</v>
      </c>
      <c r="H449" s="209"/>
      <c r="I449" s="206" t="s">
        <v>2402</v>
      </c>
      <c r="J449" s="206"/>
      <c r="K449" s="207" t="str">
        <f t="shared" si="7"/>
        <v/>
      </c>
      <c r="L449" s="208" t="s">
        <v>2611</v>
      </c>
    </row>
    <row r="450" spans="1:12" ht="66" hidden="1" x14ac:dyDescent="0.3">
      <c r="A450" s="206">
        <v>157</v>
      </c>
      <c r="B450" s="209">
        <v>21002136</v>
      </c>
      <c r="C450" s="209" t="s">
        <v>2821</v>
      </c>
      <c r="D450" s="209" t="s">
        <v>2801</v>
      </c>
      <c r="E450" s="209" t="s">
        <v>1777</v>
      </c>
      <c r="F450" s="209" t="s">
        <v>1778</v>
      </c>
      <c r="G450" s="209" t="s">
        <v>2383</v>
      </c>
      <c r="H450" s="209"/>
      <c r="I450" s="206" t="s">
        <v>2402</v>
      </c>
      <c r="J450" s="206"/>
      <c r="K450" s="207" t="str">
        <f t="shared" si="7"/>
        <v/>
      </c>
      <c r="L450" s="208" t="s">
        <v>2611</v>
      </c>
    </row>
    <row r="451" spans="1:12" ht="66" hidden="1" x14ac:dyDescent="0.3">
      <c r="A451" s="206">
        <v>158</v>
      </c>
      <c r="B451" s="209">
        <v>20000531</v>
      </c>
      <c r="C451" s="209" t="s">
        <v>2822</v>
      </c>
      <c r="D451" s="209" t="s">
        <v>2801</v>
      </c>
      <c r="E451" s="209" t="s">
        <v>1777</v>
      </c>
      <c r="F451" s="209" t="s">
        <v>1778</v>
      </c>
      <c r="G451" s="209" t="s">
        <v>2383</v>
      </c>
      <c r="H451" s="209"/>
      <c r="I451" s="206" t="s">
        <v>2402</v>
      </c>
      <c r="J451" s="206"/>
      <c r="K451" s="207" t="str">
        <f t="shared" si="7"/>
        <v/>
      </c>
      <c r="L451" s="208" t="s">
        <v>2611</v>
      </c>
    </row>
    <row r="452" spans="1:12" ht="66" hidden="1" x14ac:dyDescent="0.3">
      <c r="A452" s="206">
        <v>159</v>
      </c>
      <c r="B452" s="209">
        <v>21002131</v>
      </c>
      <c r="C452" s="209" t="s">
        <v>2823</v>
      </c>
      <c r="D452" s="209" t="s">
        <v>2801</v>
      </c>
      <c r="E452" s="209" t="s">
        <v>1777</v>
      </c>
      <c r="F452" s="209" t="s">
        <v>1778</v>
      </c>
      <c r="G452" s="209" t="s">
        <v>2383</v>
      </c>
      <c r="H452" s="209"/>
      <c r="I452" s="206" t="s">
        <v>2402</v>
      </c>
      <c r="J452" s="206"/>
      <c r="K452" s="207" t="str">
        <f t="shared" si="7"/>
        <v/>
      </c>
      <c r="L452" s="208" t="s">
        <v>2611</v>
      </c>
    </row>
    <row r="453" spans="1:12" ht="49.5" x14ac:dyDescent="0.3">
      <c r="A453" s="206">
        <v>160</v>
      </c>
      <c r="B453" s="218">
        <v>1511084750</v>
      </c>
      <c r="C453" s="219" t="s">
        <v>2827</v>
      </c>
      <c r="D453" s="219" t="s">
        <v>2828</v>
      </c>
      <c r="E453" s="220" t="s">
        <v>2933</v>
      </c>
      <c r="F453" s="218" t="s">
        <v>88</v>
      </c>
      <c r="G453" s="214" t="s">
        <v>87</v>
      </c>
      <c r="H453" s="214"/>
      <c r="I453" s="214"/>
      <c r="J453" s="214"/>
      <c r="K453" s="214"/>
      <c r="L453" s="214"/>
    </row>
    <row r="454" spans="1:12" ht="33" x14ac:dyDescent="0.3">
      <c r="A454" s="206">
        <v>161</v>
      </c>
      <c r="B454" s="218">
        <v>211100046934</v>
      </c>
      <c r="C454" s="219" t="s">
        <v>2829</v>
      </c>
      <c r="D454" s="219" t="s">
        <v>2830</v>
      </c>
      <c r="E454" s="220" t="s">
        <v>2934</v>
      </c>
      <c r="F454" s="218" t="s">
        <v>98</v>
      </c>
      <c r="G454" s="214" t="s">
        <v>87</v>
      </c>
      <c r="H454" s="214"/>
      <c r="I454" s="214"/>
      <c r="J454" s="214"/>
      <c r="K454" s="214"/>
      <c r="L454" s="214"/>
    </row>
    <row r="455" spans="1:12" ht="33" x14ac:dyDescent="0.3">
      <c r="A455" s="206">
        <v>162</v>
      </c>
      <c r="B455" s="218">
        <v>1511033465</v>
      </c>
      <c r="C455" s="221" t="s">
        <v>2831</v>
      </c>
      <c r="D455" s="219" t="s">
        <v>2830</v>
      </c>
      <c r="E455" s="220" t="s">
        <v>2934</v>
      </c>
      <c r="F455" s="218" t="s">
        <v>103</v>
      </c>
      <c r="G455" s="214" t="s">
        <v>87</v>
      </c>
      <c r="H455" s="214"/>
      <c r="I455" s="214"/>
      <c r="J455" s="214"/>
      <c r="K455" s="214"/>
      <c r="L455" s="214"/>
    </row>
    <row r="456" spans="1:12" ht="33" x14ac:dyDescent="0.3">
      <c r="A456" s="206">
        <v>163</v>
      </c>
      <c r="B456" s="218">
        <v>1511033465</v>
      </c>
      <c r="C456" s="219" t="s">
        <v>2831</v>
      </c>
      <c r="D456" s="219" t="s">
        <v>2830</v>
      </c>
      <c r="E456" s="220" t="s">
        <v>2935</v>
      </c>
      <c r="F456" s="218" t="s">
        <v>103</v>
      </c>
      <c r="G456" s="214" t="s">
        <v>87</v>
      </c>
      <c r="H456" s="214"/>
      <c r="I456" s="214"/>
      <c r="J456" s="214"/>
      <c r="K456" s="214"/>
      <c r="L456" s="214"/>
    </row>
    <row r="457" spans="1:12" ht="49.5" x14ac:dyDescent="0.3">
      <c r="A457" s="206">
        <v>164</v>
      </c>
      <c r="B457" s="218">
        <v>2011578637</v>
      </c>
      <c r="C457" s="219" t="s">
        <v>2832</v>
      </c>
      <c r="D457" s="219" t="s">
        <v>2833</v>
      </c>
      <c r="E457" s="220" t="s">
        <v>2936</v>
      </c>
      <c r="F457" s="218" t="s">
        <v>109</v>
      </c>
      <c r="G457" s="214" t="s">
        <v>87</v>
      </c>
      <c r="H457" s="214"/>
      <c r="I457" s="214"/>
      <c r="J457" s="214"/>
      <c r="K457" s="214"/>
      <c r="L457" s="214"/>
    </row>
    <row r="458" spans="1:12" ht="49.5" x14ac:dyDescent="0.3">
      <c r="A458" s="206">
        <v>165</v>
      </c>
      <c r="B458" s="218">
        <v>2011577919</v>
      </c>
      <c r="C458" s="219" t="s">
        <v>2834</v>
      </c>
      <c r="D458" s="219" t="s">
        <v>2835</v>
      </c>
      <c r="E458" s="220" t="s">
        <v>2937</v>
      </c>
      <c r="F458" s="218" t="s">
        <v>116</v>
      </c>
      <c r="G458" s="214" t="s">
        <v>87</v>
      </c>
      <c r="H458" s="214"/>
      <c r="I458" s="214"/>
      <c r="J458" s="214"/>
      <c r="K458" s="214"/>
      <c r="L458" s="214"/>
    </row>
    <row r="459" spans="1:12" x14ac:dyDescent="0.3">
      <c r="A459" s="206">
        <v>166</v>
      </c>
      <c r="B459" s="222" t="s">
        <v>2836</v>
      </c>
      <c r="C459" s="219"/>
      <c r="D459" s="219"/>
      <c r="E459" s="220" t="s">
        <v>2938</v>
      </c>
      <c r="F459" s="218" t="s">
        <v>2925</v>
      </c>
      <c r="G459" s="214" t="s">
        <v>87</v>
      </c>
      <c r="H459" s="214"/>
      <c r="I459" s="214"/>
      <c r="J459" s="214"/>
      <c r="K459" s="214"/>
      <c r="L459" s="214"/>
    </row>
    <row r="460" spans="1:12" ht="49.5" x14ac:dyDescent="0.3">
      <c r="A460" s="206">
        <v>167</v>
      </c>
      <c r="B460" s="218">
        <v>221100364813</v>
      </c>
      <c r="C460" s="221" t="s">
        <v>2837</v>
      </c>
      <c r="D460" s="219" t="s">
        <v>2838</v>
      </c>
      <c r="E460" s="220" t="s">
        <v>2939</v>
      </c>
      <c r="F460" s="218" t="s">
        <v>2926</v>
      </c>
      <c r="G460" s="214" t="s">
        <v>87</v>
      </c>
      <c r="H460" s="214"/>
      <c r="I460" s="214"/>
      <c r="J460" s="214"/>
      <c r="K460" s="214"/>
      <c r="L460" s="214"/>
    </row>
    <row r="461" spans="1:12" ht="49.5" x14ac:dyDescent="0.3">
      <c r="A461" s="206">
        <v>168</v>
      </c>
      <c r="B461" s="218">
        <v>2320110482</v>
      </c>
      <c r="C461" s="219" t="s">
        <v>2839</v>
      </c>
      <c r="D461" s="219" t="s">
        <v>2840</v>
      </c>
      <c r="E461" s="220" t="s">
        <v>2940</v>
      </c>
      <c r="F461" s="218" t="s">
        <v>128</v>
      </c>
      <c r="G461" s="214" t="s">
        <v>87</v>
      </c>
      <c r="H461" s="214"/>
      <c r="I461" s="214"/>
      <c r="J461" s="214"/>
      <c r="K461" s="214"/>
      <c r="L461" s="214"/>
    </row>
    <row r="462" spans="1:12" x14ac:dyDescent="0.3">
      <c r="A462" s="206">
        <v>169</v>
      </c>
      <c r="B462" s="222" t="s">
        <v>2836</v>
      </c>
      <c r="C462" s="221"/>
      <c r="D462" s="219"/>
      <c r="E462" s="220" t="s">
        <v>2941</v>
      </c>
      <c r="F462" s="218" t="s">
        <v>2925</v>
      </c>
      <c r="G462" s="214" t="s">
        <v>87</v>
      </c>
      <c r="H462" s="214"/>
      <c r="I462" s="214"/>
      <c r="J462" s="214"/>
      <c r="K462" s="214"/>
      <c r="L462" s="214"/>
    </row>
    <row r="463" spans="1:12" ht="49.5" x14ac:dyDescent="0.3">
      <c r="A463" s="206">
        <v>170</v>
      </c>
      <c r="B463" s="218">
        <v>2320109001</v>
      </c>
      <c r="C463" s="221" t="s">
        <v>2841</v>
      </c>
      <c r="D463" s="219" t="s">
        <v>2842</v>
      </c>
      <c r="E463" s="220" t="s">
        <v>2942</v>
      </c>
      <c r="F463" s="218" t="s">
        <v>135</v>
      </c>
      <c r="G463" s="214" t="s">
        <v>87</v>
      </c>
      <c r="H463" s="214"/>
      <c r="I463" s="214"/>
      <c r="J463" s="214"/>
      <c r="K463" s="214"/>
      <c r="L463" s="214"/>
    </row>
    <row r="464" spans="1:12" ht="49.5" x14ac:dyDescent="0.3">
      <c r="A464" s="206">
        <v>171</v>
      </c>
      <c r="B464" s="218">
        <v>1911423559</v>
      </c>
      <c r="C464" s="221" t="s">
        <v>2843</v>
      </c>
      <c r="D464" s="219" t="s">
        <v>2844</v>
      </c>
      <c r="E464" s="220" t="s">
        <v>2943</v>
      </c>
      <c r="F464" s="218" t="s">
        <v>140</v>
      </c>
      <c r="G464" s="214" t="s">
        <v>87</v>
      </c>
      <c r="H464" s="214"/>
      <c r="I464" s="214"/>
      <c r="J464" s="214"/>
      <c r="K464" s="214"/>
      <c r="L464" s="214"/>
    </row>
    <row r="465" spans="1:12" ht="49.5" x14ac:dyDescent="0.3">
      <c r="A465" s="206">
        <v>172</v>
      </c>
      <c r="B465" s="218">
        <v>221100332296</v>
      </c>
      <c r="C465" s="221" t="s">
        <v>2845</v>
      </c>
      <c r="D465" s="219" t="s">
        <v>2846</v>
      </c>
      <c r="E465" s="220" t="s">
        <v>2944</v>
      </c>
      <c r="F465" s="218" t="s">
        <v>145</v>
      </c>
      <c r="G465" s="214" t="s">
        <v>87</v>
      </c>
      <c r="H465" s="214"/>
      <c r="I465" s="214"/>
      <c r="J465" s="214"/>
      <c r="K465" s="214"/>
      <c r="L465" s="214"/>
    </row>
    <row r="466" spans="1:12" ht="49.5" x14ac:dyDescent="0.3">
      <c r="A466" s="206">
        <v>173</v>
      </c>
      <c r="B466" s="218">
        <v>11577901</v>
      </c>
      <c r="C466" s="221" t="s">
        <v>2847</v>
      </c>
      <c r="D466" s="219" t="s">
        <v>2848</v>
      </c>
      <c r="E466" s="220" t="s">
        <v>2945</v>
      </c>
      <c r="F466" s="218" t="s">
        <v>151</v>
      </c>
      <c r="G466" s="214" t="s">
        <v>87</v>
      </c>
      <c r="H466" s="214"/>
      <c r="I466" s="214"/>
      <c r="J466" s="214"/>
      <c r="K466" s="214"/>
      <c r="L466" s="214"/>
    </row>
    <row r="467" spans="1:12" ht="49.5" x14ac:dyDescent="0.3">
      <c r="A467" s="206">
        <v>174</v>
      </c>
      <c r="B467" s="218">
        <v>2320106186</v>
      </c>
      <c r="C467" s="221" t="s">
        <v>2849</v>
      </c>
      <c r="D467" s="219" t="s">
        <v>2850</v>
      </c>
      <c r="E467" s="220" t="s">
        <v>2946</v>
      </c>
      <c r="F467" s="218" t="s">
        <v>156</v>
      </c>
      <c r="G467" s="214" t="s">
        <v>87</v>
      </c>
      <c r="H467" s="214"/>
      <c r="I467" s="214"/>
      <c r="J467" s="214"/>
      <c r="K467" s="214"/>
      <c r="L467" s="214"/>
    </row>
    <row r="468" spans="1:12" x14ac:dyDescent="0.3">
      <c r="A468" s="206">
        <v>175</v>
      </c>
      <c r="B468" s="222" t="s">
        <v>2836</v>
      </c>
      <c r="C468" s="221"/>
      <c r="D468" s="219"/>
      <c r="E468" s="220" t="s">
        <v>2947</v>
      </c>
      <c r="F468" s="218" t="s">
        <v>2925</v>
      </c>
      <c r="G468" s="214" t="s">
        <v>87</v>
      </c>
      <c r="H468" s="214"/>
      <c r="I468" s="214"/>
      <c r="J468" s="214"/>
      <c r="K468" s="214"/>
      <c r="L468" s="214"/>
    </row>
    <row r="469" spans="1:12" ht="49.5" x14ac:dyDescent="0.3">
      <c r="A469" s="206">
        <v>176</v>
      </c>
      <c r="B469" s="218">
        <v>2011581122</v>
      </c>
      <c r="C469" s="221" t="s">
        <v>2851</v>
      </c>
      <c r="D469" s="219" t="s">
        <v>2852</v>
      </c>
      <c r="E469" s="220" t="s">
        <v>2948</v>
      </c>
      <c r="F469" s="218" t="s">
        <v>163</v>
      </c>
      <c r="G469" s="214" t="s">
        <v>87</v>
      </c>
      <c r="H469" s="214"/>
      <c r="I469" s="214"/>
      <c r="J469" s="214"/>
      <c r="K469" s="214"/>
      <c r="L469" s="214"/>
    </row>
    <row r="470" spans="1:12" ht="49.5" x14ac:dyDescent="0.3">
      <c r="A470" s="206">
        <v>177</v>
      </c>
      <c r="B470" s="218">
        <v>2011580660</v>
      </c>
      <c r="C470" s="221" t="s">
        <v>2853</v>
      </c>
      <c r="D470" s="219" t="s">
        <v>2854</v>
      </c>
      <c r="E470" s="220" t="s">
        <v>2949</v>
      </c>
      <c r="F470" s="218" t="s">
        <v>168</v>
      </c>
      <c r="G470" s="214" t="s">
        <v>87</v>
      </c>
      <c r="H470" s="214"/>
      <c r="I470" s="214"/>
      <c r="J470" s="214"/>
      <c r="K470" s="214"/>
      <c r="L470" s="214"/>
    </row>
    <row r="471" spans="1:12" x14ac:dyDescent="0.3">
      <c r="A471" s="206">
        <v>178</v>
      </c>
      <c r="B471" s="222" t="s">
        <v>2836</v>
      </c>
      <c r="C471" s="221"/>
      <c r="D471" s="219"/>
      <c r="E471" s="220" t="s">
        <v>2950</v>
      </c>
      <c r="F471" s="218" t="s">
        <v>2925</v>
      </c>
      <c r="G471" s="214" t="s">
        <v>87</v>
      </c>
      <c r="H471" s="214"/>
      <c r="I471" s="214"/>
      <c r="J471" s="214"/>
      <c r="K471" s="214"/>
      <c r="L471" s="214"/>
    </row>
    <row r="472" spans="1:12" ht="66" x14ac:dyDescent="0.3">
      <c r="A472" s="206">
        <v>179</v>
      </c>
      <c r="B472" s="218">
        <v>221100332323</v>
      </c>
      <c r="C472" s="219" t="s">
        <v>2855</v>
      </c>
      <c r="D472" s="219" t="s">
        <v>2856</v>
      </c>
      <c r="E472" s="220" t="s">
        <v>2951</v>
      </c>
      <c r="F472" s="218" t="s">
        <v>174</v>
      </c>
      <c r="G472" s="214" t="s">
        <v>87</v>
      </c>
      <c r="H472" s="214"/>
      <c r="I472" s="214"/>
      <c r="J472" s="214"/>
      <c r="K472" s="214"/>
      <c r="L472" s="214"/>
    </row>
    <row r="473" spans="1:12" ht="49.5" x14ac:dyDescent="0.3">
      <c r="A473" s="206">
        <v>180</v>
      </c>
      <c r="B473" s="218">
        <v>2320085155</v>
      </c>
      <c r="C473" s="219" t="s">
        <v>2857</v>
      </c>
      <c r="D473" s="219" t="s">
        <v>2858</v>
      </c>
      <c r="E473" s="220" t="s">
        <v>2952</v>
      </c>
      <c r="F473" s="218" t="s">
        <v>179</v>
      </c>
      <c r="G473" s="214" t="s">
        <v>87</v>
      </c>
      <c r="H473" s="214"/>
      <c r="I473" s="214"/>
      <c r="J473" s="214"/>
      <c r="K473" s="214"/>
      <c r="L473" s="214"/>
    </row>
    <row r="474" spans="1:12" ht="49.5" x14ac:dyDescent="0.3">
      <c r="A474" s="206">
        <v>181</v>
      </c>
      <c r="B474" s="218">
        <v>2011581488</v>
      </c>
      <c r="C474" s="219" t="s">
        <v>2859</v>
      </c>
      <c r="D474" s="219" t="s">
        <v>2860</v>
      </c>
      <c r="E474" s="220" t="s">
        <v>2953</v>
      </c>
      <c r="F474" s="218" t="s">
        <v>184</v>
      </c>
      <c r="G474" s="214" t="s">
        <v>87</v>
      </c>
      <c r="H474" s="214"/>
      <c r="I474" s="214"/>
      <c r="J474" s="214"/>
      <c r="K474" s="214"/>
      <c r="L474" s="214"/>
    </row>
    <row r="475" spans="1:12" x14ac:dyDescent="0.3">
      <c r="A475" s="206">
        <v>182</v>
      </c>
      <c r="B475" s="222" t="s">
        <v>2836</v>
      </c>
      <c r="C475" s="219"/>
      <c r="D475" s="219"/>
      <c r="E475" s="220" t="s">
        <v>2954</v>
      </c>
      <c r="F475" s="218" t="s">
        <v>2925</v>
      </c>
      <c r="G475" s="214" t="s">
        <v>87</v>
      </c>
      <c r="H475" s="214"/>
      <c r="I475" s="214"/>
      <c r="J475" s="214"/>
      <c r="K475" s="214"/>
      <c r="L475" s="214"/>
    </row>
    <row r="476" spans="1:12" ht="49.5" x14ac:dyDescent="0.3">
      <c r="A476" s="206">
        <v>183</v>
      </c>
      <c r="B476" s="218">
        <v>2320105427</v>
      </c>
      <c r="C476" s="221" t="s">
        <v>2861</v>
      </c>
      <c r="D476" s="219" t="s">
        <v>2862</v>
      </c>
      <c r="E476" s="220" t="s">
        <v>2955</v>
      </c>
      <c r="F476" s="218" t="s">
        <v>192</v>
      </c>
      <c r="G476" s="214" t="s">
        <v>87</v>
      </c>
      <c r="H476" s="214"/>
      <c r="I476" s="214"/>
      <c r="J476" s="214"/>
      <c r="K476" s="214"/>
      <c r="L476" s="214"/>
    </row>
    <row r="477" spans="1:12" ht="49.5" x14ac:dyDescent="0.3">
      <c r="A477" s="206">
        <v>184</v>
      </c>
      <c r="B477" s="218">
        <v>2011580669</v>
      </c>
      <c r="C477" s="221" t="s">
        <v>2863</v>
      </c>
      <c r="D477" s="219" t="s">
        <v>2864</v>
      </c>
      <c r="E477" s="220" t="s">
        <v>2956</v>
      </c>
      <c r="F477" s="218" t="s">
        <v>197</v>
      </c>
      <c r="G477" s="214" t="s">
        <v>87</v>
      </c>
      <c r="H477" s="214"/>
      <c r="I477" s="214"/>
      <c r="J477" s="214"/>
      <c r="K477" s="214"/>
      <c r="L477" s="214"/>
    </row>
    <row r="478" spans="1:12" ht="49.5" x14ac:dyDescent="0.3">
      <c r="A478" s="206">
        <v>185</v>
      </c>
      <c r="B478" s="218">
        <v>221100332305</v>
      </c>
      <c r="C478" s="219" t="s">
        <v>2865</v>
      </c>
      <c r="D478" s="219" t="s">
        <v>2866</v>
      </c>
      <c r="E478" s="220" t="s">
        <v>2957</v>
      </c>
      <c r="F478" s="218" t="s">
        <v>203</v>
      </c>
      <c r="G478" s="214" t="s">
        <v>87</v>
      </c>
      <c r="H478" s="214"/>
      <c r="I478" s="214"/>
      <c r="J478" s="214"/>
      <c r="K478" s="214"/>
      <c r="L478" s="214"/>
    </row>
    <row r="479" spans="1:12" ht="49.5" x14ac:dyDescent="0.3">
      <c r="A479" s="206">
        <v>186</v>
      </c>
      <c r="B479" s="218">
        <v>221100332309</v>
      </c>
      <c r="C479" s="219" t="s">
        <v>2867</v>
      </c>
      <c r="D479" s="219" t="s">
        <v>2868</v>
      </c>
      <c r="E479" s="220" t="s">
        <v>2958</v>
      </c>
      <c r="F479" s="218" t="s">
        <v>208</v>
      </c>
      <c r="G479" s="214" t="s">
        <v>87</v>
      </c>
      <c r="H479" s="214"/>
      <c r="I479" s="214"/>
      <c r="J479" s="214"/>
      <c r="K479" s="214"/>
      <c r="L479" s="214"/>
    </row>
    <row r="480" spans="1:12" ht="49.5" x14ac:dyDescent="0.3">
      <c r="A480" s="206">
        <v>187</v>
      </c>
      <c r="B480" s="218">
        <v>221100332308</v>
      </c>
      <c r="C480" s="221" t="s">
        <v>2869</v>
      </c>
      <c r="D480" s="219" t="s">
        <v>2870</v>
      </c>
      <c r="E480" s="220" t="s">
        <v>2959</v>
      </c>
      <c r="F480" s="218" t="s">
        <v>216</v>
      </c>
      <c r="G480" s="214" t="s">
        <v>87</v>
      </c>
      <c r="H480" s="214"/>
      <c r="I480" s="214"/>
      <c r="J480" s="214"/>
      <c r="K480" s="214"/>
      <c r="L480" s="214"/>
    </row>
    <row r="481" spans="1:12" ht="49.5" x14ac:dyDescent="0.3">
      <c r="A481" s="206">
        <v>188</v>
      </c>
      <c r="B481" s="223" t="s">
        <v>1650</v>
      </c>
      <c r="C481" s="221" t="s">
        <v>2871</v>
      </c>
      <c r="D481" s="219" t="s">
        <v>2872</v>
      </c>
      <c r="E481" s="220" t="s">
        <v>2960</v>
      </c>
      <c r="F481" s="218" t="s">
        <v>220</v>
      </c>
      <c r="G481" s="214" t="s">
        <v>87</v>
      </c>
      <c r="H481" s="214"/>
      <c r="I481" s="214"/>
      <c r="J481" s="214"/>
      <c r="K481" s="214"/>
      <c r="L481" s="214"/>
    </row>
    <row r="482" spans="1:12" x14ac:dyDescent="0.3">
      <c r="A482" s="206">
        <v>189</v>
      </c>
      <c r="B482" s="222" t="s">
        <v>2836</v>
      </c>
      <c r="C482" s="219"/>
      <c r="D482" s="219"/>
      <c r="E482" s="220" t="s">
        <v>2961</v>
      </c>
      <c r="F482" s="218" t="s">
        <v>2925</v>
      </c>
      <c r="G482" s="214" t="s">
        <v>87</v>
      </c>
      <c r="H482" s="214"/>
      <c r="I482" s="214"/>
      <c r="J482" s="214"/>
      <c r="K482" s="214"/>
      <c r="L482" s="214"/>
    </row>
    <row r="483" spans="1:12" ht="49.5" x14ac:dyDescent="0.3">
      <c r="A483" s="206">
        <v>190</v>
      </c>
      <c r="B483" s="218">
        <v>23901594</v>
      </c>
      <c r="C483" s="219" t="s">
        <v>2873</v>
      </c>
      <c r="D483" s="219" t="s">
        <v>2874</v>
      </c>
      <c r="E483" s="220" t="s">
        <v>2962</v>
      </c>
      <c r="F483" s="218" t="s">
        <v>229</v>
      </c>
      <c r="G483" s="214" t="s">
        <v>87</v>
      </c>
      <c r="H483" s="214"/>
      <c r="I483" s="214"/>
      <c r="J483" s="214"/>
      <c r="K483" s="214"/>
      <c r="L483" s="214"/>
    </row>
    <row r="484" spans="1:12" ht="49.5" x14ac:dyDescent="0.3">
      <c r="A484" s="206">
        <v>191</v>
      </c>
      <c r="B484" s="218">
        <v>221100338952</v>
      </c>
      <c r="C484" s="219" t="s">
        <v>2875</v>
      </c>
      <c r="D484" s="219" t="s">
        <v>2876</v>
      </c>
      <c r="E484" s="220" t="s">
        <v>2963</v>
      </c>
      <c r="F484" s="218" t="s">
        <v>235</v>
      </c>
      <c r="G484" s="214" t="s">
        <v>87</v>
      </c>
      <c r="H484" s="214"/>
      <c r="I484" s="214"/>
      <c r="J484" s="214"/>
      <c r="K484" s="214"/>
      <c r="L484" s="214"/>
    </row>
    <row r="485" spans="1:12" ht="49.5" x14ac:dyDescent="0.3">
      <c r="A485" s="206">
        <v>192</v>
      </c>
      <c r="B485" s="218">
        <v>1511187169</v>
      </c>
      <c r="C485" s="219" t="s">
        <v>2877</v>
      </c>
      <c r="D485" s="219" t="s">
        <v>2878</v>
      </c>
      <c r="E485" s="220" t="s">
        <v>2964</v>
      </c>
      <c r="F485" s="218" t="s">
        <v>241</v>
      </c>
      <c r="G485" s="214" t="s">
        <v>87</v>
      </c>
      <c r="H485" s="214"/>
      <c r="I485" s="214"/>
      <c r="J485" s="214"/>
      <c r="K485" s="214"/>
      <c r="L485" s="214"/>
    </row>
    <row r="486" spans="1:12" ht="49.5" x14ac:dyDescent="0.3">
      <c r="A486" s="206">
        <v>193</v>
      </c>
      <c r="B486" s="218" t="s">
        <v>1651</v>
      </c>
      <c r="C486" s="221" t="s">
        <v>2879</v>
      </c>
      <c r="D486" s="219" t="s">
        <v>2880</v>
      </c>
      <c r="E486" s="220" t="s">
        <v>2965</v>
      </c>
      <c r="F486" s="218" t="s">
        <v>245</v>
      </c>
      <c r="G486" s="214" t="s">
        <v>87</v>
      </c>
      <c r="H486" s="214"/>
      <c r="I486" s="214"/>
      <c r="J486" s="214"/>
      <c r="K486" s="214"/>
      <c r="L486" s="214"/>
    </row>
    <row r="487" spans="1:12" ht="49.5" x14ac:dyDescent="0.3">
      <c r="A487" s="206">
        <v>194</v>
      </c>
      <c r="B487" s="218">
        <v>1511230035</v>
      </c>
      <c r="C487" s="221" t="s">
        <v>2881</v>
      </c>
      <c r="D487" s="219" t="s">
        <v>2882</v>
      </c>
      <c r="E487" s="220" t="s">
        <v>2966</v>
      </c>
      <c r="F487" s="224" t="s">
        <v>2927</v>
      </c>
      <c r="G487" s="214" t="s">
        <v>87</v>
      </c>
      <c r="H487" s="214"/>
      <c r="I487" s="214"/>
      <c r="J487" s="214"/>
      <c r="K487" s="214"/>
      <c r="L487" s="214"/>
    </row>
    <row r="488" spans="1:12" ht="49.5" x14ac:dyDescent="0.3">
      <c r="A488" s="206">
        <v>195</v>
      </c>
      <c r="B488" s="218">
        <v>1511173277</v>
      </c>
      <c r="C488" s="219" t="s">
        <v>2883</v>
      </c>
      <c r="D488" s="219" t="s">
        <v>2884</v>
      </c>
      <c r="E488" s="220" t="s">
        <v>2967</v>
      </c>
      <c r="F488" s="224" t="s">
        <v>2928</v>
      </c>
      <c r="G488" s="214" t="s">
        <v>87</v>
      </c>
      <c r="H488" s="214"/>
      <c r="I488" s="214"/>
      <c r="J488" s="214"/>
      <c r="K488" s="214"/>
      <c r="L488" s="214"/>
    </row>
    <row r="489" spans="1:12" ht="49.5" x14ac:dyDescent="0.3">
      <c r="A489" s="206">
        <v>196</v>
      </c>
      <c r="B489" s="218">
        <v>21089985</v>
      </c>
      <c r="C489" s="219" t="s">
        <v>2885</v>
      </c>
      <c r="D489" s="219" t="s">
        <v>2886</v>
      </c>
      <c r="E489" s="220" t="s">
        <v>2968</v>
      </c>
      <c r="F489" s="224" t="s">
        <v>2929</v>
      </c>
      <c r="G489" s="214" t="s">
        <v>87</v>
      </c>
      <c r="H489" s="214"/>
      <c r="I489" s="214"/>
      <c r="J489" s="214"/>
      <c r="K489" s="214"/>
      <c r="L489" s="214"/>
    </row>
    <row r="490" spans="1:12" ht="49.5" x14ac:dyDescent="0.3">
      <c r="A490" s="206">
        <v>197</v>
      </c>
      <c r="B490" s="218">
        <v>21110215</v>
      </c>
      <c r="C490" s="219" t="s">
        <v>2887</v>
      </c>
      <c r="D490" s="219" t="s">
        <v>2888</v>
      </c>
      <c r="E490" s="220" t="s">
        <v>2969</v>
      </c>
      <c r="F490" s="224" t="s">
        <v>2930</v>
      </c>
      <c r="G490" s="214" t="s">
        <v>87</v>
      </c>
      <c r="H490" s="214"/>
      <c r="I490" s="214"/>
      <c r="J490" s="214"/>
      <c r="K490" s="214"/>
      <c r="L490" s="214"/>
    </row>
    <row r="491" spans="1:12" ht="49.5" x14ac:dyDescent="0.3">
      <c r="A491" s="206">
        <v>198</v>
      </c>
      <c r="B491" s="218">
        <v>1511187170</v>
      </c>
      <c r="C491" s="219" t="s">
        <v>2889</v>
      </c>
      <c r="D491" s="219" t="s">
        <v>2890</v>
      </c>
      <c r="E491" s="220" t="s">
        <v>2970</v>
      </c>
      <c r="F491" s="224" t="s">
        <v>2931</v>
      </c>
      <c r="G491" s="214" t="s">
        <v>87</v>
      </c>
      <c r="H491" s="214"/>
      <c r="I491" s="214"/>
      <c r="J491" s="214"/>
      <c r="K491" s="214"/>
      <c r="L491" s="214"/>
    </row>
    <row r="492" spans="1:12" x14ac:dyDescent="0.3">
      <c r="A492" s="206">
        <v>199</v>
      </c>
      <c r="B492" s="222" t="s">
        <v>2836</v>
      </c>
      <c r="C492" s="219"/>
      <c r="D492" s="219"/>
      <c r="E492" s="220" t="s">
        <v>2971</v>
      </c>
      <c r="F492" s="218" t="s">
        <v>2925</v>
      </c>
      <c r="G492" s="214" t="s">
        <v>87</v>
      </c>
      <c r="H492" s="214"/>
      <c r="I492" s="214"/>
      <c r="J492" s="214"/>
      <c r="K492" s="214"/>
      <c r="L492" s="214"/>
    </row>
    <row r="493" spans="1:12" ht="49.5" x14ac:dyDescent="0.3">
      <c r="A493" s="206">
        <v>200</v>
      </c>
      <c r="B493" s="218">
        <v>211100047103</v>
      </c>
      <c r="C493" s="219" t="s">
        <v>2891</v>
      </c>
      <c r="D493" s="219" t="s">
        <v>2892</v>
      </c>
      <c r="E493" s="220" t="s">
        <v>2972</v>
      </c>
      <c r="F493" s="218" t="s">
        <v>272</v>
      </c>
      <c r="G493" s="214" t="s">
        <v>87</v>
      </c>
      <c r="H493" s="214"/>
      <c r="I493" s="214"/>
      <c r="J493" s="214"/>
      <c r="K493" s="214"/>
      <c r="L493" s="214"/>
    </row>
    <row r="494" spans="1:12" ht="33" x14ac:dyDescent="0.3">
      <c r="A494" s="206">
        <v>201</v>
      </c>
      <c r="B494" s="218">
        <v>1611024150</v>
      </c>
      <c r="C494" s="219" t="s">
        <v>2893</v>
      </c>
      <c r="D494" s="219" t="s">
        <v>2894</v>
      </c>
      <c r="E494" s="220" t="s">
        <v>2973</v>
      </c>
      <c r="F494" s="218" t="s">
        <v>278</v>
      </c>
      <c r="G494" s="214" t="s">
        <v>87</v>
      </c>
      <c r="H494" s="214"/>
      <c r="I494" s="214"/>
      <c r="J494" s="214"/>
      <c r="K494" s="214"/>
      <c r="L494" s="214"/>
    </row>
    <row r="495" spans="1:12" ht="49.5" x14ac:dyDescent="0.3">
      <c r="A495" s="206">
        <v>202</v>
      </c>
      <c r="B495" s="218">
        <v>1511111364</v>
      </c>
      <c r="C495" s="219" t="s">
        <v>2895</v>
      </c>
      <c r="D495" s="219" t="s">
        <v>2896</v>
      </c>
      <c r="E495" s="220" t="s">
        <v>2974</v>
      </c>
      <c r="F495" s="218" t="s">
        <v>286</v>
      </c>
      <c r="G495" s="214" t="s">
        <v>87</v>
      </c>
      <c r="H495" s="214"/>
      <c r="I495" s="214"/>
      <c r="J495" s="214"/>
      <c r="K495" s="214"/>
      <c r="L495" s="214"/>
    </row>
    <row r="496" spans="1:12" ht="33" x14ac:dyDescent="0.3">
      <c r="A496" s="206">
        <v>203</v>
      </c>
      <c r="B496" s="218">
        <v>21078613</v>
      </c>
      <c r="C496" s="225" t="s">
        <v>2897</v>
      </c>
      <c r="D496" s="219" t="s">
        <v>2894</v>
      </c>
      <c r="E496" s="220" t="s">
        <v>2975</v>
      </c>
      <c r="F496" s="218" t="s">
        <v>292</v>
      </c>
      <c r="G496" s="214" t="s">
        <v>87</v>
      </c>
      <c r="H496" s="214"/>
      <c r="I496" s="214"/>
      <c r="J496" s="214"/>
      <c r="K496" s="214"/>
      <c r="L496" s="214"/>
    </row>
    <row r="497" spans="1:12" ht="33" x14ac:dyDescent="0.3">
      <c r="A497" s="206">
        <v>204</v>
      </c>
      <c r="B497" s="226">
        <v>22110033081</v>
      </c>
      <c r="C497" s="227" t="s">
        <v>2898</v>
      </c>
      <c r="D497" s="227" t="s">
        <v>2899</v>
      </c>
      <c r="E497" s="220" t="s">
        <v>2976</v>
      </c>
      <c r="F497" s="218" t="s">
        <v>298</v>
      </c>
      <c r="G497" s="214" t="s">
        <v>87</v>
      </c>
      <c r="H497" s="214"/>
      <c r="I497" s="214"/>
      <c r="J497" s="214"/>
      <c r="K497" s="214"/>
      <c r="L497" s="214"/>
    </row>
    <row r="498" spans="1:12" x14ac:dyDescent="0.3">
      <c r="A498" s="206">
        <v>205</v>
      </c>
      <c r="B498" s="222" t="s">
        <v>2836</v>
      </c>
      <c r="C498" s="219"/>
      <c r="D498" s="219"/>
      <c r="E498" s="220" t="s">
        <v>2977</v>
      </c>
      <c r="F498" s="218" t="s">
        <v>2925</v>
      </c>
      <c r="G498" s="214" t="s">
        <v>87</v>
      </c>
      <c r="H498" s="214"/>
      <c r="I498" s="214"/>
      <c r="J498" s="214"/>
      <c r="K498" s="214"/>
      <c r="L498" s="214"/>
    </row>
    <row r="499" spans="1:12" x14ac:dyDescent="0.3">
      <c r="A499" s="206">
        <v>206</v>
      </c>
      <c r="B499" s="222" t="s">
        <v>2836</v>
      </c>
      <c r="C499" s="221"/>
      <c r="D499" s="219"/>
      <c r="E499" s="220" t="s">
        <v>2978</v>
      </c>
      <c r="F499" s="218" t="s">
        <v>2925</v>
      </c>
      <c r="G499" s="214" t="s">
        <v>87</v>
      </c>
      <c r="H499" s="214"/>
      <c r="I499" s="214"/>
      <c r="J499" s="214"/>
      <c r="K499" s="214"/>
      <c r="L499" s="214"/>
    </row>
    <row r="500" spans="1:12" ht="33" x14ac:dyDescent="0.3">
      <c r="A500" s="206">
        <v>207</v>
      </c>
      <c r="B500" s="226">
        <v>201578466</v>
      </c>
      <c r="C500" s="227" t="s">
        <v>2898</v>
      </c>
      <c r="D500" s="227" t="s">
        <v>2899</v>
      </c>
      <c r="E500" s="220" t="s">
        <v>2979</v>
      </c>
      <c r="F500" s="218" t="s">
        <v>309</v>
      </c>
      <c r="G500" s="214" t="s">
        <v>87</v>
      </c>
      <c r="H500" s="214"/>
      <c r="I500" s="214"/>
      <c r="J500" s="214"/>
      <c r="K500" s="214"/>
      <c r="L500" s="214"/>
    </row>
    <row r="501" spans="1:12" ht="49.5" x14ac:dyDescent="0.3">
      <c r="A501" s="206">
        <v>208</v>
      </c>
      <c r="B501" s="218">
        <v>2011579658</v>
      </c>
      <c r="C501" s="219" t="s">
        <v>2900</v>
      </c>
      <c r="D501" s="219" t="s">
        <v>2901</v>
      </c>
      <c r="E501" s="220" t="s">
        <v>2980</v>
      </c>
      <c r="F501" s="218" t="s">
        <v>315</v>
      </c>
      <c r="G501" s="214" t="s">
        <v>87</v>
      </c>
      <c r="H501" s="214"/>
      <c r="I501" s="214"/>
      <c r="J501" s="214"/>
      <c r="K501" s="214"/>
      <c r="L501" s="214"/>
    </row>
    <row r="502" spans="1:12" x14ac:dyDescent="0.3">
      <c r="A502" s="206">
        <v>209</v>
      </c>
      <c r="B502" s="222" t="s">
        <v>2836</v>
      </c>
      <c r="C502" s="219"/>
      <c r="D502" s="219"/>
      <c r="E502" s="220" t="s">
        <v>2981</v>
      </c>
      <c r="F502" s="218" t="s">
        <v>2925</v>
      </c>
      <c r="G502" s="214" t="s">
        <v>87</v>
      </c>
      <c r="H502" s="214"/>
      <c r="I502" s="214"/>
      <c r="J502" s="214"/>
      <c r="K502" s="214"/>
      <c r="L502" s="214"/>
    </row>
    <row r="503" spans="1:12" ht="49.5" x14ac:dyDescent="0.3">
      <c r="A503" s="206">
        <v>210</v>
      </c>
      <c r="B503" s="218">
        <v>1511290363</v>
      </c>
      <c r="C503" s="221" t="s">
        <v>2902</v>
      </c>
      <c r="D503" s="219" t="s">
        <v>2903</v>
      </c>
      <c r="E503" s="220" t="s">
        <v>2982</v>
      </c>
      <c r="F503" s="218" t="s">
        <v>337</v>
      </c>
      <c r="G503" s="214" t="s">
        <v>87</v>
      </c>
      <c r="H503" s="214"/>
      <c r="I503" s="214"/>
      <c r="J503" s="214"/>
      <c r="K503" s="214"/>
      <c r="L503" s="214"/>
    </row>
    <row r="504" spans="1:12" ht="49.5" x14ac:dyDescent="0.3">
      <c r="A504" s="206">
        <v>211</v>
      </c>
      <c r="B504" s="218">
        <v>221100339304</v>
      </c>
      <c r="C504" s="228" t="s">
        <v>2904</v>
      </c>
      <c r="D504" s="219" t="s">
        <v>2905</v>
      </c>
      <c r="E504" s="220" t="s">
        <v>2982</v>
      </c>
      <c r="F504" s="218" t="s">
        <v>332</v>
      </c>
      <c r="G504" s="214" t="s">
        <v>87</v>
      </c>
      <c r="H504" s="214"/>
      <c r="I504" s="214"/>
      <c r="J504" s="214"/>
      <c r="K504" s="214"/>
      <c r="L504" s="214"/>
    </row>
    <row r="505" spans="1:12" ht="33" x14ac:dyDescent="0.3">
      <c r="A505" s="206">
        <v>212</v>
      </c>
      <c r="B505" s="222" t="s">
        <v>2836</v>
      </c>
      <c r="C505" s="218" t="s">
        <v>2906</v>
      </c>
      <c r="D505" s="219" t="s">
        <v>2907</v>
      </c>
      <c r="E505" s="220" t="s">
        <v>2983</v>
      </c>
      <c r="F505" s="218" t="s">
        <v>2932</v>
      </c>
      <c r="G505" s="214" t="s">
        <v>87</v>
      </c>
      <c r="H505" s="214"/>
      <c r="I505" s="214"/>
      <c r="J505" s="214"/>
      <c r="K505" s="214"/>
      <c r="L505" s="214"/>
    </row>
    <row r="506" spans="1:12" ht="33" x14ac:dyDescent="0.3">
      <c r="A506" s="206">
        <v>213</v>
      </c>
      <c r="B506" s="222" t="s">
        <v>2836</v>
      </c>
      <c r="C506" s="218" t="s">
        <v>2906</v>
      </c>
      <c r="D506" s="219" t="s">
        <v>2907</v>
      </c>
      <c r="E506" s="220" t="s">
        <v>2984</v>
      </c>
      <c r="F506" s="218" t="s">
        <v>326</v>
      </c>
      <c r="G506" s="214" t="s">
        <v>87</v>
      </c>
      <c r="H506" s="214"/>
      <c r="I506" s="214"/>
      <c r="J506" s="214"/>
      <c r="K506" s="214"/>
      <c r="L506" s="214"/>
    </row>
    <row r="507" spans="1:12" ht="33" x14ac:dyDescent="0.3">
      <c r="A507" s="206">
        <v>214</v>
      </c>
      <c r="B507" s="222" t="s">
        <v>2836</v>
      </c>
      <c r="C507" s="218" t="s">
        <v>2906</v>
      </c>
      <c r="D507" s="219" t="s">
        <v>2907</v>
      </c>
      <c r="E507" s="220" t="s">
        <v>2985</v>
      </c>
      <c r="F507" s="218" t="s">
        <v>326</v>
      </c>
      <c r="G507" s="214" t="s">
        <v>87</v>
      </c>
      <c r="H507" s="214"/>
      <c r="I507" s="214"/>
      <c r="J507" s="214"/>
      <c r="K507" s="214"/>
      <c r="L507" s="214"/>
    </row>
    <row r="508" spans="1:12" ht="49.5" x14ac:dyDescent="0.3">
      <c r="A508" s="206">
        <v>215</v>
      </c>
      <c r="B508" s="222" t="s">
        <v>2836</v>
      </c>
      <c r="C508" s="218" t="s">
        <v>2906</v>
      </c>
      <c r="D508" s="219" t="s">
        <v>2907</v>
      </c>
      <c r="E508" s="229" t="s">
        <v>2986</v>
      </c>
      <c r="F508" s="218" t="s">
        <v>518</v>
      </c>
      <c r="G508" s="214" t="s">
        <v>87</v>
      </c>
      <c r="H508" s="214"/>
      <c r="I508" s="214"/>
      <c r="J508" s="214"/>
      <c r="K508" s="214"/>
      <c r="L508" s="214"/>
    </row>
    <row r="509" spans="1:12" ht="49.5" x14ac:dyDescent="0.3">
      <c r="A509" s="206">
        <v>216</v>
      </c>
      <c r="B509" s="218">
        <v>221100365360</v>
      </c>
      <c r="C509" s="228" t="s">
        <v>2908</v>
      </c>
      <c r="D509" s="219" t="s">
        <v>2909</v>
      </c>
      <c r="E509" s="220" t="s">
        <v>2987</v>
      </c>
      <c r="F509" s="218" t="s">
        <v>347</v>
      </c>
      <c r="G509" s="214" t="s">
        <v>87</v>
      </c>
      <c r="H509" s="214"/>
      <c r="I509" s="214"/>
      <c r="J509" s="214"/>
      <c r="K509" s="214"/>
      <c r="L509" s="214"/>
    </row>
    <row r="510" spans="1:12" ht="49.5" x14ac:dyDescent="0.3">
      <c r="A510" s="206">
        <v>217</v>
      </c>
      <c r="B510" s="218">
        <v>21072747</v>
      </c>
      <c r="C510" s="228" t="s">
        <v>2910</v>
      </c>
      <c r="D510" s="219" t="s">
        <v>2911</v>
      </c>
      <c r="E510" s="220" t="s">
        <v>2987</v>
      </c>
      <c r="F510" s="218" t="s">
        <v>352</v>
      </c>
      <c r="G510" s="214" t="s">
        <v>87</v>
      </c>
      <c r="H510" s="214"/>
      <c r="I510" s="214"/>
      <c r="J510" s="214"/>
      <c r="K510" s="214"/>
      <c r="L510" s="214"/>
    </row>
    <row r="511" spans="1:12" ht="33" x14ac:dyDescent="0.3">
      <c r="A511" s="206">
        <v>218</v>
      </c>
      <c r="B511" s="226">
        <v>241200504227</v>
      </c>
      <c r="C511" s="230" t="s">
        <v>2912</v>
      </c>
      <c r="D511" s="231" t="s">
        <v>2913</v>
      </c>
      <c r="E511" s="220" t="s">
        <v>2988</v>
      </c>
      <c r="F511" s="218" t="s">
        <v>378</v>
      </c>
      <c r="G511" s="214" t="s">
        <v>87</v>
      </c>
      <c r="H511" s="214"/>
      <c r="I511" s="214"/>
      <c r="J511" s="214"/>
      <c r="K511" s="214"/>
      <c r="L511" s="214"/>
    </row>
    <row r="512" spans="1:12" ht="33" x14ac:dyDescent="0.3">
      <c r="A512" s="206">
        <v>219</v>
      </c>
      <c r="B512" s="226">
        <v>25100073533</v>
      </c>
      <c r="C512" s="230" t="s">
        <v>2898</v>
      </c>
      <c r="D512" s="227" t="s">
        <v>2899</v>
      </c>
      <c r="E512" s="220" t="s">
        <v>2988</v>
      </c>
      <c r="F512" s="218" t="s">
        <v>373</v>
      </c>
      <c r="G512" s="214" t="s">
        <v>87</v>
      </c>
      <c r="H512" s="214"/>
      <c r="I512" s="214"/>
      <c r="J512" s="214"/>
      <c r="K512" s="214"/>
      <c r="L512" s="214"/>
    </row>
    <row r="513" spans="1:12" ht="33" x14ac:dyDescent="0.3">
      <c r="A513" s="206">
        <v>220</v>
      </c>
      <c r="B513" s="218">
        <v>21082728</v>
      </c>
      <c r="C513" s="228" t="s">
        <v>2914</v>
      </c>
      <c r="D513" s="219" t="s">
        <v>2915</v>
      </c>
      <c r="E513" s="220" t="s">
        <v>2988</v>
      </c>
      <c r="F513" s="218" t="s">
        <v>368</v>
      </c>
      <c r="G513" s="214" t="s">
        <v>87</v>
      </c>
      <c r="H513" s="214"/>
      <c r="I513" s="214"/>
      <c r="J513" s="214"/>
      <c r="K513" s="214"/>
      <c r="L513" s="214"/>
    </row>
    <row r="514" spans="1:12" ht="66" x14ac:dyDescent="0.3">
      <c r="A514" s="206">
        <v>221</v>
      </c>
      <c r="B514" s="218">
        <v>1511288374</v>
      </c>
      <c r="C514" s="228" t="s">
        <v>2916</v>
      </c>
      <c r="D514" s="219" t="s">
        <v>2917</v>
      </c>
      <c r="E514" s="220" t="s">
        <v>2988</v>
      </c>
      <c r="F514" s="218" t="s">
        <v>363</v>
      </c>
      <c r="G514" s="214" t="s">
        <v>87</v>
      </c>
      <c r="H514" s="214"/>
      <c r="I514" s="214"/>
      <c r="J514" s="214"/>
      <c r="K514" s="214"/>
      <c r="L514" s="214"/>
    </row>
    <row r="515" spans="1:12" ht="66" x14ac:dyDescent="0.3">
      <c r="A515" s="206">
        <v>222</v>
      </c>
      <c r="B515" s="218">
        <v>1511289029</v>
      </c>
      <c r="C515" s="228" t="s">
        <v>2918</v>
      </c>
      <c r="D515" s="219" t="s">
        <v>2919</v>
      </c>
      <c r="E515" s="220" t="s">
        <v>2988</v>
      </c>
      <c r="F515" s="218" t="s">
        <v>358</v>
      </c>
      <c r="G515" s="214" t="s">
        <v>87</v>
      </c>
      <c r="H515" s="214"/>
      <c r="I515" s="214"/>
      <c r="J515" s="214"/>
      <c r="K515" s="214"/>
      <c r="L515" s="214"/>
    </row>
    <row r="516" spans="1:12" ht="33" x14ac:dyDescent="0.3">
      <c r="A516" s="206">
        <v>223</v>
      </c>
      <c r="B516" s="218">
        <v>239101593</v>
      </c>
      <c r="C516" s="230" t="s">
        <v>2898</v>
      </c>
      <c r="D516" s="227" t="s">
        <v>2899</v>
      </c>
      <c r="E516" s="229" t="s">
        <v>2986</v>
      </c>
      <c r="F516" s="218" t="s">
        <v>516</v>
      </c>
      <c r="G516" s="214" t="s">
        <v>87</v>
      </c>
      <c r="H516" s="214"/>
      <c r="I516" s="214"/>
      <c r="J516" s="214"/>
      <c r="K516" s="214"/>
      <c r="L516" s="214"/>
    </row>
    <row r="517" spans="1:12" ht="49.5" x14ac:dyDescent="0.3">
      <c r="A517" s="206">
        <v>224</v>
      </c>
      <c r="B517" s="222" t="s">
        <v>2836</v>
      </c>
      <c r="C517" s="218" t="s">
        <v>2920</v>
      </c>
      <c r="D517" s="219" t="s">
        <v>2921</v>
      </c>
      <c r="E517" s="229" t="s">
        <v>2986</v>
      </c>
      <c r="F517" s="218" t="s">
        <v>505</v>
      </c>
      <c r="G517" s="214" t="s">
        <v>87</v>
      </c>
      <c r="H517" s="214"/>
      <c r="I517" s="214"/>
      <c r="J517" s="214"/>
      <c r="K517" s="214"/>
      <c r="L517" s="214"/>
    </row>
    <row r="518" spans="1:12" ht="49.5" x14ac:dyDescent="0.3">
      <c r="A518" s="206">
        <v>225</v>
      </c>
      <c r="B518" s="222" t="s">
        <v>2836</v>
      </c>
      <c r="C518" s="218" t="s">
        <v>2922</v>
      </c>
      <c r="D518" s="219" t="s">
        <v>2923</v>
      </c>
      <c r="E518" s="229" t="s">
        <v>2986</v>
      </c>
      <c r="F518" s="218" t="s">
        <v>510</v>
      </c>
      <c r="G518" s="214" t="s">
        <v>87</v>
      </c>
      <c r="H518" s="214"/>
      <c r="I518" s="214"/>
      <c r="J518" s="214"/>
      <c r="K518" s="214"/>
      <c r="L518" s="214"/>
    </row>
    <row r="519" spans="1:12" ht="49.5" x14ac:dyDescent="0.3">
      <c r="A519" s="206">
        <v>226</v>
      </c>
      <c r="B519" s="222" t="s">
        <v>2836</v>
      </c>
      <c r="C519" s="218" t="s">
        <v>2924</v>
      </c>
      <c r="D519" s="219" t="s">
        <v>2923</v>
      </c>
      <c r="E519" s="229" t="s">
        <v>2986</v>
      </c>
      <c r="F519" s="218" t="s">
        <v>499</v>
      </c>
      <c r="G519" s="214" t="s">
        <v>87</v>
      </c>
      <c r="H519" s="214"/>
      <c r="I519" s="214"/>
      <c r="J519" s="214"/>
      <c r="K519" s="214"/>
      <c r="L519" s="214"/>
    </row>
    <row r="520" spans="1:12" ht="33" x14ac:dyDescent="0.3">
      <c r="A520" s="206">
        <v>227</v>
      </c>
      <c r="B520" s="222" t="s">
        <v>2836</v>
      </c>
      <c r="C520" s="218" t="s">
        <v>2794</v>
      </c>
      <c r="D520" s="219" t="s">
        <v>2791</v>
      </c>
      <c r="E520" s="229" t="s">
        <v>2986</v>
      </c>
      <c r="F520" s="218" t="s">
        <v>494</v>
      </c>
      <c r="G520" s="214" t="s">
        <v>87</v>
      </c>
      <c r="H520" s="214"/>
      <c r="I520" s="214"/>
      <c r="J520" s="214"/>
      <c r="K520" s="214"/>
      <c r="L520" s="214"/>
    </row>
    <row r="521" spans="1:12" x14ac:dyDescent="0.3">
      <c r="A521" s="206">
        <v>228</v>
      </c>
      <c r="B521" s="222" t="s">
        <v>2836</v>
      </c>
      <c r="C521" s="228"/>
      <c r="D521" s="219"/>
      <c r="E521" s="214"/>
      <c r="F521" s="218" t="s">
        <v>2925</v>
      </c>
      <c r="G521" s="214" t="s">
        <v>87</v>
      </c>
      <c r="H521" s="214"/>
      <c r="I521" s="214"/>
      <c r="J521" s="214"/>
      <c r="K521" s="214"/>
      <c r="L521" s="214"/>
    </row>
    <row r="527" spans="1:12" x14ac:dyDescent="0.3">
      <c r="D527" s="121">
        <v>383</v>
      </c>
    </row>
  </sheetData>
  <autoFilter ref="A1:L521" xr:uid="{00000000-0009-0000-0000-000001000000}">
    <filterColumn colId="6">
      <filters>
        <filter val="Trừ Văn Thố"/>
      </filters>
    </filterColumn>
  </autoFilter>
  <conditionalFormatting sqref="C1:C293">
    <cfRule type="duplicateValues" dxfId="2" priority="4" stopIfTrue="1"/>
  </conditionalFormatting>
  <conditionalFormatting sqref="C294:C422">
    <cfRule type="duplicateValues" dxfId="1" priority="3" stopIfTrue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Bến Cát</vt:lpstr>
      <vt:lpstr>Bầu Bàng</vt:lpstr>
      <vt:lpstr>Trừ văn Thố</vt:lpstr>
      <vt:lpstr>Tổng</vt:lpstr>
      <vt:lpstr>rà soát ĐK</vt:lpstr>
      <vt:lpstr>'Bầu Bàng'!Print_Area</vt:lpstr>
      <vt:lpstr>'Bầu Bàng'!Print_Titles</vt:lpstr>
      <vt:lpstr>'Bến Cát'!Print_Titles</vt:lpstr>
      <vt:lpstr>'Trừ văn Thố'!Print_Titles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PheroPham</dc:creator>
  <cp:lastModifiedBy>Mai Vu Lam</cp:lastModifiedBy>
  <cp:lastPrinted>2026-06-23T00:35:20Z</cp:lastPrinted>
  <dcterms:created xsi:type="dcterms:W3CDTF">2015-06-05T18:17:20Z</dcterms:created>
  <dcterms:modified xsi:type="dcterms:W3CDTF">2026-06-23T04:05:25Z</dcterms:modified>
</cp:coreProperties>
</file>